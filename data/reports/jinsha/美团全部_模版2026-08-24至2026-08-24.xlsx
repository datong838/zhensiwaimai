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windowWidth="23040" windowHeight="9324"/>
  </bookViews>
  <sheets>
    <sheet name="美团全部" sheetId="1" r:id="rId1"/>
  </sheets>
  <externalReferences>
    <externalReference r:id="rId2"/>
  </externalReferences>
  <definedNames>
    <definedName name="_xlnm._FilterDatabase" localSheetId="0" hidden="1">美团全部!$A$2:$AJ$457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<sst xmlns="http://schemas.openxmlformats.org/spreadsheetml/2006/main" count="1402" uniqueCount="916">
  <si>
    <t>2026-08-24至2026-08-24 美团全部数据汇总</t>
  </si>
  <si>
    <t>日期</t>
  </si>
  <si>
    <t>小组</t>
  </si>
  <si>
    <t>等级</t>
  </si>
  <si>
    <t>店铺名称（美团）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</si>
  <si>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</si>
  <si>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</si>
  <si>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</si>
  <si>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</si>
  <si>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</si>
  <si>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</si>
  <si>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</si>
  <si>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</si>
  <si>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</si>
  <si>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</si>
  <si>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</si>
  <si>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</si>
  <si>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</si>
  <si>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</si>
  <si>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</si>
  <si>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</si>
  <si>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</si>
  <si>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</si>
  <si>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</si>
  <si>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</si>
  <si>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</si>
  <si>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</si>
  <si>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</si>
  <si>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</si>
  <si>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</si>
  <si>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</si>
  <si>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</si>
  <si>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</si>
  <si>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</si>
  <si>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</si>
  <si>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</si>
  <si>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</si>
  <si>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>2026-08-24~2026-08-24</t>
  </si>
  <si>
    <t>楠桦饭店（共康店）</t>
  </si>
  <si>
    <t>1/70</t>
  </si>
  <si>
    <t>竹筷子·松江味（乐都路店）</t>
  </si>
  <si>
    <t>2/68</t>
  </si>
  <si>
    <t>龙记香港茶餐厅（长寿路店）</t>
  </si>
  <si>
    <t>6/60</t>
  </si>
  <si>
    <t>味之绝美蛙鱼火锅(周浦万达店)</t>
  </si>
  <si>
    <t>1/7</t>
  </si>
  <si>
    <t>阿佑鲜烫牛肉米线（安亭店）</t>
  </si>
  <si>
    <t>6/188</t>
  </si>
  <si>
    <t>湘味小厨（活力城店)</t>
  </si>
  <si>
    <t>6/87</t>
  </si>
  <si>
    <t>竹筷子·松江味（仓汇路店）</t>
  </si>
  <si>
    <t>2/87</t>
  </si>
  <si>
    <t>毛家湘菜馆(人民广场店）</t>
  </si>
  <si>
    <t>7/62</t>
  </si>
  <si>
    <t>觅湘私菜坊·湖南菜（潍坊三村店）</t>
  </si>
  <si>
    <t>10/85</t>
  </si>
  <si>
    <t>竹筷子·松江味（新松江路店）</t>
  </si>
  <si>
    <t>9/92</t>
  </si>
  <si>
    <t>味之绝美蛙鱼头火锅（长寿路亚新广场店）</t>
  </si>
  <si>
    <t>1/9</t>
  </si>
  <si>
    <t>龙记香港茶餐厅·冰茶X烧腊(天山店)</t>
  </si>
  <si>
    <t>5/53</t>
  </si>
  <si>
    <t>李老哈·东北农家小院(成山路店)</t>
  </si>
  <si>
    <t>7/96</t>
  </si>
  <si>
    <t>竹筷子·茸城小菜</t>
  </si>
  <si>
    <t>2/79</t>
  </si>
  <si>
    <t>醉美里（临沂店）</t>
  </si>
  <si>
    <t>5/76</t>
  </si>
  <si>
    <t>味之绝热血美蛙鱼头火锅(五角场万达店)</t>
  </si>
  <si>
    <t>1/14</t>
  </si>
  <si>
    <t>稻香世家（徐汇店）</t>
  </si>
  <si>
    <t>16/90</t>
  </si>
  <si>
    <t>雅位·新上海菜(闵行龙湖店)</t>
  </si>
  <si>
    <t>6/119</t>
  </si>
  <si>
    <t>溪雨观鲜活酸菜鱼·烤鱼（樱花路店）</t>
  </si>
  <si>
    <t>9/126</t>
  </si>
  <si>
    <t>新客来(中式现炒快餐)</t>
  </si>
  <si>
    <t>4/127</t>
  </si>
  <si>
    <t>龙记香港茶餐厅（乐虹坊店）</t>
  </si>
  <si>
    <t>8/50</t>
  </si>
  <si>
    <t>李艳玲认真土豆粉（静安常德路店）</t>
  </si>
  <si>
    <t>6/72</t>
  </si>
  <si>
    <t>渔味妙酸菜鱼·烤鱼（静安店）</t>
  </si>
  <si>
    <t>13/185</t>
  </si>
  <si>
    <t>渔味妙酸菜鱼•烤鱼（秀文路店）</t>
  </si>
  <si>
    <t>6/77</t>
  </si>
  <si>
    <t>大孩小孩·沙县小吃(亿合城店)</t>
  </si>
  <si>
    <t>6/139</t>
  </si>
  <si>
    <t>李老哈·东北农家小院(江浦路店)</t>
  </si>
  <si>
    <t>22/131</t>
  </si>
  <si>
    <t>曾大勺剁椒鱼头（正宗湖南湘菜）</t>
  </si>
  <si>
    <t>4/38</t>
  </si>
  <si>
    <t>稻香世家·老饭盒(金融街店)</t>
  </si>
  <si>
    <t>22/165</t>
  </si>
  <si>
    <t>渔味妙酸菜鱼·烤鱼（涞寅路店）</t>
  </si>
  <si>
    <t>9/91</t>
  </si>
  <si>
    <t>溪雨观酸菜鱼（瞿溪路店）</t>
  </si>
  <si>
    <t>19/180</t>
  </si>
  <si>
    <t>鹅佬柒铺·烧腊小馆(莘谭路店)</t>
  </si>
  <si>
    <t>4/53</t>
  </si>
  <si>
    <t>湘霸王·老坛剁椒鱼头王（上海店）</t>
  </si>
  <si>
    <t>9/70</t>
  </si>
  <si>
    <t>渔味妙·酸菜鱼·烤鱼（龙茗路店）</t>
  </si>
  <si>
    <t>孙记稻香世家.老盒饭（宏慧新里店）</t>
  </si>
  <si>
    <t>11/89</t>
  </si>
  <si>
    <t>湘锅锅·地道湖南菜·长沙大排档（浦江店）</t>
  </si>
  <si>
    <t>12/87</t>
  </si>
  <si>
    <t>虾之道·龙虾烧烤·川湘菜（九亭店)</t>
  </si>
  <si>
    <t>13/91</t>
  </si>
  <si>
    <t>溪雨观酸菜鱼（宝山万达店）</t>
  </si>
  <si>
    <t>11/123</t>
  </si>
  <si>
    <t>湘调调·长沙大排档·鲜炒湖南菜（张江店）</t>
  </si>
  <si>
    <t>6/51</t>
  </si>
  <si>
    <t>溪雨观酸菜鱼（公平路店）</t>
  </si>
  <si>
    <t>30/160</t>
  </si>
  <si>
    <t>外婆小菜·上海菜（兰村路店）</t>
  </si>
  <si>
    <t>9/59</t>
  </si>
  <si>
    <t>楠桦饭店（梅川路店）</t>
  </si>
  <si>
    <t>18/87</t>
  </si>
  <si>
    <t>湘沪一家人·木桶饭（南京西路店）</t>
  </si>
  <si>
    <t>2/23</t>
  </si>
  <si>
    <t>楠桦饭店（江桥店）</t>
  </si>
  <si>
    <t>6/84</t>
  </si>
  <si>
    <t>鱼十娘·鲜活水煮鱼（开元广场店）</t>
  </si>
  <si>
    <t>19/132</t>
  </si>
  <si>
    <t>湘霸王·地道湖南菜（中骏广场店）</t>
  </si>
  <si>
    <t>10/96</t>
  </si>
  <si>
    <t>楠桦饭店(金沙江店)</t>
  </si>
  <si>
    <t>10/72</t>
  </si>
  <si>
    <t>天钥小馆·民间菜(天钥桥店)</t>
  </si>
  <si>
    <t>21/67</t>
  </si>
  <si>
    <t>溪雨观鲜活酸菜鱼·烤鱼（真如店）</t>
  </si>
  <si>
    <t>8/115</t>
  </si>
  <si>
    <t>源清制面·人间至鲜(新天地店)</t>
  </si>
  <si>
    <t>23/104</t>
  </si>
  <si>
    <t>李老哈·东北菜（宝龙广场店）</t>
  </si>
  <si>
    <t>11/74</t>
  </si>
  <si>
    <t>胖湘厨·乡野湖南菜. 地道长沙口味（九亭店）</t>
  </si>
  <si>
    <t>15/91</t>
  </si>
  <si>
    <t>胖掌柜·长沙大排档(汝南街店)</t>
  </si>
  <si>
    <t>12/83</t>
  </si>
  <si>
    <t>楠桦饭店（巴黎春天店）</t>
  </si>
  <si>
    <t>10/99</t>
  </si>
  <si>
    <t>孙记稻香世家·老饭盒（青浦店）</t>
  </si>
  <si>
    <t>37/215</t>
  </si>
  <si>
    <t>福德味·老上海本帮菜（浦东店）</t>
  </si>
  <si>
    <t>湘霸王·老坛剁椒鱼头（中山西路店）</t>
  </si>
  <si>
    <t>10/80</t>
  </si>
  <si>
    <t>溪雨观酸菜鱼（夏威夷广场店）</t>
  </si>
  <si>
    <t>17/165</t>
  </si>
  <si>
    <t>阿不先生·非遗闽味（鲁能中心店）</t>
  </si>
  <si>
    <t>16/96</t>
  </si>
  <si>
    <t>李老哈·东北农家小院(宋园路店)</t>
  </si>
  <si>
    <t>12/80</t>
  </si>
  <si>
    <t>俞记•民间菜（金钟路老店）</t>
  </si>
  <si>
    <t>12/76</t>
  </si>
  <si>
    <t>溪雨观酸菜鱼(光新路店)</t>
  </si>
  <si>
    <t>23/168</t>
  </si>
  <si>
    <t>见味花甲（福田COCOpark店）</t>
  </si>
  <si>
    <t>37/124</t>
  </si>
  <si>
    <t>溪雨观酸菜鱼(恒越荣欣广场店)</t>
  </si>
  <si>
    <t>18/118</t>
  </si>
  <si>
    <t>允兮屋韩国炸鸡（八卦八街店）</t>
  </si>
  <si>
    <t>4/25</t>
  </si>
  <si>
    <t>古镇大院·江南宴</t>
  </si>
  <si>
    <t>6/79</t>
  </si>
  <si>
    <t>农家坊·家常菜</t>
  </si>
  <si>
    <t>5/68</t>
  </si>
  <si>
    <t>阿佑鲜烫牛肉米线（杨浦店）</t>
  </si>
  <si>
    <t>25/142</t>
  </si>
  <si>
    <t>地地道道•徐州烧烤•徐州菜(吴中店）</t>
  </si>
  <si>
    <t>6/43</t>
  </si>
  <si>
    <t>申梦上荷·江浙菜(延吉中路店）</t>
  </si>
  <si>
    <t>9/69</t>
  </si>
  <si>
    <t>大孩小孩·沙县小吃(高新万达店)</t>
  </si>
  <si>
    <t>24/178</t>
  </si>
  <si>
    <t>醉美里(大融城店)</t>
  </si>
  <si>
    <t>14/82</t>
  </si>
  <si>
    <t>湘芙蓉雅宴（国霞路店）</t>
  </si>
  <si>
    <t>7/66</t>
  </si>
  <si>
    <t>胖掌柜长沙大排档（莘庄店）</t>
  </si>
  <si>
    <t>12/77</t>
  </si>
  <si>
    <t>溪雨观酸菜鱼（东书房路店）</t>
  </si>
  <si>
    <t>30/150</t>
  </si>
  <si>
    <t>繁花肴(缤谷广场店)</t>
  </si>
  <si>
    <t>11/53</t>
  </si>
  <si>
    <t>龙记香港茶餐厅·冰茶X烧腊(静安久光店)</t>
  </si>
  <si>
    <t>15/95</t>
  </si>
  <si>
    <t>孙记稻香世家（璟尚店）</t>
  </si>
  <si>
    <t>26/152</t>
  </si>
  <si>
    <t>李老哈·东北农家小院(潍坊路店)</t>
  </si>
  <si>
    <t>24/84</t>
  </si>
  <si>
    <t>严二孃鲜鱼火锅（华漕路店）</t>
  </si>
  <si>
    <t>1/12</t>
  </si>
  <si>
    <t>虾之道·龙虾烧烤·川湘菜（泗泾店)</t>
  </si>
  <si>
    <t>11/88</t>
  </si>
  <si>
    <t>鹅佬柒铺·烧腊小馆(七宝店)</t>
  </si>
  <si>
    <t>15/81</t>
  </si>
  <si>
    <t>李老哈东北菜（宝山店）</t>
  </si>
  <si>
    <t>12/89</t>
  </si>
  <si>
    <t>申阿婆·上海菜（莘庄店）</t>
  </si>
  <si>
    <t>8/53</t>
  </si>
  <si>
    <t>麦麦提大串王（水泉路）</t>
  </si>
  <si>
    <t>16/99</t>
  </si>
  <si>
    <t>虾之道·龙虾烧烤·川湘菜（新松江路店)</t>
  </si>
  <si>
    <t>17/92</t>
  </si>
  <si>
    <t>以记·化州香油鸡（石排店）</t>
  </si>
  <si>
    <t>12/84</t>
  </si>
  <si>
    <t>龙阿姐江湖川菜(松江店)</t>
  </si>
  <si>
    <t>18/92</t>
  </si>
  <si>
    <t>湘憨憨·自选餐厅·老盒饭（福山路店）</t>
  </si>
  <si>
    <t>28/125</t>
  </si>
  <si>
    <t>楠桦饭店(海波店)</t>
  </si>
  <si>
    <t>11/84</t>
  </si>
  <si>
    <t>茸隐家宴（兰桥店）</t>
  </si>
  <si>
    <t>15/78</t>
  </si>
  <si>
    <t>孙记稻香世家（欢乐颂店）</t>
  </si>
  <si>
    <t>27/164</t>
  </si>
  <si>
    <t>李老哈·东北菜(三宸里店)</t>
  </si>
  <si>
    <t>16/75</t>
  </si>
  <si>
    <t>阿佑鲜烫牛肉米线（浦江中心店）</t>
  </si>
  <si>
    <t>53/229</t>
  </si>
  <si>
    <t>申梦上荷·江浙菜(平凉店)</t>
  </si>
  <si>
    <t>12/62</t>
  </si>
  <si>
    <t>湘霸王·创意湘菜（平凉路店）</t>
  </si>
  <si>
    <t>12/69</t>
  </si>
  <si>
    <t>孙记稻香世家·老盒饭（金桥太茂店）</t>
  </si>
  <si>
    <t>39/151</t>
  </si>
  <si>
    <t>胖掌柜·长沙小炒·地道湖南菜(水产西路店)</t>
  </si>
  <si>
    <t>8/39</t>
  </si>
  <si>
    <t>南里晓宴（静安嘉里中心店）</t>
  </si>
  <si>
    <t>13/78</t>
  </si>
  <si>
    <t>严二嬢鲜鱼火锅（北蔡店）</t>
  </si>
  <si>
    <t>1/2</t>
  </si>
  <si>
    <t>申梦上荷·江浙菜(宜川路店）</t>
  </si>
  <si>
    <t>10/66</t>
  </si>
  <si>
    <t>湘识长沙·市井小炒(浙大森林店)</t>
  </si>
  <si>
    <t>15/62</t>
  </si>
  <si>
    <t>湘憨憨·自选餐厅·老饭盒（九亭中心店）</t>
  </si>
  <si>
    <t>22/139</t>
  </si>
  <si>
    <t>楠桦饭店（亚乐城店）</t>
  </si>
  <si>
    <t>10/62</t>
  </si>
  <si>
    <t>龙记香港茶餐厅（四川北路店）</t>
  </si>
  <si>
    <t>22/81</t>
  </si>
  <si>
    <t>大孩小孩·沙县小吃（开发区安盛店）</t>
  </si>
  <si>
    <t>15/103</t>
  </si>
  <si>
    <t>大孩小孩·沙县小吃(西安路店)</t>
  </si>
  <si>
    <t>30/167</t>
  </si>
  <si>
    <t>孙记稻香世家（江场三店）</t>
  </si>
  <si>
    <t>43/166</t>
  </si>
  <si>
    <t>濠七•海南粉•糟粕醋牛肉粉（双井店）</t>
  </si>
  <si>
    <t>58/155</t>
  </si>
  <si>
    <t>洪潮传统潮汕菜（大宁久光中心店）</t>
  </si>
  <si>
    <t>24/93</t>
  </si>
  <si>
    <t>湘霸王（灵石路店）</t>
  </si>
  <si>
    <t>湘百福·湖南手工米粉(世纪大道店)</t>
  </si>
  <si>
    <t>48/144</t>
  </si>
  <si>
    <t>孙记稻香世家·老饭盒(古北路店)</t>
  </si>
  <si>
    <t>22/82</t>
  </si>
  <si>
    <t xml:space="preserve"> 湘霸王·湖南土菜·老坛剁椒鱼头(本溪路店)</t>
  </si>
  <si>
    <t>见味花甲（卓悦汇店）</t>
  </si>
  <si>
    <t>39/129</t>
  </si>
  <si>
    <t>孙记稻香世家老盒饭（大橘印象荟店）</t>
  </si>
  <si>
    <t>25/135</t>
  </si>
  <si>
    <t>邵松沪味园（昌里路店）</t>
  </si>
  <si>
    <t>15/71</t>
  </si>
  <si>
    <t>味之绝美蛙鱼火锅(曹路店)</t>
  </si>
  <si>
    <t>1/8</t>
  </si>
  <si>
    <t>李老哈·东北菜（万体馆店）</t>
  </si>
  <si>
    <t>32/89</t>
  </si>
  <si>
    <t>思北村东北菜</t>
  </si>
  <si>
    <t>8/68</t>
  </si>
  <si>
    <t>龙记香港茶餐厅·冰茶X烧腊(延安西路店)</t>
  </si>
  <si>
    <t>18/89</t>
  </si>
  <si>
    <t>七江迷宗蟹(金华浦江县店)</t>
  </si>
  <si>
    <t>1/1</t>
  </si>
  <si>
    <t>渔味妙·酸菜鱼·烤鱼（浦秀路店）</t>
  </si>
  <si>
    <t>22/87</t>
  </si>
  <si>
    <t>湘憨憨·自助餐厅·老盒饭（尖山路店）</t>
  </si>
  <si>
    <t>53/235</t>
  </si>
  <si>
    <t>佬湘集·湖南下饭菜（静安店）</t>
  </si>
  <si>
    <t>11/68</t>
  </si>
  <si>
    <t>溪雨观酸菜鱼(国和1000店)</t>
  </si>
  <si>
    <t>31/144</t>
  </si>
  <si>
    <t>醉美里（宜川店）</t>
  </si>
  <si>
    <t>12/66</t>
  </si>
  <si>
    <t>鱼十娘(星光大道店)</t>
  </si>
  <si>
    <t>45/144</t>
  </si>
  <si>
    <t>孙记稻香世家·老盒饭（顾戴路店）</t>
  </si>
  <si>
    <t>31/153</t>
  </si>
  <si>
    <t>渔味妙酸菜鱼•烤鱼•鸡公煲（青年城店）</t>
  </si>
  <si>
    <t>9/83</t>
  </si>
  <si>
    <t>華府（上海太阳宫店）</t>
  </si>
  <si>
    <t>40/131</t>
  </si>
  <si>
    <t>李老哈·东北菜(嘉尚坊店)</t>
  </si>
  <si>
    <t>16/84</t>
  </si>
  <si>
    <t>一品轩餐厅（松江新城店）</t>
  </si>
  <si>
    <t>20/78</t>
  </si>
  <si>
    <t>林起新烧腊·粿条·猪脚饭(越界店)</t>
  </si>
  <si>
    <t>23/75</t>
  </si>
  <si>
    <t>集佰坊·大众饭堂（鹤洁路店）</t>
  </si>
  <si>
    <t>35/165</t>
  </si>
  <si>
    <t>车墩渔味妙·酸菜鱼烤鱼(影佳路店）</t>
  </si>
  <si>
    <t>18/101</t>
  </si>
  <si>
    <t>湘识·市井长沙小炒（九堡店）</t>
  </si>
  <si>
    <t>18/78</t>
  </si>
  <si>
    <t>稻香世家芳甸路店</t>
  </si>
  <si>
    <t>20/112</t>
  </si>
  <si>
    <t>严二嬢鲜鱼火锅（泥城店）</t>
  </si>
  <si>
    <t>29/177</t>
  </si>
  <si>
    <t>来财临沂特色炒鸡·鲁菜小炒（泗泾店）</t>
  </si>
  <si>
    <t>20/88</t>
  </si>
  <si>
    <t>严二孃鲜鱼火锅（书院店）</t>
  </si>
  <si>
    <t>1/4</t>
  </si>
  <si>
    <t>益膳·湖南土菜(长阳创谷店)</t>
  </si>
  <si>
    <t>16/69</t>
  </si>
  <si>
    <t>申梦·上海菜烤鸭（南桥店）</t>
  </si>
  <si>
    <t>25/97</t>
  </si>
  <si>
    <t>严二孃鲜鱼火锅（金杨路店）</t>
  </si>
  <si>
    <t>22/112</t>
  </si>
  <si>
    <t>TurcTaj图尔克泰姬印度土耳其餐厅酒吧(长宁店)</t>
  </si>
  <si>
    <t>5/19</t>
  </si>
  <si>
    <t>申梦·江浙菜·小海鲜（金杨店）</t>
  </si>
  <si>
    <t>16/67</t>
  </si>
  <si>
    <t>孙记稻香世家·老盒饭（长城大厦店）</t>
  </si>
  <si>
    <t>40/114</t>
  </si>
  <si>
    <t>集佰坊大众饭堂（航头店）</t>
  </si>
  <si>
    <t>7/77</t>
  </si>
  <si>
    <t>竹筷子·松江味（鹿都广场店）</t>
  </si>
  <si>
    <t>15/68</t>
  </si>
  <si>
    <t>俞记现炒（老饭盒·金钟路店）</t>
  </si>
  <si>
    <t>67/185</t>
  </si>
  <si>
    <t>孙记稻香世家（叁宸里店）</t>
  </si>
  <si>
    <t>44/150</t>
  </si>
  <si>
    <t>溪雨观鲜活鱼馆（绚荟城店）</t>
  </si>
  <si>
    <t>56/198</t>
  </si>
  <si>
    <t>李老哈·东北农家小院(海上海店)</t>
  </si>
  <si>
    <t>43/131</t>
  </si>
  <si>
    <t>鲜鱼潭·水煮鱼（临平店）</t>
  </si>
  <si>
    <t>32/140</t>
  </si>
  <si>
    <t>稻香世家金山店</t>
  </si>
  <si>
    <t>22/119</t>
  </si>
  <si>
    <t>李老哈·东北菜(长阳创谷店)</t>
  </si>
  <si>
    <t>19/69</t>
  </si>
  <si>
    <t>溪雨观酸菜鱼·烤鱼·鸡公煲（临港店）</t>
  </si>
  <si>
    <t>18/45</t>
  </si>
  <si>
    <t>龙记（上滨店）</t>
  </si>
  <si>
    <t>44/131</t>
  </si>
  <si>
    <t>歪胖子·贵州酸汤牛肉米线（金山万达店）</t>
  </si>
  <si>
    <t>39/146</t>
  </si>
  <si>
    <t>孙记稻香世家三林店</t>
  </si>
  <si>
    <t>49/150</t>
  </si>
  <si>
    <t>筱灶湘·鲜炒乡里土菜（牡丹江路店）</t>
  </si>
  <si>
    <t>28/71</t>
  </si>
  <si>
    <t>稻香世家（中环百联店）</t>
  </si>
  <si>
    <t>48/141</t>
  </si>
  <si>
    <t>枫林亭·新浙菜（华泾龙湖店）</t>
  </si>
  <si>
    <t>26/101</t>
  </si>
  <si>
    <t>申梦上荷·江浙菜(新达汇店）</t>
  </si>
  <si>
    <t>33/89</t>
  </si>
  <si>
    <t>麦麦提大串王(新疆烧烤·灵山路店)</t>
  </si>
  <si>
    <t>44/94</t>
  </si>
  <si>
    <t>锦府园（天荟广场店）</t>
  </si>
  <si>
    <t>见味花甲（西乡天虹店）</t>
  </si>
  <si>
    <t>87/241</t>
  </si>
  <si>
    <t>申梦上荷·上海菜.烤鸭（延吉东路店）</t>
  </si>
  <si>
    <t>3/18</t>
  </si>
  <si>
    <t>湘识·长沙·市井下饭菜(富都广场店)</t>
  </si>
  <si>
    <t>17/59</t>
  </si>
  <si>
    <t>文兴酒家(久光百货店)</t>
  </si>
  <si>
    <t>28/95</t>
  </si>
  <si>
    <t>李老哈（奉贤宝龙店）</t>
  </si>
  <si>
    <t>29/84</t>
  </si>
  <si>
    <t>湘识·长沙市井下饭菜（花木店）</t>
  </si>
  <si>
    <t>22/76</t>
  </si>
  <si>
    <t>锦府园(杭州来福士店)</t>
  </si>
  <si>
    <t>34/83</t>
  </si>
  <si>
    <t>李艳玲认真土豆粉(古北1699广场店)</t>
  </si>
  <si>
    <t>62/138</t>
  </si>
  <si>
    <t>新疆麦麦提大串王延长路</t>
  </si>
  <si>
    <t>20/66</t>
  </si>
  <si>
    <t>申梦上荷·江浙菜(虹桥路店）</t>
  </si>
  <si>
    <t>21/80</t>
  </si>
  <si>
    <t>胖掌柜·长沙小炒·地道湖南菜（宝山店）</t>
  </si>
  <si>
    <t>6/45</t>
  </si>
  <si>
    <t>龙记香港茶餐厅(静安MOHO店)</t>
  </si>
  <si>
    <t>14/47</t>
  </si>
  <si>
    <t>沙县小吃（蓝村路店）</t>
  </si>
  <si>
    <t>62/150</t>
  </si>
  <si>
    <t>龍记肠粉（茶点.粥.汤粉面）</t>
  </si>
  <si>
    <t>41/181</t>
  </si>
  <si>
    <t>9家湘菜（金谊广场店）</t>
  </si>
  <si>
    <t>36/89</t>
  </si>
  <si>
    <t>渔味妙酸菜鱼·烤鱼（丰庄路店）</t>
  </si>
  <si>
    <t>25/87</t>
  </si>
  <si>
    <t>孙记稻香世家·老盒饭（御桥店）</t>
  </si>
  <si>
    <t>44/122</t>
  </si>
  <si>
    <t>李老哈东北菜（南京东路店）</t>
  </si>
  <si>
    <t>29/114</t>
  </si>
  <si>
    <t>筱灶湘·鲜炒乡里土菜</t>
  </si>
  <si>
    <t>19/62</t>
  </si>
  <si>
    <t>川味面莊</t>
  </si>
  <si>
    <t>44/156</t>
  </si>
  <si>
    <t>见味花甲（天河领展店）</t>
  </si>
  <si>
    <t>68/140</t>
  </si>
  <si>
    <t>申梦上荷·江浙菜(水电路店）</t>
  </si>
  <si>
    <t>23/79</t>
  </si>
  <si>
    <t>见味花甲（丽影广场店）</t>
  </si>
  <si>
    <t>47/104</t>
  </si>
  <si>
    <t>沙县小吃（南翔店）</t>
  </si>
  <si>
    <t>49/188</t>
  </si>
  <si>
    <t>稻香世家（七巧国店）</t>
  </si>
  <si>
    <t>53/142</t>
  </si>
  <si>
    <t>醉美里(复悦荟店)</t>
  </si>
  <si>
    <t>16/52</t>
  </si>
  <si>
    <t>稻香世家（花都店）</t>
  </si>
  <si>
    <t>41/133</t>
  </si>
  <si>
    <t>吴记兴手工里脊肉</t>
  </si>
  <si>
    <t>5/38</t>
  </si>
  <si>
    <t>孙记稻香世家·老盒饭（悠方店）</t>
  </si>
  <si>
    <t>54/146</t>
  </si>
  <si>
    <t>好宴世家（世博店）</t>
  </si>
  <si>
    <t>16/55</t>
  </si>
  <si>
    <t>醉美里（城中店）</t>
  </si>
  <si>
    <t>16/78</t>
  </si>
  <si>
    <t>季家菜·温州饭摊（世贸店）</t>
  </si>
  <si>
    <t>35/84</t>
  </si>
  <si>
    <t>渔味妙·酸菜鱼·烤鱼（安亭店）</t>
  </si>
  <si>
    <t>30/79</t>
  </si>
  <si>
    <t>稻香世家（丽宝广场店）</t>
  </si>
  <si>
    <t>34/128</t>
  </si>
  <si>
    <t>马己仙广东小馆（大宁音乐广场店）</t>
  </si>
  <si>
    <t>41/93</t>
  </si>
  <si>
    <t>陶姥姥砂锅· 广式啫啫煲（金谊广场店）</t>
  </si>
  <si>
    <t>40/89</t>
  </si>
  <si>
    <t>好宴世家(浦锦店)</t>
  </si>
  <si>
    <t>32/87</t>
  </si>
  <si>
    <t>红太阳鱼杂王·蜀湘川菜(杨浦保利店)</t>
  </si>
  <si>
    <t>申梦上荷·手作上海菜(陕西北路店)</t>
  </si>
  <si>
    <t>38/75</t>
  </si>
  <si>
    <t>濠七·糟粕醋火锅(知春路店)</t>
  </si>
  <si>
    <t>阿佑鲜烫牛肉米线（曹路店）</t>
  </si>
  <si>
    <t>21/68</t>
  </si>
  <si>
    <t>湘憨憨·自选餐厅·老盒饭(传媒港店)</t>
  </si>
  <si>
    <t>63/178</t>
  </si>
  <si>
    <t>大孩小孩·沙县小吃（金州安盛店）</t>
  </si>
  <si>
    <t>42/166</t>
  </si>
  <si>
    <t>穆兰德·牛肉煎包·锅贴牛肉盒（共康路店）</t>
  </si>
  <si>
    <t>38/117</t>
  </si>
  <si>
    <t>阿达西烤肉（新疆烧烤·花木店）</t>
  </si>
  <si>
    <t>25/69</t>
  </si>
  <si>
    <t>见味花甲（福永天虹店）</t>
  </si>
  <si>
    <t>48/189</t>
  </si>
  <si>
    <t>孙记稻香世家•老盒饭（壹中心店）</t>
  </si>
  <si>
    <t>64/166</t>
  </si>
  <si>
    <t>樊司令汤包·老面小笼包(翠竹路店)</t>
  </si>
  <si>
    <t>77/139</t>
  </si>
  <si>
    <t>红太阳鱼杂王·湘厨士·湖南小炒(张江店）</t>
  </si>
  <si>
    <t>3/7</t>
  </si>
  <si>
    <t>味师蒋大厨·老盒饭（江宁路店）</t>
  </si>
  <si>
    <t>42/83</t>
  </si>
  <si>
    <t>榕港·海鲜大酒楼(普陀店)</t>
  </si>
  <si>
    <t>33/72</t>
  </si>
  <si>
    <t>孙记稻香世家·老饭盒（佘山店）</t>
  </si>
  <si>
    <t>53/175</t>
  </si>
  <si>
    <t>麦麦提大串王(新疆烧烤·利津路店)</t>
  </si>
  <si>
    <t>17/61</t>
  </si>
  <si>
    <t>吉品小鲜（陆家嘴中心店）</t>
  </si>
  <si>
    <t>47/103</t>
  </si>
  <si>
    <t>華府（陆家嘴中心店）</t>
  </si>
  <si>
    <t>48/103</t>
  </si>
  <si>
    <t>味之绝美蛙鱼头火锅(宝山万达店)</t>
  </si>
  <si>
    <t>钵子传奇（塘桥店·湖南菜）</t>
  </si>
  <si>
    <t>24/59</t>
  </si>
  <si>
    <t>猫大大砂锅土豆粉面（九亭大街店）</t>
  </si>
  <si>
    <t>56/179</t>
  </si>
  <si>
    <t>醉美里(百联中环店)</t>
  </si>
  <si>
    <t>41/87</t>
  </si>
  <si>
    <t>古德鱿（虹口今雨荟店)</t>
  </si>
  <si>
    <t>6/26</t>
  </si>
  <si>
    <t>来食赣味特色江西菜</t>
  </si>
  <si>
    <t>31/81</t>
  </si>
  <si>
    <t>望炊烟・新家宴</t>
  </si>
  <si>
    <t>23/68</t>
  </si>
  <si>
    <t>大孩小孩·沙县小吃（和平店）</t>
  </si>
  <si>
    <t>56/167</t>
  </si>
  <si>
    <t>严二嬢鲜鱼火锅（南翔店）</t>
  </si>
  <si>
    <t>孙记稻香世家·老盒饭（宝乐印象城店）</t>
  </si>
  <si>
    <t>33/132</t>
  </si>
  <si>
    <t>龚阿婆·老成都川湘菜</t>
  </si>
  <si>
    <t>36/88</t>
  </si>
  <si>
    <t>江碗碗·江西小炒（双井店）</t>
  </si>
  <si>
    <t>沙县小吃(宝应店）</t>
  </si>
  <si>
    <t>25/124</t>
  </si>
  <si>
    <t>脆囍鲜（七宝宝龙店）</t>
  </si>
  <si>
    <t>1/6</t>
  </si>
  <si>
    <t>友川公厨</t>
  </si>
  <si>
    <t>65/134</t>
  </si>
  <si>
    <t>季家菜温州饭摊（黄浦店）</t>
  </si>
  <si>
    <t>36/83</t>
  </si>
  <si>
    <t>梅花境（七宝万科国际店）</t>
  </si>
  <si>
    <t>26/80</t>
  </si>
  <si>
    <t>麦麦提大串王(新疆烧烤·金杨店)</t>
  </si>
  <si>
    <t>25/66</t>
  </si>
  <si>
    <t>阿不先生·大排档（高新店）</t>
  </si>
  <si>
    <t>13/47</t>
  </si>
  <si>
    <t>竹筷子·松江味（佘山店）</t>
  </si>
  <si>
    <t>20/79</t>
  </si>
  <si>
    <t>沪二娘酸菜鱼·烤鱼•鸡公煲（申江南路店）</t>
  </si>
  <si>
    <t>43/174</t>
  </si>
  <si>
    <t>濠七·海南粉·糟粕醋牛肉粉（五道口店）</t>
  </si>
  <si>
    <t>74/117</t>
  </si>
  <si>
    <t>见味花甲（布吉·万象汇店）</t>
  </si>
  <si>
    <t>61/137</t>
  </si>
  <si>
    <t>见味花甲（怀集店）</t>
  </si>
  <si>
    <t>44/174</t>
  </si>
  <si>
    <t>海上三小姐•甜品•下午茶(世茂滨江店)</t>
  </si>
  <si>
    <t>10/15</t>
  </si>
  <si>
    <t>三江口·宜宾燃面（田林店）</t>
  </si>
  <si>
    <t>62/153</t>
  </si>
  <si>
    <t>见味花甲（仁恒梦中心店）</t>
  </si>
  <si>
    <t>97/203</t>
  </si>
  <si>
    <t>湘憨憨·自选餐厅·老饭盒（歌斐店）</t>
  </si>
  <si>
    <t>80/180</t>
  </si>
  <si>
    <t>禾园春茗·淮扬菜·非遗手作（开新里店）</t>
  </si>
  <si>
    <t>37/87</t>
  </si>
  <si>
    <t>螺小娘鸳鸯螺蛳粉（吾悦广场店）</t>
  </si>
  <si>
    <t>33/129</t>
  </si>
  <si>
    <t>古德鱿（周浦万达店）</t>
  </si>
  <si>
    <t>9/28</t>
  </si>
  <si>
    <t>王姐·鲜活酸菜鱼(新场店）</t>
  </si>
  <si>
    <t>见味花甲·花甲粉（宣武门店）</t>
  </si>
  <si>
    <t>80/125</t>
  </si>
  <si>
    <t>申梦上荷·江浙菜(龙川北路店)</t>
  </si>
  <si>
    <t>22/85</t>
  </si>
  <si>
    <t>阜阳卷馍菜煎饼</t>
  </si>
  <si>
    <t>48/174</t>
  </si>
  <si>
    <t>華府(One ITC店)</t>
  </si>
  <si>
    <t>28/75</t>
  </si>
  <si>
    <t>丰荷喜悦庭·新江浙菜（栖山路店）</t>
  </si>
  <si>
    <t>37/78</t>
  </si>
  <si>
    <t>金灶娘老宁波干蒸菜（泗泾店）</t>
  </si>
  <si>
    <t>20/80</t>
  </si>
  <si>
    <t>螺小娘鸳鸯螺蛳粉（中茂城店）</t>
  </si>
  <si>
    <t>68/150</t>
  </si>
  <si>
    <t>卓记新疆炒米粉（梅川路店）</t>
  </si>
  <si>
    <t>59/148</t>
  </si>
  <si>
    <t>申梦上荷·江浙菜(宝山店）</t>
  </si>
  <si>
    <t>25/53</t>
  </si>
  <si>
    <t>巷子有粉铺·湖南米粉（塘桥店）</t>
  </si>
  <si>
    <t>80/150</t>
  </si>
  <si>
    <t>孙记稻香世家·老盒饭（七宝店）</t>
  </si>
  <si>
    <t>47/95</t>
  </si>
  <si>
    <t>文兴烧腊·香港茶餐厅</t>
  </si>
  <si>
    <t>48/93</t>
  </si>
  <si>
    <t>申梦宴</t>
  </si>
  <si>
    <t>38/99</t>
  </si>
  <si>
    <t>杂粮煎饼（沈梅路店）</t>
  </si>
  <si>
    <t>59/133</t>
  </si>
  <si>
    <t>努尔疆烤肉（新疆烧烤·梅川路店）</t>
  </si>
  <si>
    <t>36/87</t>
  </si>
  <si>
    <t>大孩小孩·沙县小吃（弘源广场店）</t>
  </si>
  <si>
    <t>17/62</t>
  </si>
  <si>
    <t>稻香世家(天山路店)</t>
  </si>
  <si>
    <t>51/111</t>
  </si>
  <si>
    <t>申梦上荷·江浙菜(天山西路店）</t>
  </si>
  <si>
    <t>27/57</t>
  </si>
  <si>
    <t>湘憨憨•自选餐厅•老盒饭（花木店）</t>
  </si>
  <si>
    <t>63/126</t>
  </si>
  <si>
    <t>金灶娘老宁波干蒸菜(九亭店)</t>
  </si>
  <si>
    <t>43/91</t>
  </si>
  <si>
    <t>华三爷·干拌面（上海闵行七宝店）</t>
  </si>
  <si>
    <t>52/95</t>
  </si>
  <si>
    <t>沙县小吃（上海大学店）</t>
  </si>
  <si>
    <t>20/57</t>
  </si>
  <si>
    <t>佬湘集·湖南下饭菜（上生新所店）</t>
  </si>
  <si>
    <t>小俩口炸串(烤冷面·麻辣烫·铁板炒饭)</t>
  </si>
  <si>
    <t>9/37</t>
  </si>
  <si>
    <t>恒之丰·广式烧腊·猪脚饭(浙港店)</t>
  </si>
  <si>
    <t>68/139</t>
  </si>
  <si>
    <t>艾力特色羊肉串（新疆烧烤·浦东南路店）</t>
  </si>
  <si>
    <t>30/71</t>
  </si>
  <si>
    <t>菌小鲜·云南野山菌炒饭(嘉兴店)</t>
  </si>
  <si>
    <t>16/92</t>
  </si>
  <si>
    <t>沙县小吃(协和路店)</t>
  </si>
  <si>
    <t>7/13</t>
  </si>
  <si>
    <t>好宴世家（仲盛店）</t>
  </si>
  <si>
    <t>35/81</t>
  </si>
  <si>
    <t>撸串达人·民族烧烤（沪太路店）</t>
  </si>
  <si>
    <t>36/82</t>
  </si>
  <si>
    <t>阿佑鲜烫牛肉米线（大学路店）</t>
  </si>
  <si>
    <t>14/30</t>
  </si>
  <si>
    <t>君之喜·自选餐厅老盒饭</t>
  </si>
  <si>
    <t>97/168</t>
  </si>
  <si>
    <t>盖码湘·长沙现炒盖码饭（国霞路店）</t>
  </si>
  <si>
    <t>78/146</t>
  </si>
  <si>
    <t>源香山·沙县小食（惠南店）</t>
  </si>
  <si>
    <t>61/153</t>
  </si>
  <si>
    <t>新疆麦麦提大串王新源路</t>
  </si>
  <si>
    <t>44/79</t>
  </si>
  <si>
    <t>沙县小吃·隆江猪脚饭（适园路店）</t>
  </si>
  <si>
    <t>40/110</t>
  </si>
  <si>
    <t>食鼎鲜·鲜卤猪脚饭（苏州店）</t>
  </si>
  <si>
    <t>65/170</t>
  </si>
  <si>
    <t>豫味胡辣汤·八宝粥·水煎包·酱香饼（高跃路店）</t>
  </si>
  <si>
    <t>43/104</t>
  </si>
  <si>
    <t>红太阳鱼杂王（江桥万达店）</t>
  </si>
  <si>
    <t>2/13</t>
  </si>
  <si>
    <t>辣小妹麻辣烫(花果园门店)</t>
  </si>
  <si>
    <t>51/126</t>
  </si>
  <si>
    <t>海上三小姐（甜品•下午茶奉贤新城店）</t>
  </si>
  <si>
    <t>10/22</t>
  </si>
  <si>
    <t>味稻鲜.自选餐厅.老盒饭（保利广场店）</t>
  </si>
  <si>
    <t>57/128</t>
  </si>
  <si>
    <t>新疆努尔疆特色羊肉串(金通路店)</t>
  </si>
  <si>
    <t>36/84</t>
  </si>
  <si>
    <t>南汇散养白斩鸡（松江店）</t>
  </si>
  <si>
    <t>19/63</t>
  </si>
  <si>
    <t>宴福里·本帮菜（文定路店）</t>
  </si>
  <si>
    <t>42/67</t>
  </si>
  <si>
    <t>蜀南面馆</t>
  </si>
  <si>
    <t>阿佑鲜烫牛肉米线（北外滩来福士城市集市店）</t>
  </si>
  <si>
    <t>110/163</t>
  </si>
  <si>
    <t>佐庭右院（牛肉拌饭.烤肉饭.拌面.工大店）</t>
  </si>
  <si>
    <t>55/131</t>
  </si>
  <si>
    <t>孙记稻香世家·老盒饭（龙阳广场店）</t>
  </si>
  <si>
    <t>73/152</t>
  </si>
  <si>
    <t>令狐冲烤鱼·烧烤·小龙虾·江湖菜</t>
  </si>
  <si>
    <t>38/69</t>
  </si>
  <si>
    <t>大杜小·龙虾烧烤（浦东店）</t>
  </si>
  <si>
    <t>35/83</t>
  </si>
  <si>
    <t>味湘恋·湖南土菜(九亭店)</t>
  </si>
  <si>
    <t>48/91</t>
  </si>
  <si>
    <t>见味花甲(惠州店)</t>
  </si>
  <si>
    <t>110/193</t>
  </si>
  <si>
    <t>虬师娘·鲜卤猪脚饭（青石路店）</t>
  </si>
  <si>
    <t>18/85</t>
  </si>
  <si>
    <t>见味花甲（虹口龙之梦店）</t>
  </si>
  <si>
    <t>63/120</t>
  </si>
  <si>
    <t>红烧牛肉面·大锅羊肉汤（高跃路店）</t>
  </si>
  <si>
    <t>49/104</t>
  </si>
  <si>
    <t>沪二娘酸菜鱼·鸡公煲·烤鱼（卫零路店）</t>
  </si>
  <si>
    <t>2/10</t>
  </si>
  <si>
    <t>傣轻舂·舂鸡脚（轻食.健康餐·玖博广场店）</t>
  </si>
  <si>
    <t>44/86</t>
  </si>
  <si>
    <t>虾之道·龙虾烧烤·川湘菜（松东路店)</t>
  </si>
  <si>
    <t>35/86</t>
  </si>
  <si>
    <t>歪胖子</t>
  </si>
  <si>
    <t>68/157</t>
  </si>
  <si>
    <t>疆味烤肉拌饭</t>
  </si>
  <si>
    <t>71/134</t>
  </si>
  <si>
    <t>沐阳披萨（金科城店）</t>
  </si>
  <si>
    <t>75/197</t>
  </si>
  <si>
    <t>溪雨观鲜活酸菜鱼·烤鱼（永杰路店）</t>
  </si>
  <si>
    <t>83/142</t>
  </si>
  <si>
    <t>溪雨观酸菜鱼（虹桥店）</t>
  </si>
  <si>
    <t>110/191</t>
  </si>
  <si>
    <t>阿佑鲜烫牛肉米线(中心医院店)</t>
  </si>
  <si>
    <t>43/155</t>
  </si>
  <si>
    <t>好宴世家（颛桥店）</t>
  </si>
  <si>
    <t>44/82</t>
  </si>
  <si>
    <t>夜麗香·馄饨面馆（建国东路店）</t>
  </si>
  <si>
    <t>60/102</t>
  </si>
  <si>
    <t>见味花甲（深圳龙城万科里店）</t>
  </si>
  <si>
    <t>69/138</t>
  </si>
  <si>
    <t>榕港·海鲜大酒楼(松江店)</t>
  </si>
  <si>
    <t>25/64</t>
  </si>
  <si>
    <t>湘菜馆木桶饭（官堂店）</t>
  </si>
  <si>
    <t>79/122</t>
  </si>
  <si>
    <t>阿里王椒盐牛蛙（水产西路店）</t>
  </si>
  <si>
    <t>32/60</t>
  </si>
  <si>
    <t>湘憨憨·长沙现炒码·小吃（互联宝地店）</t>
  </si>
  <si>
    <t>94/151</t>
  </si>
  <si>
    <t>味湘恋·匠心湘菜·老坛剁椒鱼头（同乐店）</t>
  </si>
  <si>
    <t>31/80</t>
  </si>
  <si>
    <t>渔味妙酸菜鱼•烤鱼•鸡公煲（虹中路店）</t>
  </si>
  <si>
    <t>29/54</t>
  </si>
  <si>
    <t>福源沁.地道本帮菜（武定西路店）</t>
  </si>
  <si>
    <t>41/75</t>
  </si>
  <si>
    <t>申梦上荷·江浙菜(石泉路店）</t>
  </si>
  <si>
    <t>26/52</t>
  </si>
  <si>
    <t>三江口宜宾燃面（徐汇日月光店）</t>
  </si>
  <si>
    <t>121/184</t>
  </si>
  <si>
    <t>渝钟包子·拒绝预制包(中洲店)</t>
  </si>
  <si>
    <t>111/186</t>
  </si>
  <si>
    <t>百素我家酸菜鱼(闸北公园店)</t>
  </si>
  <si>
    <t>114/185</t>
  </si>
  <si>
    <t>榕港·本帮江浙菜（东鼎店）</t>
  </si>
  <si>
    <t>46/78</t>
  </si>
  <si>
    <t>静安小馆·浙菜家宴(共和新路店)</t>
  </si>
  <si>
    <t>39/70</t>
  </si>
  <si>
    <t>林起新·烧腊专门店(杨浦店)</t>
  </si>
  <si>
    <t>84/121</t>
  </si>
  <si>
    <t>沪二娘酸菜鱼烤鱼鸡公煲（山阳店）</t>
  </si>
  <si>
    <t>58/136</t>
  </si>
  <si>
    <t>宴福里本帮菜（中山北路店）</t>
  </si>
  <si>
    <t>40/63</t>
  </si>
  <si>
    <t>榕港花园酒店</t>
  </si>
  <si>
    <t>榕港·本帮江浙菜（北外滩远洋店）</t>
  </si>
  <si>
    <t>31/69</t>
  </si>
  <si>
    <t>三江口宜宾燃面（花都荟店）</t>
  </si>
  <si>
    <t>71/133</t>
  </si>
  <si>
    <t>林起新烧腊（粿条·猪脚饭·绿地滨江店)</t>
  </si>
  <si>
    <t>127/184</t>
  </si>
  <si>
    <t>见味花甲（华贸天地店）</t>
  </si>
  <si>
    <t>74/119</t>
  </si>
  <si>
    <t>见味花甲（吉之岛永旺店）</t>
  </si>
  <si>
    <t>66/134</t>
  </si>
  <si>
    <t>锋味大食堂·自选餐厅（商贸城三区二楼店）</t>
  </si>
  <si>
    <t>61/81</t>
  </si>
  <si>
    <t>榕港·本帮江浙菜（天禧店）</t>
  </si>
  <si>
    <t>32/52</t>
  </si>
  <si>
    <t>千浔的生鱼饭·海鲜波奇饭（曹杨路店）</t>
  </si>
  <si>
    <t>9/25</t>
  </si>
  <si>
    <t>阿不先生·大排档（吉购店）</t>
  </si>
  <si>
    <t>28/57</t>
  </si>
  <si>
    <t>味师蒋大厨现包手工水饺（恒丰路店）</t>
  </si>
  <si>
    <t>65/83</t>
  </si>
  <si>
    <t>天天画饼（鸡蛋饼·烤冷面·手抓饼）</t>
  </si>
  <si>
    <t>103/212</t>
  </si>
  <si>
    <t>辣都江湖川菜·龙虾烧烤（桂林路店）</t>
  </si>
  <si>
    <t>芸南阿朵·云南小炒（盛大天地店）</t>
  </si>
  <si>
    <t>110/168</t>
  </si>
  <si>
    <t>见味花甲（河北保定爱情广场店）</t>
  </si>
  <si>
    <t>20/58</t>
  </si>
  <si>
    <t>林起新·烧腊·粿条(传媒港店)</t>
  </si>
  <si>
    <t>117/178</t>
  </si>
  <si>
    <t>榕港海鲜酒楼（虹口店）</t>
  </si>
  <si>
    <t>49/79</t>
  </si>
  <si>
    <t>无辣不欢·新疆炒米粉（香坊店）</t>
  </si>
  <si>
    <t>109/202</t>
  </si>
  <si>
    <t>时珍序·古法茶饮(天津民园店)</t>
  </si>
  <si>
    <t>18/40</t>
  </si>
  <si>
    <t>梅花境(凌空SOHO店)</t>
  </si>
  <si>
    <t>43/76</t>
  </si>
  <si>
    <t>好宴世家非遗上海菜</t>
  </si>
  <si>
    <t>39/61</t>
  </si>
  <si>
    <t>元青藤·本帮菜·融合菜（东方路店）</t>
  </si>
  <si>
    <t>48/76</t>
  </si>
  <si>
    <t>傣轻舂·舂鸡脚（轻食.健康餐·尚嘉中心店）</t>
  </si>
  <si>
    <t>62/80</t>
  </si>
  <si>
    <t>努尔疆新疆羊肉串（烧烤·芳华路店）</t>
  </si>
  <si>
    <t>25/38</t>
  </si>
  <si>
    <t>华记拉面</t>
  </si>
  <si>
    <t>52/119</t>
  </si>
  <si>
    <t>虬师娘·沙县小吃(斜桥镇店)</t>
  </si>
  <si>
    <t>22/54</t>
  </si>
  <si>
    <t>龍记肠粉（侨滨苑店）</t>
  </si>
  <si>
    <t>99/158</t>
  </si>
  <si>
    <t>MAMA韩国炸鸡(火鸡面秀沿路店)</t>
  </si>
  <si>
    <t>20/27</t>
  </si>
  <si>
    <t>那七爷(牛肉米粉·盖码饭·新丸店)</t>
  </si>
  <si>
    <t>90/163</t>
  </si>
  <si>
    <t>海上三小姐（甜品.千层蛋糕.饮品·武侯店）</t>
  </si>
  <si>
    <t>18/24</t>
  </si>
  <si>
    <t>周周鸡公煲·烤鱼(炒菜·庆丰里店)</t>
  </si>
  <si>
    <t>96/145</t>
  </si>
  <si>
    <t>小广粥潮汕砂锅粥（华新店）</t>
  </si>
  <si>
    <t>28/42</t>
  </si>
  <si>
    <t>榕港名轩(徐家汇店)</t>
  </si>
  <si>
    <t>37/75</t>
  </si>
  <si>
    <t>沙县小吃（凤阳路店）</t>
  </si>
  <si>
    <t>114/212</t>
  </si>
  <si>
    <t>不入川豆花馆（花木店）</t>
  </si>
  <si>
    <t>54/85</t>
  </si>
  <si>
    <t>傣轻舂云南风味馆（吴中路店）</t>
  </si>
  <si>
    <t>33/57</t>
  </si>
  <si>
    <t>榕港海鲜（长寿路店）</t>
  </si>
  <si>
    <t>46/75</t>
  </si>
  <si>
    <t>青甜手作(糖水·甜品·水果茶)</t>
  </si>
  <si>
    <t>5/8</t>
  </si>
  <si>
    <t>歪胖子·贵州酸汤牛肉米线（日月光店）</t>
  </si>
  <si>
    <t>181/254</t>
  </si>
  <si>
    <t>沪二娘酸菜鱼烤鱼鸡公煲（叶榭店）</t>
  </si>
  <si>
    <t>107/192</t>
  </si>
  <si>
    <t>午郡朝鲜族汤饭（新玛特店）</t>
  </si>
  <si>
    <t>75/131</t>
  </si>
  <si>
    <t>猪角·中国猪脚饭（澜臻公园巷店）</t>
  </si>
  <si>
    <t>72/103</t>
  </si>
  <si>
    <t>和友湘见</t>
  </si>
  <si>
    <t>20/34</t>
  </si>
  <si>
    <t>今饺大王·水饺·大块牛肉面（歌斐店）</t>
  </si>
  <si>
    <t>135/180</t>
  </si>
  <si>
    <t>溪雨观酸菜鱼（华新宝龙城店
）</t>
  </si>
  <si>
    <t>93/116</t>
  </si>
  <si>
    <t>围辣小火锅（麻辣烫.火锅.清风路店）</t>
  </si>
  <si>
    <t>123/179</t>
  </si>
  <si>
    <t>鄰里·手打柠檬</t>
  </si>
  <si>
    <t>31/62</t>
  </si>
  <si>
    <t>宝玉米线炸串（世购店）</t>
  </si>
  <si>
    <t>121/197</t>
  </si>
  <si>
    <t>傣轻舂·舂鸡脚（百脑汇店）</t>
  </si>
  <si>
    <t>106/127</t>
  </si>
  <si>
    <t>那七爷(牛肉米粉·盖码饭·百盛店)</t>
  </si>
  <si>
    <t>87/111</t>
  </si>
  <si>
    <t>叶先生汤包馆（盖浇饭）</t>
  </si>
  <si>
    <t>107/127</t>
  </si>
  <si>
    <t>见面渝筷·现炒浇头面（五角场店）</t>
  </si>
  <si>
    <t>102/121</t>
  </si>
  <si>
    <t>穆乡临·兰州拉面（华创园店）</t>
  </si>
  <si>
    <t>127/186</t>
  </si>
  <si>
    <t>烹之道·港式茶餐厅（大学城店）</t>
  </si>
  <si>
    <t>37/49</t>
  </si>
  <si>
    <t>客佳梅州盐焗食品店（凤凰城店）</t>
  </si>
  <si>
    <t>11/17</t>
  </si>
  <si>
    <t>中国重庆马海洋牛肉面馆（汇景花园店）</t>
  </si>
  <si>
    <t>104/171</t>
  </si>
  <si>
    <t>见味花甲（哈尔滨南岗店）</t>
  </si>
  <si>
    <t>91/128</t>
  </si>
  <si>
    <t>海上三小姐（龙东大道店）</t>
  </si>
  <si>
    <t>7/8</t>
  </si>
  <si>
    <t>三江源牛肉拉面（涵玉翠岭店）</t>
  </si>
  <si>
    <t>135/164</t>
  </si>
  <si>
    <t>尚干拌面扁肉鲜捞</t>
  </si>
  <si>
    <t>27/35</t>
  </si>
  <si>
    <t>宴雅轩·江浙小馆(虹桥店)</t>
  </si>
  <si>
    <t>49/77</t>
  </si>
  <si>
    <t>榕港海鲜酒楼（疁城店）</t>
  </si>
  <si>
    <t>38/55</t>
  </si>
  <si>
    <t>集螺汇骨汤螺蛳粉（川师南门店）</t>
  </si>
  <si>
    <t>38/43</t>
  </si>
  <si>
    <t>海上三小姐•甜品•下午茶（成都成华店）</t>
  </si>
  <si>
    <t>37/45</t>
  </si>
  <si>
    <t>福源鲜·拌菜·拌鸡架（江南店）</t>
  </si>
  <si>
    <t>30/40</t>
  </si>
  <si>
    <t>那七爷(锅气炒粉·汤粉·新世界店)</t>
  </si>
  <si>
    <t>105/163</t>
  </si>
  <si>
    <t>榕港·本帮江浙菜（浦东店）</t>
  </si>
  <si>
    <t>57/78</t>
  </si>
  <si>
    <t>宴福里•经典本帮菜（漕宝路店）</t>
  </si>
  <si>
    <t>48/63</t>
  </si>
  <si>
    <t>大秦面馆（水晶郦都店）</t>
  </si>
  <si>
    <t>180/220</t>
  </si>
  <si>
    <t>叁味螺·螺蛳粉</t>
  </si>
  <si>
    <t>44/59</t>
  </si>
  <si>
    <t>小满酸辣粉</t>
  </si>
  <si>
    <t>33/66</t>
  </si>
  <si>
    <t>筱灶湘·鲜炒乡里土菜（共康路店）</t>
  </si>
  <si>
    <t>51/70</t>
  </si>
  <si>
    <t>潮品全牛鲜牛肉火锅（冒菜·曹路店）</t>
  </si>
  <si>
    <t>4/8</t>
  </si>
  <si>
    <t>VibeSip Coffee&amp;Lemon（福和万达店）</t>
  </si>
  <si>
    <t>17/24</t>
  </si>
  <si>
    <t>Fish鱼众不同·酸菜鱼（联东U谷店）</t>
  </si>
  <si>
    <t>235/273</t>
  </si>
  <si>
    <t>鸿粤兴港式餐厅</t>
  </si>
  <si>
    <t>40/64</t>
  </si>
  <si>
    <t>小俩口厨房(现炒快餐、炒菜)</t>
  </si>
  <si>
    <t>41/57</t>
  </si>
  <si>
    <t>卷王之王·徐州肉筋卷饼(虹桥店)</t>
  </si>
  <si>
    <t>闽家鲜福州小吃</t>
  </si>
  <si>
    <t>31/41</t>
  </si>
  <si>
    <t>悦食堂·隆江猪脚饭（游乐场店）</t>
  </si>
  <si>
    <t>95/123</t>
  </si>
  <si>
    <t>珍滋坊包子（德淳路店）</t>
  </si>
  <si>
    <t>125/144</t>
  </si>
  <si>
    <t>秘制小腰烧烤（原嘉华学院店）</t>
  </si>
  <si>
    <t>0/0</t>
  </si>
  <si>
    <t>妙可蓝多工厂店</t>
  </si>
  <si>
    <t>45/52</t>
  </si>
  <si>
    <t>今禧手作（糖水铺）</t>
  </si>
  <si>
    <t>44/52</t>
  </si>
  <si>
    <t>林起新烧腊专门店（红星美凯龙店）</t>
  </si>
  <si>
    <t>132/141</t>
  </si>
  <si>
    <t>竹筷子·社区长者食堂（谷水店）</t>
  </si>
  <si>
    <t>166/199</t>
  </si>
  <si>
    <t>那七爷(锅气炒粉·汤粉·吴江路店)</t>
  </si>
  <si>
    <t>89/107</t>
  </si>
  <si>
    <t>老熊家包子铺（滨水天悦店）</t>
  </si>
  <si>
    <t>115/141</t>
  </si>
  <si>
    <t>艾马铃·原切鲜炸薯片（学府苑店）</t>
  </si>
  <si>
    <t>82/128</t>
  </si>
  <si>
    <t>孙记面馆水饺</t>
  </si>
  <si>
    <t>119/140</t>
  </si>
  <si>
    <t>臻厨·江浙粤融合菜（国家会展中心店）</t>
  </si>
  <si>
    <t>81/96</t>
  </si>
  <si>
    <t>Meliora cake米洛拉(浦东店)</t>
  </si>
  <si>
    <t>三禧砂锅米线·特色砂锅菜(山东科技大学店)</t>
  </si>
  <si>
    <t>116/121</t>
  </si>
  <si>
    <t>今湘识(余杭万达店)</t>
  </si>
  <si>
    <t>傣轻春·舂鸡脚（轻食健康餐·览海国际店）</t>
  </si>
  <si>
    <t>升翔金牌霸王鸡爪(篆新店)</t>
  </si>
  <si>
    <t>卧虎尝鲜·鱼蛙煲（徐家汇店）</t>
  </si>
  <si>
    <t>喜陶Coffee</t>
  </si>
  <si>
    <t>49/61</t>
  </si>
  <si>
    <t>多几谷·煎饼凉皮（新世界城店）</t>
  </si>
  <si>
    <t>18/23</t>
  </si>
  <si>
    <t>妙可蓝多工厂直营店</t>
  </si>
  <si>
    <t>26/28</t>
  </si>
  <si>
    <t>家之味铁锅焖面</t>
  </si>
  <si>
    <t>110/128</t>
  </si>
  <si>
    <t>屋里享COFFEE·TEA</t>
  </si>
  <si>
    <t>54/56</t>
  </si>
  <si>
    <t>山江山鲜切鸡煲</t>
  </si>
  <si>
    <t>日日旺山野鲜货火锅</t>
  </si>
  <si>
    <t>75/82</t>
  </si>
  <si>
    <t>本味牛肉汤</t>
  </si>
  <si>
    <t>林起新烧腊专门店（前滩时光里店）</t>
  </si>
  <si>
    <t>172/181</t>
  </si>
  <si>
    <t>歪胖子.贵州酸汤牛肉米线（浦江万达店）</t>
  </si>
  <si>
    <t>56/61</t>
  </si>
  <si>
    <t>王氏现捞</t>
  </si>
  <si>
    <t>筱灶湘（长江南路店）</t>
  </si>
  <si>
    <t>红太阳•活虾现炒(人民广场店)</t>
  </si>
  <si>
    <t>虹兴·骨头锅.贵州酸汤米线</t>
  </si>
  <si>
    <t>78/79</t>
  </si>
  <si>
    <t>言记·乡野大排档烧烤龙虾</t>
  </si>
  <si>
    <t>阿佑鲜烫牛肉米线（新村路店）</t>
  </si>
  <si>
    <t>馬記烧腊</t>
  </si>
  <si>
    <t>马记香港烧腊</t>
  </si>
  <si>
    <t>张二掰天津刨冰(山大路店)</t>
  </si>
  <si>
    <t>32/32</t>
  </si>
  <si>
    <t>马老二东北水饺</t>
  </si>
  <si>
    <t>189/190</t>
  </si>
  <si>
    <t>佳元美食(花甲粉)</t>
  </si>
  <si>
    <t>91/91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</si>
</sst>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FFFF"/>
      <name val="Microsoft YaHei"/>
      <charset val="134"/>
    </font>
    <font>
      <b/>
      <sz val="14"/>
      <color rgb="FFFF0000"/>
      <name val="Microsoft YaHei"/>
      <charset val="134"/>
    </font>
    <font>
      <b/>
      <sz val="11"/>
      <color rgb="FF000000"/>
      <name val="Microsoft YaHei"/>
      <charset val="134"/>
    </font>
    <font>
      <b/>
      <sz val="11"/>
      <color rgb="FFFF0000"/>
      <name val="Microsoft YaHei"/>
      <charset val="134"/>
    </font>
    <font>
      <sz val="10"/>
      <color rgb="FF303133"/>
      <name val="Microsoft YaHei"/>
      <charset val="134"/>
    </font>
    <font>
      <sz val="10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3458;&#25143;&#34920;&#26368;&#26032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美团ID（完善）</v>
          </cell>
          <cell r="C1" t="str">
            <v>饿了么ID（完善）</v>
          </cell>
          <cell r="D1" t="str">
            <v>运营总监</v>
          </cell>
          <cell r="E1" t="str">
            <v>客户等级</v>
          </cell>
        </row>
        <row r="2">
          <cell r="B2">
            <v>28297182</v>
          </cell>
          <cell r="C2">
            <v>529740973</v>
          </cell>
          <cell r="D2" t="str">
            <v>徐从众</v>
          </cell>
          <cell r="E2" t="str">
            <v>S</v>
          </cell>
        </row>
        <row r="3">
          <cell r="B3">
            <v>23732766</v>
          </cell>
          <cell r="C3">
            <v>520277737</v>
          </cell>
          <cell r="D3" t="str">
            <v>王森</v>
          </cell>
          <cell r="E3" t="str">
            <v>S</v>
          </cell>
        </row>
        <row r="4">
          <cell r="B4">
            <v>28296844</v>
          </cell>
          <cell r="C4">
            <v>529391242</v>
          </cell>
          <cell r="D4" t="str">
            <v>徐从众</v>
          </cell>
          <cell r="E4" t="str">
            <v>S</v>
          </cell>
        </row>
        <row r="5">
          <cell r="B5">
            <v>26067101</v>
          </cell>
          <cell r="C5">
            <v>525138508</v>
          </cell>
          <cell r="D5" t="str">
            <v>徐从众</v>
          </cell>
          <cell r="E5" t="str">
            <v>S</v>
          </cell>
        </row>
        <row r="6">
          <cell r="B6">
            <v>29295748</v>
          </cell>
          <cell r="C6">
            <v>1298770846</v>
          </cell>
          <cell r="D6" t="str">
            <v>徐从众</v>
          </cell>
          <cell r="E6" t="str">
            <v>S</v>
          </cell>
        </row>
        <row r="7">
          <cell r="B7">
            <v>9666955</v>
          </cell>
          <cell r="C7">
            <v>2042488535</v>
          </cell>
          <cell r="D7" t="str">
            <v>徐从众</v>
          </cell>
          <cell r="E7" t="str">
            <v>S</v>
          </cell>
        </row>
        <row r="8">
          <cell r="B8">
            <v>14585759</v>
          </cell>
          <cell r="C8">
            <v>506658635</v>
          </cell>
          <cell r="D8" t="str">
            <v>徐从众</v>
          </cell>
          <cell r="E8" t="str">
            <v>S</v>
          </cell>
        </row>
        <row r="9">
          <cell r="B9">
            <v>7138977</v>
          </cell>
          <cell r="C9">
            <v>174271344</v>
          </cell>
          <cell r="D9" t="str">
            <v>徐从众</v>
          </cell>
          <cell r="E9" t="str">
            <v>S</v>
          </cell>
        </row>
        <row r="10">
          <cell r="B10">
            <v>27690340</v>
          </cell>
          <cell r="C10">
            <v>1282686895</v>
          </cell>
          <cell r="D10" t="str">
            <v>徐从众</v>
          </cell>
          <cell r="E10" t="str">
            <v>S</v>
          </cell>
        </row>
        <row r="11">
          <cell r="B11">
            <v>29403351</v>
          </cell>
          <cell r="C11">
            <v>531341138</v>
          </cell>
          <cell r="D11" t="str">
            <v>徐从众</v>
          </cell>
          <cell r="E11" t="str">
            <v>S</v>
          </cell>
        </row>
        <row r="12">
          <cell r="B12">
            <v>17412743</v>
          </cell>
          <cell r="C12">
            <v>1174811920</v>
          </cell>
          <cell r="D12" t="str">
            <v>徐从众</v>
          </cell>
          <cell r="E12" t="str">
            <v>S</v>
          </cell>
        </row>
        <row r="13">
          <cell r="B13">
            <v>27497748</v>
          </cell>
          <cell r="C13">
            <v>1271448048</v>
          </cell>
          <cell r="D13" t="str">
            <v>徐从众</v>
          </cell>
          <cell r="E13" t="str">
            <v>S</v>
          </cell>
        </row>
        <row r="14">
          <cell r="B14">
            <v>27083884</v>
          </cell>
          <cell r="C14">
            <v>516010461</v>
          </cell>
          <cell r="D14" t="str">
            <v>徐从众</v>
          </cell>
          <cell r="E14" t="str">
            <v>S</v>
          </cell>
        </row>
        <row r="15">
          <cell r="B15">
            <v>19470741</v>
          </cell>
          <cell r="C15">
            <v>511226561</v>
          </cell>
          <cell r="D15" t="str">
            <v>徐从众</v>
          </cell>
          <cell r="E15" t="str">
            <v>S</v>
          </cell>
        </row>
        <row r="16">
          <cell r="B16">
            <v>30200335</v>
          </cell>
          <cell r="C16">
            <v>536370458</v>
          </cell>
          <cell r="D16" t="str">
            <v>王森</v>
          </cell>
          <cell r="E16" t="str">
            <v>A</v>
          </cell>
        </row>
        <row r="17">
          <cell r="B17">
            <v>29303227</v>
          </cell>
          <cell r="C17">
            <v>531195935</v>
          </cell>
          <cell r="D17" t="str">
            <v>徐从众</v>
          </cell>
          <cell r="E17" t="str">
            <v>S</v>
          </cell>
        </row>
        <row r="18">
          <cell r="B18">
            <v>25890779</v>
          </cell>
          <cell r="C18">
            <v>1259264652</v>
          </cell>
          <cell r="D18" t="str">
            <v>徐从众</v>
          </cell>
          <cell r="E18" t="str">
            <v>S</v>
          </cell>
        </row>
        <row r="19">
          <cell r="B19">
            <v>25758886</v>
          </cell>
          <cell r="C19">
            <v>1249307179</v>
          </cell>
          <cell r="D19" t="str">
            <v>徐从众</v>
          </cell>
          <cell r="E19" t="str">
            <v>S</v>
          </cell>
        </row>
        <row r="20">
          <cell r="B20">
            <v>25506228</v>
          </cell>
          <cell r="C20">
            <v>1248041415</v>
          </cell>
          <cell r="D20" t="str">
            <v>徐从众</v>
          </cell>
          <cell r="E20" t="str">
            <v>A</v>
          </cell>
        </row>
        <row r="21">
          <cell r="B21">
            <v>26657915</v>
          </cell>
          <cell r="C21">
            <v>1270285521</v>
          </cell>
          <cell r="D21" t="str">
            <v>徐从众</v>
          </cell>
          <cell r="E21" t="str">
            <v>S</v>
          </cell>
        </row>
        <row r="22">
          <cell r="B22">
            <v>28901613</v>
          </cell>
          <cell r="C22">
            <v>528771670</v>
          </cell>
          <cell r="D22" t="str">
            <v>徐从众</v>
          </cell>
          <cell r="E22" t="str">
            <v>S</v>
          </cell>
        </row>
        <row r="23">
          <cell r="B23">
            <v>10658471</v>
          </cell>
          <cell r="C23">
            <v>2062907387</v>
          </cell>
          <cell r="D23" t="str">
            <v>徐从众</v>
          </cell>
          <cell r="E23" t="str">
            <v>A</v>
          </cell>
        </row>
        <row r="24">
          <cell r="B24">
            <v>22347828</v>
          </cell>
          <cell r="C24">
            <v>1284394720</v>
          </cell>
          <cell r="D24" t="str">
            <v>徐从众</v>
          </cell>
          <cell r="E24" t="str">
            <v>S</v>
          </cell>
        </row>
        <row r="25">
          <cell r="B25">
            <v>26665923</v>
          </cell>
          <cell r="C25">
            <v>527592152</v>
          </cell>
          <cell r="D25" t="str">
            <v>徐从众</v>
          </cell>
          <cell r="E25" t="str">
            <v>S</v>
          </cell>
        </row>
        <row r="26">
          <cell r="B26">
            <v>14914577</v>
          </cell>
          <cell r="C26">
            <v>2000718880</v>
          </cell>
          <cell r="D26" t="str">
            <v>徐从众</v>
          </cell>
          <cell r="E26" t="str">
            <v>S</v>
          </cell>
        </row>
        <row r="27">
          <cell r="B27">
            <v>29690960</v>
          </cell>
          <cell r="C27">
            <v>1301949026</v>
          </cell>
          <cell r="D27" t="str">
            <v>徐从众</v>
          </cell>
          <cell r="E27" t="str">
            <v>S</v>
          </cell>
        </row>
        <row r="28">
          <cell r="B28">
            <v>27144392</v>
          </cell>
          <cell r="C28">
            <v>1261974560</v>
          </cell>
          <cell r="D28" t="str">
            <v>徐从众</v>
          </cell>
          <cell r="E28" t="str">
            <v>S</v>
          </cell>
        </row>
        <row r="29">
          <cell r="B29">
            <v>29372629</v>
          </cell>
          <cell r="C29">
            <v>532120383</v>
          </cell>
          <cell r="D29" t="str">
            <v>徐从众</v>
          </cell>
          <cell r="E29" t="str">
            <v>S</v>
          </cell>
        </row>
        <row r="30">
          <cell r="B30">
            <v>30399535</v>
          </cell>
          <cell r="C30">
            <v>1312747909</v>
          </cell>
          <cell r="D30" t="str">
            <v>王森</v>
          </cell>
          <cell r="E30" t="str">
            <v>S</v>
          </cell>
        </row>
        <row r="31">
          <cell r="B31">
            <v>23744022</v>
          </cell>
          <cell r="C31">
            <v>1213799082</v>
          </cell>
          <cell r="D31" t="str">
            <v>徐从众</v>
          </cell>
          <cell r="E31" t="str">
            <v>S</v>
          </cell>
        </row>
        <row r="32">
          <cell r="B32">
            <v>27987768</v>
          </cell>
          <cell r="C32">
            <v>1287679869</v>
          </cell>
          <cell r="D32" t="str">
            <v>徐从众</v>
          </cell>
          <cell r="E32" t="str">
            <v>S</v>
          </cell>
        </row>
        <row r="33">
          <cell r="B33">
            <v>24467128</v>
          </cell>
          <cell r="C33">
            <v>1236851290</v>
          </cell>
          <cell r="D33" t="str">
            <v>徐从众</v>
          </cell>
          <cell r="E33" t="str">
            <v>S</v>
          </cell>
        </row>
        <row r="34">
          <cell r="B34">
            <v>25599705</v>
          </cell>
          <cell r="C34">
            <v>1190914754</v>
          </cell>
          <cell r="D34" t="str">
            <v>徐从众</v>
          </cell>
          <cell r="E34" t="str">
            <v>S</v>
          </cell>
        </row>
        <row r="35">
          <cell r="B35">
            <v>26911062</v>
          </cell>
          <cell r="C35">
            <v>1237180991</v>
          </cell>
          <cell r="D35" t="str">
            <v>王森</v>
          </cell>
          <cell r="E35" t="str">
            <v>S</v>
          </cell>
        </row>
        <row r="36">
          <cell r="B36">
            <v>9987710</v>
          </cell>
          <cell r="C36">
            <v>2043888532</v>
          </cell>
          <cell r="D36" t="str">
            <v>徐从众</v>
          </cell>
          <cell r="E36" t="str">
            <v>S</v>
          </cell>
        </row>
        <row r="37">
          <cell r="B37">
            <v>27810629</v>
          </cell>
          <cell r="C37">
            <v>1287989590</v>
          </cell>
          <cell r="D37" t="str">
            <v>徐从众</v>
          </cell>
          <cell r="E37" t="str">
            <v>S</v>
          </cell>
        </row>
        <row r="38">
          <cell r="B38">
            <v>16557073</v>
          </cell>
          <cell r="C38">
            <v>529315391</v>
          </cell>
          <cell r="D38" t="str">
            <v>徐从众</v>
          </cell>
          <cell r="E38" t="str">
            <v>A</v>
          </cell>
        </row>
        <row r="39">
          <cell r="B39">
            <v>14221883</v>
          </cell>
          <cell r="C39">
            <v>505297762</v>
          </cell>
          <cell r="D39" t="str">
            <v>王森</v>
          </cell>
          <cell r="E39" t="str">
            <v>S</v>
          </cell>
        </row>
        <row r="40">
          <cell r="B40">
            <v>16138679</v>
          </cell>
          <cell r="C40">
            <v>1101938176</v>
          </cell>
          <cell r="D40" t="str">
            <v>徐从众</v>
          </cell>
          <cell r="E40" t="str">
            <v>A</v>
          </cell>
        </row>
        <row r="41">
          <cell r="B41">
            <v>29780772</v>
          </cell>
          <cell r="C41">
            <v>534324274</v>
          </cell>
          <cell r="D41" t="str">
            <v>岳贝贝</v>
          </cell>
          <cell r="E41" t="str">
            <v>A</v>
          </cell>
        </row>
        <row r="42">
          <cell r="B42">
            <v>30686965</v>
          </cell>
          <cell r="C42">
            <v>2057183637</v>
          </cell>
          <cell r="D42" t="str">
            <v>岳贝贝</v>
          </cell>
          <cell r="E42" t="str">
            <v>A</v>
          </cell>
        </row>
        <row r="43">
          <cell r="B43">
            <v>25493658</v>
          </cell>
          <cell r="C43">
            <v>1128333508</v>
          </cell>
          <cell r="D43" t="str">
            <v>徐从众</v>
          </cell>
          <cell r="E43" t="str">
            <v>A</v>
          </cell>
        </row>
        <row r="44">
          <cell r="B44">
            <v>29092917</v>
          </cell>
          <cell r="C44">
            <v>1297201658</v>
          </cell>
          <cell r="D44" t="str">
            <v>岳贝贝</v>
          </cell>
          <cell r="E44" t="str">
            <v>B</v>
          </cell>
        </row>
        <row r="45">
          <cell r="B45">
            <v>25008767</v>
          </cell>
          <cell r="C45">
            <v>522594683</v>
          </cell>
          <cell r="D45" t="str">
            <v>刘欢</v>
          </cell>
          <cell r="E45" t="str">
            <v>A</v>
          </cell>
        </row>
        <row r="46">
          <cell r="B46">
            <v>8356389</v>
          </cell>
          <cell r="C46">
            <v>143532383</v>
          </cell>
          <cell r="D46" t="str">
            <v>王森</v>
          </cell>
          <cell r="E46" t="str">
            <v>S</v>
          </cell>
        </row>
        <row r="47">
          <cell r="B47">
            <v>28211787</v>
          </cell>
          <cell r="C47">
            <v>530895052</v>
          </cell>
          <cell r="D47" t="str">
            <v>徐从众</v>
          </cell>
          <cell r="E47" t="str">
            <v>S</v>
          </cell>
        </row>
        <row r="48">
          <cell r="B48" t="str">
            <v>待合作</v>
          </cell>
          <cell r="C48">
            <v>533889514</v>
          </cell>
          <cell r="D48" t="str">
            <v>岳贝贝</v>
          </cell>
          <cell r="E48" t="str">
            <v>B</v>
          </cell>
        </row>
        <row r="49">
          <cell r="B49">
            <v>27756842</v>
          </cell>
          <cell r="C49">
            <v>1261046857</v>
          </cell>
          <cell r="D49" t="str">
            <v>王森</v>
          </cell>
          <cell r="E49" t="str">
            <v>S</v>
          </cell>
        </row>
        <row r="50">
          <cell r="B50">
            <v>31084482</v>
          </cell>
          <cell r="C50">
            <v>540782855</v>
          </cell>
          <cell r="D50" t="str">
            <v>岳贝贝</v>
          </cell>
          <cell r="E50" t="str">
            <v>S</v>
          </cell>
        </row>
        <row r="51">
          <cell r="B51">
            <v>14779898</v>
          </cell>
          <cell r="C51">
            <v>167995578</v>
          </cell>
          <cell r="D51" t="str">
            <v>徐从众</v>
          </cell>
          <cell r="E51" t="str">
            <v>A</v>
          </cell>
        </row>
        <row r="52">
          <cell r="B52">
            <v>28725709</v>
          </cell>
          <cell r="C52">
            <v>534960212</v>
          </cell>
          <cell r="D52" t="str">
            <v>岳贝贝</v>
          </cell>
          <cell r="E52" t="str">
            <v>B</v>
          </cell>
        </row>
        <row r="53">
          <cell r="B53">
            <v>28471284</v>
          </cell>
          <cell r="C53">
            <v>1293565429</v>
          </cell>
          <cell r="D53" t="str">
            <v>王森</v>
          </cell>
          <cell r="E53" t="str">
            <v>S</v>
          </cell>
        </row>
        <row r="54">
          <cell r="B54">
            <v>27333258</v>
          </cell>
          <cell r="C54">
            <v>1271447989</v>
          </cell>
          <cell r="D54" t="str">
            <v>徐从众</v>
          </cell>
          <cell r="E54" t="str">
            <v>S</v>
          </cell>
        </row>
        <row r="55">
          <cell r="B55">
            <v>25003955</v>
          </cell>
          <cell r="C55">
            <v>521044775</v>
          </cell>
          <cell r="D55" t="str">
            <v>王森</v>
          </cell>
          <cell r="E55" t="str">
            <v>S</v>
          </cell>
        </row>
        <row r="56">
          <cell r="B56">
            <v>28179185</v>
          </cell>
          <cell r="C56">
            <v>1282676230</v>
          </cell>
          <cell r="D56" t="str">
            <v>徐从众</v>
          </cell>
          <cell r="E56" t="str">
            <v>A</v>
          </cell>
        </row>
        <row r="57">
          <cell r="B57">
            <v>12913376</v>
          </cell>
          <cell r="C57">
            <v>151686083</v>
          </cell>
          <cell r="D57" t="str">
            <v>徐从众</v>
          </cell>
          <cell r="E57" t="str">
            <v>A</v>
          </cell>
        </row>
        <row r="58">
          <cell r="B58">
            <v>21291678</v>
          </cell>
          <cell r="C58">
            <v>530943798</v>
          </cell>
          <cell r="D58" t="str">
            <v>刘欢</v>
          </cell>
          <cell r="E58" t="str">
            <v>A</v>
          </cell>
        </row>
        <row r="59">
          <cell r="B59">
            <v>21473528</v>
          </cell>
          <cell r="C59">
            <v>1248459829</v>
          </cell>
          <cell r="D59" t="str">
            <v>王森</v>
          </cell>
          <cell r="E59" t="str">
            <v>S</v>
          </cell>
        </row>
        <row r="60">
          <cell r="B60">
            <v>5026511</v>
          </cell>
          <cell r="C60">
            <v>161948540</v>
          </cell>
          <cell r="D60" t="str">
            <v>徐从众</v>
          </cell>
          <cell r="E60" t="str">
            <v>C</v>
          </cell>
        </row>
        <row r="61">
          <cell r="B61">
            <v>11442884</v>
          </cell>
        </row>
        <row r="61">
          <cell r="D61" t="str">
            <v>徐从众</v>
          </cell>
          <cell r="E61" t="str">
            <v>A</v>
          </cell>
        </row>
        <row r="62">
          <cell r="B62">
            <v>8405487</v>
          </cell>
          <cell r="C62">
            <v>2044104816</v>
          </cell>
          <cell r="D62" t="str">
            <v>徐从众</v>
          </cell>
          <cell r="E62" t="str">
            <v>A</v>
          </cell>
        </row>
        <row r="63">
          <cell r="C63">
            <v>528521275</v>
          </cell>
          <cell r="D63" t="str">
            <v>徐从众</v>
          </cell>
          <cell r="E63" t="str">
            <v>A</v>
          </cell>
        </row>
        <row r="64">
          <cell r="B64">
            <v>21822648</v>
          </cell>
          <cell r="C64">
            <v>1213880654</v>
          </cell>
          <cell r="D64" t="str">
            <v>徐从众</v>
          </cell>
          <cell r="E64" t="str">
            <v>A</v>
          </cell>
        </row>
        <row r="65">
          <cell r="B65">
            <v>23688223</v>
          </cell>
          <cell r="C65">
            <v>1206081535</v>
          </cell>
          <cell r="D65" t="str">
            <v>岳贝贝</v>
          </cell>
          <cell r="E65" t="str">
            <v>A</v>
          </cell>
        </row>
        <row r="66">
          <cell r="B66">
            <v>25412201</v>
          </cell>
          <cell r="C66">
            <v>522880693</v>
          </cell>
          <cell r="D66" t="str">
            <v>岳贝贝</v>
          </cell>
          <cell r="E66" t="str">
            <v>A</v>
          </cell>
        </row>
        <row r="67">
          <cell r="B67">
            <v>12432915</v>
          </cell>
          <cell r="C67">
            <v>2062938618</v>
          </cell>
          <cell r="D67" t="str">
            <v>王森</v>
          </cell>
          <cell r="E67" t="str">
            <v>A</v>
          </cell>
        </row>
        <row r="68">
          <cell r="B68">
            <v>13743285</v>
          </cell>
          <cell r="C68">
            <v>2122969432</v>
          </cell>
          <cell r="D68" t="str">
            <v>王森</v>
          </cell>
          <cell r="E68" t="str">
            <v>A</v>
          </cell>
        </row>
        <row r="69">
          <cell r="B69">
            <v>29992242</v>
          </cell>
          <cell r="C69">
            <v>1310895535</v>
          </cell>
          <cell r="D69" t="str">
            <v>刘欢</v>
          </cell>
          <cell r="E69" t="str">
            <v>S</v>
          </cell>
        </row>
        <row r="70">
          <cell r="B70">
            <v>28807983</v>
          </cell>
          <cell r="C70">
            <v>527796283</v>
          </cell>
          <cell r="D70" t="str">
            <v>刘欢</v>
          </cell>
          <cell r="E70" t="str">
            <v>S</v>
          </cell>
        </row>
        <row r="71">
          <cell r="B71">
            <v>3518704</v>
          </cell>
          <cell r="C71">
            <v>1184612665</v>
          </cell>
          <cell r="D71" t="str">
            <v>刘欢</v>
          </cell>
          <cell r="E71" t="str">
            <v>A</v>
          </cell>
        </row>
        <row r="72">
          <cell r="B72">
            <v>2285220</v>
          </cell>
          <cell r="C72">
            <v>156937275</v>
          </cell>
          <cell r="D72" t="str">
            <v>刘欢</v>
          </cell>
          <cell r="E72" t="str">
            <v>A</v>
          </cell>
        </row>
        <row r="73">
          <cell r="B73">
            <v>1819666</v>
          </cell>
          <cell r="C73">
            <v>162232962</v>
          </cell>
          <cell r="D73" t="str">
            <v>刘欢</v>
          </cell>
          <cell r="E73" t="str">
            <v>A</v>
          </cell>
        </row>
        <row r="74">
          <cell r="B74">
            <v>1826706</v>
          </cell>
          <cell r="C74">
            <v>161879320</v>
          </cell>
          <cell r="D74" t="str">
            <v>刘欢</v>
          </cell>
          <cell r="E74" t="str">
            <v>A</v>
          </cell>
        </row>
        <row r="75">
          <cell r="B75">
            <v>1584364</v>
          </cell>
          <cell r="C75">
            <v>159294727</v>
          </cell>
          <cell r="D75" t="str">
            <v>刘欢</v>
          </cell>
          <cell r="E75" t="str">
            <v>A</v>
          </cell>
        </row>
        <row r="76">
          <cell r="B76">
            <v>25405259</v>
          </cell>
          <cell r="C76">
            <v>1253934669</v>
          </cell>
          <cell r="D76" t="str">
            <v>刘欢</v>
          </cell>
          <cell r="E76" t="str">
            <v>A</v>
          </cell>
        </row>
        <row r="77">
          <cell r="B77">
            <v>8166304</v>
          </cell>
          <cell r="C77">
            <v>2001301307</v>
          </cell>
          <cell r="D77" t="str">
            <v>刘欢</v>
          </cell>
          <cell r="E77" t="str">
            <v>A</v>
          </cell>
        </row>
        <row r="78">
          <cell r="B78">
            <v>5505742</v>
          </cell>
          <cell r="C78">
            <v>147495180</v>
          </cell>
          <cell r="D78" t="str">
            <v>刘欢</v>
          </cell>
          <cell r="E78" t="str">
            <v>A</v>
          </cell>
        </row>
        <row r="79">
          <cell r="B79">
            <v>8490789</v>
          </cell>
          <cell r="C79">
            <v>2019409747</v>
          </cell>
          <cell r="D79" t="str">
            <v>刘欢</v>
          </cell>
          <cell r="E79" t="str">
            <v>A</v>
          </cell>
        </row>
        <row r="80">
          <cell r="B80">
            <v>3506749</v>
          </cell>
          <cell r="C80">
            <v>157935153</v>
          </cell>
          <cell r="D80" t="str">
            <v>刘欢</v>
          </cell>
          <cell r="E80" t="str">
            <v>A</v>
          </cell>
        </row>
        <row r="81">
          <cell r="B81">
            <v>1862112</v>
          </cell>
          <cell r="C81">
            <v>2024910</v>
          </cell>
          <cell r="D81" t="str">
            <v>刘欢</v>
          </cell>
          <cell r="E81" t="str">
            <v>A</v>
          </cell>
        </row>
        <row r="82">
          <cell r="B82">
            <v>3491742</v>
          </cell>
          <cell r="C82">
            <v>161343436</v>
          </cell>
          <cell r="D82" t="str">
            <v>刘欢</v>
          </cell>
          <cell r="E82" t="str">
            <v>A</v>
          </cell>
        </row>
        <row r="83">
          <cell r="B83">
            <v>26476593</v>
          </cell>
          <cell r="C83">
            <v>1266619629</v>
          </cell>
          <cell r="D83" t="str">
            <v>刘欢</v>
          </cell>
          <cell r="E83" t="str">
            <v>A</v>
          </cell>
        </row>
        <row r="84">
          <cell r="B84">
            <v>26685526</v>
          </cell>
          <cell r="C84">
            <v>1270889967</v>
          </cell>
          <cell r="D84" t="str">
            <v>刘欢</v>
          </cell>
          <cell r="E84" t="str">
            <v>A</v>
          </cell>
        </row>
        <row r="85">
          <cell r="B85">
            <v>25750637</v>
          </cell>
          <cell r="C85">
            <v>2042444556</v>
          </cell>
          <cell r="D85" t="str">
            <v>刘欢</v>
          </cell>
          <cell r="E85" t="str">
            <v>A</v>
          </cell>
        </row>
        <row r="86">
          <cell r="B86">
            <v>29161123</v>
          </cell>
          <cell r="C86">
            <v>1293695520</v>
          </cell>
          <cell r="D86" t="str">
            <v>刘欢</v>
          </cell>
          <cell r="E86" t="str">
            <v>A</v>
          </cell>
        </row>
        <row r="87">
          <cell r="B87">
            <v>29438501</v>
          </cell>
          <cell r="C87">
            <v>1299216402</v>
          </cell>
          <cell r="D87" t="str">
            <v>刘欢</v>
          </cell>
          <cell r="E87" t="str">
            <v>A</v>
          </cell>
        </row>
        <row r="88">
          <cell r="B88">
            <v>10092176</v>
          </cell>
          <cell r="C88">
            <v>2056847253</v>
          </cell>
          <cell r="D88" t="str">
            <v>刘欢</v>
          </cell>
          <cell r="E88" t="str">
            <v>A</v>
          </cell>
        </row>
        <row r="89">
          <cell r="B89">
            <v>24826067</v>
          </cell>
          <cell r="C89">
            <v>520123498</v>
          </cell>
          <cell r="D89" t="str">
            <v>刘欢</v>
          </cell>
          <cell r="E89" t="str">
            <v>A</v>
          </cell>
        </row>
        <row r="90">
          <cell r="B90">
            <v>27352679</v>
          </cell>
          <cell r="C90">
            <v>300621482</v>
          </cell>
          <cell r="D90" t="str">
            <v>徐从众</v>
          </cell>
          <cell r="E90" t="str">
            <v>S</v>
          </cell>
        </row>
        <row r="91">
          <cell r="B91">
            <v>29531365</v>
          </cell>
          <cell r="C91">
            <v>533795303</v>
          </cell>
          <cell r="D91" t="str">
            <v>岳贝贝</v>
          </cell>
          <cell r="E91" t="str">
            <v>A</v>
          </cell>
        </row>
        <row r="92">
          <cell r="B92">
            <v>26319652</v>
          </cell>
          <cell r="C92">
            <v>1263479829</v>
          </cell>
          <cell r="D92" t="str">
            <v>徐从众</v>
          </cell>
          <cell r="E92" t="str">
            <v>A</v>
          </cell>
        </row>
        <row r="93">
          <cell r="B93">
            <v>21175768</v>
          </cell>
          <cell r="C93">
            <v>1163902360</v>
          </cell>
          <cell r="D93" t="str">
            <v>岳贝贝</v>
          </cell>
          <cell r="E93" t="str">
            <v>A</v>
          </cell>
        </row>
        <row r="94">
          <cell r="B94">
            <v>27924923</v>
          </cell>
          <cell r="C94">
            <v>528815767</v>
          </cell>
          <cell r="D94" t="str">
            <v>刘欢</v>
          </cell>
          <cell r="E94" t="str">
            <v>A</v>
          </cell>
        </row>
        <row r="95">
          <cell r="B95">
            <v>14171968</v>
          </cell>
          <cell r="C95">
            <v>2091964173</v>
          </cell>
          <cell r="D95" t="str">
            <v>徐从众</v>
          </cell>
          <cell r="E95" t="str">
            <v>A</v>
          </cell>
        </row>
        <row r="96">
          <cell r="B96">
            <v>18899187</v>
          </cell>
          <cell r="C96">
            <v>510338875</v>
          </cell>
          <cell r="D96" t="str">
            <v>徐从众</v>
          </cell>
          <cell r="E96" t="str">
            <v>S</v>
          </cell>
        </row>
        <row r="97">
          <cell r="B97">
            <v>14191181</v>
          </cell>
          <cell r="C97">
            <v>506124412</v>
          </cell>
          <cell r="D97" t="str">
            <v>徐从众</v>
          </cell>
          <cell r="E97" t="str">
            <v>A</v>
          </cell>
        </row>
        <row r="98">
          <cell r="B98">
            <v>538843950</v>
          </cell>
          <cell r="C98">
            <v>538843950</v>
          </cell>
          <cell r="D98" t="str">
            <v>岳贝贝</v>
          </cell>
          <cell r="E98" t="str">
            <v>C</v>
          </cell>
        </row>
        <row r="99">
          <cell r="B99">
            <v>6688430</v>
          </cell>
          <cell r="C99">
            <v>161302378</v>
          </cell>
          <cell r="D99" t="str">
            <v>刘欢</v>
          </cell>
          <cell r="E99" t="str">
            <v>S</v>
          </cell>
        </row>
        <row r="100">
          <cell r="B100">
            <v>8762081</v>
          </cell>
          <cell r="C100">
            <v>168218800</v>
          </cell>
          <cell r="D100" t="str">
            <v>刘欢</v>
          </cell>
          <cell r="E100" t="str">
            <v>S</v>
          </cell>
        </row>
        <row r="101">
          <cell r="B101">
            <v>30137425</v>
          </cell>
          <cell r="C101">
            <v>537085733</v>
          </cell>
          <cell r="D101" t="str">
            <v>徐从众</v>
          </cell>
        </row>
        <row r="102">
          <cell r="B102">
            <v>30815249</v>
          </cell>
          <cell r="C102">
            <v>537264081</v>
          </cell>
          <cell r="D102" t="str">
            <v>徐从众</v>
          </cell>
          <cell r="E102" t="str">
            <v>A</v>
          </cell>
        </row>
        <row r="103">
          <cell r="B103">
            <v>26436355</v>
          </cell>
          <cell r="C103">
            <v>157807900</v>
          </cell>
          <cell r="D103" t="str">
            <v>刘欢</v>
          </cell>
          <cell r="E103" t="str">
            <v>A</v>
          </cell>
        </row>
        <row r="104">
          <cell r="B104">
            <v>28661333</v>
          </cell>
          <cell r="C104">
            <v>528335964</v>
          </cell>
          <cell r="D104" t="str">
            <v>徐从众</v>
          </cell>
          <cell r="E104" t="str">
            <v>A</v>
          </cell>
        </row>
        <row r="105">
          <cell r="B105">
            <v>30544036</v>
          </cell>
          <cell r="C105">
            <v>1316551728</v>
          </cell>
          <cell r="D105" t="str">
            <v>徐从众</v>
          </cell>
          <cell r="E105" t="str">
            <v>S</v>
          </cell>
        </row>
        <row r="106">
          <cell r="B106">
            <v>30162550</v>
          </cell>
          <cell r="C106">
            <v>1313629830</v>
          </cell>
          <cell r="D106" t="str">
            <v>岳贝贝</v>
          </cell>
        </row>
        <row r="107">
          <cell r="B107">
            <v>28247021</v>
          </cell>
          <cell r="C107">
            <v>1284609321</v>
          </cell>
          <cell r="D107" t="str">
            <v>徐从众</v>
          </cell>
          <cell r="E107" t="str">
            <v>A</v>
          </cell>
        </row>
        <row r="108">
          <cell r="B108">
            <v>26466218</v>
          </cell>
          <cell r="C108">
            <v>1265929534</v>
          </cell>
          <cell r="D108" t="str">
            <v>徐从众</v>
          </cell>
          <cell r="E108" t="str">
            <v>S</v>
          </cell>
        </row>
        <row r="109">
          <cell r="B109">
            <v>30550061</v>
          </cell>
          <cell r="C109">
            <v>535681159</v>
          </cell>
          <cell r="D109" t="str">
            <v>徐从众</v>
          </cell>
          <cell r="E109" t="str">
            <v>S</v>
          </cell>
        </row>
        <row r="110">
          <cell r="B110">
            <v>29058055</v>
          </cell>
          <cell r="C110">
            <v>1298144433</v>
          </cell>
          <cell r="D110" t="str">
            <v>刘欢</v>
          </cell>
          <cell r="E110" t="str">
            <v>A</v>
          </cell>
        </row>
        <row r="111">
          <cell r="B111">
            <v>25544082</v>
          </cell>
          <cell r="C111">
            <v>521989546</v>
          </cell>
          <cell r="D111" t="str">
            <v>徐从众</v>
          </cell>
          <cell r="E111" t="str">
            <v>S</v>
          </cell>
        </row>
        <row r="112">
          <cell r="B112">
            <v>29271172</v>
          </cell>
          <cell r="C112">
            <v>531340851</v>
          </cell>
          <cell r="D112" t="str">
            <v>岳贝贝</v>
          </cell>
          <cell r="E112" t="str">
            <v>A</v>
          </cell>
        </row>
        <row r="113">
          <cell r="B113">
            <v>26898121</v>
          </cell>
          <cell r="C113">
            <v>521875448</v>
          </cell>
          <cell r="D113" t="str">
            <v>徐从众</v>
          </cell>
          <cell r="E113" t="str">
            <v>A</v>
          </cell>
        </row>
        <row r="114">
          <cell r="B114">
            <v>9229111</v>
          </cell>
          <cell r="C114">
            <v>501884512</v>
          </cell>
          <cell r="D114" t="str">
            <v>徐从众</v>
          </cell>
          <cell r="E114" t="str">
            <v>A</v>
          </cell>
        </row>
        <row r="115">
          <cell r="B115">
            <v>30231765</v>
          </cell>
          <cell r="C115">
            <v>536566434</v>
          </cell>
          <cell r="D115" t="str">
            <v>徐从众</v>
          </cell>
          <cell r="E115" t="str">
            <v>S</v>
          </cell>
        </row>
        <row r="116">
          <cell r="B116">
            <v>464236</v>
          </cell>
          <cell r="C116">
            <v>529311235</v>
          </cell>
          <cell r="D116" t="str">
            <v>岳贝贝</v>
          </cell>
          <cell r="E116" t="str">
            <v>A</v>
          </cell>
        </row>
        <row r="117">
          <cell r="B117">
            <v>4349747</v>
          </cell>
          <cell r="C117" t="str">
            <v>未合作，待跟进</v>
          </cell>
          <cell r="D117" t="str">
            <v>徐从众</v>
          </cell>
          <cell r="E117" t="str">
            <v>S</v>
          </cell>
        </row>
        <row r="118">
          <cell r="B118">
            <v>18845063</v>
          </cell>
          <cell r="C118">
            <v>1164045877</v>
          </cell>
          <cell r="D118" t="str">
            <v>徐从众</v>
          </cell>
          <cell r="E118" t="str">
            <v>A</v>
          </cell>
        </row>
        <row r="119">
          <cell r="B119">
            <v>27995386</v>
          </cell>
          <cell r="C119">
            <v>1198154985</v>
          </cell>
          <cell r="D119" t="str">
            <v>徐从众</v>
          </cell>
          <cell r="E119" t="str">
            <v>A</v>
          </cell>
        </row>
        <row r="120">
          <cell r="B120">
            <v>16785096</v>
          </cell>
          <cell r="C120">
            <v>508350761</v>
          </cell>
          <cell r="D120" t="str">
            <v>王森</v>
          </cell>
          <cell r="E120" t="str">
            <v>A</v>
          </cell>
        </row>
        <row r="121">
          <cell r="B121">
            <v>18959824</v>
          </cell>
          <cell r="C121">
            <v>510397500</v>
          </cell>
          <cell r="D121" t="str">
            <v>王森</v>
          </cell>
          <cell r="E121" t="str">
            <v>A</v>
          </cell>
        </row>
        <row r="122">
          <cell r="B122">
            <v>27399573</v>
          </cell>
          <cell r="C122">
            <v>1282168603</v>
          </cell>
          <cell r="D122" t="str">
            <v>王森</v>
          </cell>
          <cell r="E122" t="str">
            <v>A</v>
          </cell>
        </row>
        <row r="123">
          <cell r="B123">
            <v>29214681</v>
          </cell>
          <cell r="C123">
            <v>1290147158</v>
          </cell>
          <cell r="D123" t="str">
            <v>徐从众</v>
          </cell>
          <cell r="E123" t="str">
            <v>S</v>
          </cell>
        </row>
        <row r="124">
          <cell r="B124">
            <v>29258629</v>
          </cell>
          <cell r="C124">
            <v>532631345</v>
          </cell>
          <cell r="D124" t="str">
            <v>徐从众</v>
          </cell>
          <cell r="E124" t="str">
            <v>S</v>
          </cell>
        </row>
        <row r="125">
          <cell r="B125">
            <v>27796657</v>
          </cell>
          <cell r="C125">
            <v>529238257</v>
          </cell>
          <cell r="D125" t="str">
            <v>刘欢</v>
          </cell>
          <cell r="E125" t="str">
            <v>A</v>
          </cell>
        </row>
        <row r="126">
          <cell r="B126">
            <v>24388057</v>
          </cell>
          <cell r="C126">
            <v>1236752136</v>
          </cell>
          <cell r="D126" t="str">
            <v>岳贝贝</v>
          </cell>
          <cell r="E126" t="str">
            <v>A</v>
          </cell>
        </row>
        <row r="127">
          <cell r="B127">
            <v>26842888</v>
          </cell>
          <cell r="C127">
            <v>1316164624</v>
          </cell>
          <cell r="D127" t="str">
            <v>徐从众</v>
          </cell>
          <cell r="E127" t="str">
            <v>A</v>
          </cell>
        </row>
        <row r="128">
          <cell r="B128">
            <v>28803088</v>
          </cell>
          <cell r="C128">
            <v>1244800928</v>
          </cell>
          <cell r="D128" t="str">
            <v>徐从众</v>
          </cell>
          <cell r="E128" t="str">
            <v>S</v>
          </cell>
        </row>
        <row r="129">
          <cell r="B129">
            <v>30335718</v>
          </cell>
          <cell r="C129">
            <v>1310465222</v>
          </cell>
          <cell r="D129" t="str">
            <v>岳贝贝</v>
          </cell>
          <cell r="E129" t="str">
            <v>A</v>
          </cell>
        </row>
        <row r="130">
          <cell r="B130">
            <v>28419442</v>
          </cell>
          <cell r="C130">
            <v>1290072787</v>
          </cell>
          <cell r="D130" t="str">
            <v>岳贝贝</v>
          </cell>
          <cell r="E130" t="str">
            <v>A</v>
          </cell>
        </row>
        <row r="131">
          <cell r="B131">
            <v>3734256</v>
          </cell>
          <cell r="C131">
            <v>161874716</v>
          </cell>
          <cell r="D131" t="str">
            <v>岳贝贝</v>
          </cell>
          <cell r="E131" t="str">
            <v>A</v>
          </cell>
        </row>
        <row r="132">
          <cell r="B132">
            <v>21454048</v>
          </cell>
          <cell r="C132">
            <v>1197726653</v>
          </cell>
          <cell r="D132" t="str">
            <v>王森</v>
          </cell>
          <cell r="E132" t="str">
            <v>B</v>
          </cell>
        </row>
        <row r="133">
          <cell r="B133">
            <v>23951617</v>
          </cell>
          <cell r="C133">
            <v>1300199789</v>
          </cell>
          <cell r="D133" t="str">
            <v>徐从众</v>
          </cell>
          <cell r="E133" t="str">
            <v>S</v>
          </cell>
        </row>
        <row r="134">
          <cell r="B134">
            <v>26838134</v>
          </cell>
          <cell r="C134">
            <v>526920273</v>
          </cell>
          <cell r="D134" t="str">
            <v>岳贝贝</v>
          </cell>
          <cell r="E134" t="str">
            <v>B</v>
          </cell>
        </row>
        <row r="135">
          <cell r="B135">
            <v>20522596</v>
          </cell>
          <cell r="C135">
            <v>1176282221</v>
          </cell>
          <cell r="D135" t="str">
            <v>徐从众</v>
          </cell>
          <cell r="E135" t="str">
            <v>S</v>
          </cell>
        </row>
        <row r="136">
          <cell r="B136">
            <v>8485396</v>
          </cell>
          <cell r="C136">
            <v>501950126</v>
          </cell>
          <cell r="D136" t="str">
            <v>徐从众</v>
          </cell>
          <cell r="E136" t="str">
            <v>A</v>
          </cell>
        </row>
        <row r="137">
          <cell r="B137">
            <v>11599684</v>
          </cell>
          <cell r="C137">
            <v>501904614</v>
          </cell>
          <cell r="D137" t="str">
            <v>徐从众</v>
          </cell>
          <cell r="E137" t="str">
            <v>A</v>
          </cell>
        </row>
        <row r="138">
          <cell r="B138">
            <v>12603759</v>
          </cell>
          <cell r="C138">
            <v>2019399415</v>
          </cell>
          <cell r="D138" t="str">
            <v>徐从众</v>
          </cell>
          <cell r="E138" t="str">
            <v>A</v>
          </cell>
        </row>
        <row r="139">
          <cell r="B139">
            <v>24959694</v>
          </cell>
          <cell r="C139">
            <v>1245841634</v>
          </cell>
          <cell r="D139" t="str">
            <v>徐从众</v>
          </cell>
          <cell r="E139" t="str">
            <v>A</v>
          </cell>
        </row>
        <row r="140">
          <cell r="B140">
            <v>16079755</v>
          </cell>
          <cell r="C140">
            <v>507714807</v>
          </cell>
          <cell r="D140" t="str">
            <v>徐从众</v>
          </cell>
          <cell r="E140" t="str">
            <v>A</v>
          </cell>
        </row>
        <row r="141">
          <cell r="B141">
            <v>18356139</v>
          </cell>
          <cell r="C141">
            <v>1164084599</v>
          </cell>
          <cell r="D141" t="str">
            <v>徐从众</v>
          </cell>
          <cell r="E141" t="str">
            <v>A</v>
          </cell>
        </row>
        <row r="142">
          <cell r="B142">
            <v>16397234</v>
          </cell>
          <cell r="C142">
            <v>507904139</v>
          </cell>
          <cell r="D142" t="str">
            <v>徐从众</v>
          </cell>
          <cell r="E142" t="str">
            <v>A</v>
          </cell>
        </row>
        <row r="143">
          <cell r="B143">
            <v>20791949</v>
          </cell>
          <cell r="C143">
            <v>1190689958</v>
          </cell>
          <cell r="D143" t="str">
            <v>徐从众</v>
          </cell>
          <cell r="E143" t="str">
            <v>A</v>
          </cell>
        </row>
        <row r="144">
          <cell r="B144">
            <v>21239813</v>
          </cell>
          <cell r="C144">
            <v>518000052</v>
          </cell>
          <cell r="D144" t="str">
            <v>徐从众</v>
          </cell>
          <cell r="E144" t="str">
            <v>A</v>
          </cell>
        </row>
        <row r="145">
          <cell r="B145">
            <v>19989217</v>
          </cell>
          <cell r="C145">
            <v>1180820994</v>
          </cell>
          <cell r="D145" t="str">
            <v>徐从众</v>
          </cell>
          <cell r="E145" t="str">
            <v>A</v>
          </cell>
        </row>
        <row r="146">
          <cell r="B146">
            <v>20356473</v>
          </cell>
          <cell r="C146">
            <v>514350409</v>
          </cell>
          <cell r="D146" t="str">
            <v>徐从众</v>
          </cell>
          <cell r="E146" t="str">
            <v>A</v>
          </cell>
        </row>
        <row r="147">
          <cell r="B147">
            <v>26840212</v>
          </cell>
          <cell r="C147">
            <v>526052538</v>
          </cell>
          <cell r="D147" t="str">
            <v>徐从众</v>
          </cell>
          <cell r="E147" t="str">
            <v>A</v>
          </cell>
        </row>
        <row r="148">
          <cell r="B148">
            <v>26863504</v>
          </cell>
          <cell r="C148">
            <v>1270324775</v>
          </cell>
          <cell r="D148" t="str">
            <v>徐从众</v>
          </cell>
          <cell r="E148" t="str">
            <v>A</v>
          </cell>
        </row>
        <row r="149">
          <cell r="B149">
            <v>26899279</v>
          </cell>
          <cell r="C149">
            <v>1253986074</v>
          </cell>
          <cell r="D149" t="str">
            <v>徐从众</v>
          </cell>
          <cell r="E149" t="str">
            <v>A</v>
          </cell>
        </row>
        <row r="150">
          <cell r="B150">
            <v>28212417</v>
          </cell>
          <cell r="C150">
            <v>528236181</v>
          </cell>
          <cell r="D150" t="str">
            <v>徐从众</v>
          </cell>
          <cell r="E150" t="str">
            <v>A</v>
          </cell>
        </row>
        <row r="151">
          <cell r="B151">
            <v>14150174</v>
          </cell>
          <cell r="C151">
            <v>506113405</v>
          </cell>
          <cell r="D151" t="str">
            <v>徐从众</v>
          </cell>
          <cell r="E151" t="str">
            <v>A</v>
          </cell>
        </row>
        <row r="152">
          <cell r="B152">
            <v>14179614</v>
          </cell>
          <cell r="C152">
            <v>2042483132</v>
          </cell>
          <cell r="D152" t="str">
            <v>徐从众</v>
          </cell>
          <cell r="E152" t="str">
            <v>A</v>
          </cell>
        </row>
        <row r="153">
          <cell r="B153">
            <v>22865433</v>
          </cell>
          <cell r="C153">
            <v>529435065</v>
          </cell>
          <cell r="D153" t="str">
            <v>徐从众</v>
          </cell>
          <cell r="E153" t="str">
            <v>A</v>
          </cell>
        </row>
        <row r="154">
          <cell r="B154">
            <v>18721113</v>
          </cell>
          <cell r="C154">
            <v>528855339</v>
          </cell>
          <cell r="D154" t="str">
            <v>徐从众</v>
          </cell>
          <cell r="E154" t="str">
            <v>A</v>
          </cell>
        </row>
        <row r="155">
          <cell r="B155">
            <v>20291324</v>
          </cell>
          <cell r="C155">
            <v>519380122</v>
          </cell>
          <cell r="D155" t="str">
            <v>徐从众</v>
          </cell>
          <cell r="E155" t="str">
            <v>A</v>
          </cell>
        </row>
        <row r="156">
          <cell r="B156">
            <v>19370062</v>
          </cell>
          <cell r="C156">
            <v>529138838</v>
          </cell>
          <cell r="D156" t="str">
            <v>徐从众</v>
          </cell>
          <cell r="E156" t="str">
            <v>A</v>
          </cell>
        </row>
        <row r="157">
          <cell r="B157">
            <v>18721112</v>
          </cell>
          <cell r="C157">
            <v>1163860372</v>
          </cell>
          <cell r="D157" t="str">
            <v>徐从众</v>
          </cell>
          <cell r="E157" t="str">
            <v>A</v>
          </cell>
        </row>
        <row r="158">
          <cell r="B158">
            <v>20735450</v>
          </cell>
          <cell r="C158">
            <v>1297723598</v>
          </cell>
          <cell r="D158" t="str">
            <v>徐从众</v>
          </cell>
          <cell r="E158" t="str">
            <v>A</v>
          </cell>
        </row>
        <row r="159">
          <cell r="B159">
            <v>10474148</v>
          </cell>
          <cell r="C159">
            <v>1293717051</v>
          </cell>
          <cell r="D159" t="str">
            <v>刘欢</v>
          </cell>
          <cell r="E159" t="str">
            <v>A</v>
          </cell>
        </row>
        <row r="160">
          <cell r="B160">
            <v>20735450</v>
          </cell>
          <cell r="C160">
            <v>2136909192</v>
          </cell>
          <cell r="D160" t="str">
            <v>徐从众</v>
          </cell>
          <cell r="E160" t="str">
            <v>A</v>
          </cell>
        </row>
        <row r="161">
          <cell r="B161">
            <v>2405613</v>
          </cell>
          <cell r="C161">
            <v>170689870</v>
          </cell>
          <cell r="D161" t="str">
            <v>刘欢</v>
          </cell>
          <cell r="E161" t="str">
            <v>C</v>
          </cell>
        </row>
        <row r="162">
          <cell r="B162">
            <v>31025063</v>
          </cell>
          <cell r="C162">
            <v>1289301344</v>
          </cell>
          <cell r="D162" t="str">
            <v>刘欢</v>
          </cell>
          <cell r="E162" t="str">
            <v>A</v>
          </cell>
        </row>
        <row r="163">
          <cell r="B163">
            <v>27027445</v>
          </cell>
          <cell r="C163">
            <v>1194299711</v>
          </cell>
          <cell r="D163" t="str">
            <v>王森</v>
          </cell>
          <cell r="E163" t="str">
            <v>A</v>
          </cell>
        </row>
        <row r="164">
          <cell r="B164">
            <v>15217360</v>
          </cell>
          <cell r="C164">
            <v>2081126510</v>
          </cell>
          <cell r="D164" t="str">
            <v>徐从众</v>
          </cell>
          <cell r="E164" t="str">
            <v>S</v>
          </cell>
        </row>
        <row r="165">
          <cell r="B165">
            <v>29741205</v>
          </cell>
          <cell r="C165">
            <v>533918459</v>
          </cell>
          <cell r="D165" t="str">
            <v>岳贝贝</v>
          </cell>
          <cell r="E165" t="str">
            <v>A</v>
          </cell>
        </row>
        <row r="166">
          <cell r="B166">
            <v>31035583</v>
          </cell>
          <cell r="C166">
            <v>538728082</v>
          </cell>
          <cell r="D166" t="str">
            <v>徐从众</v>
          </cell>
          <cell r="E166" t="str">
            <v>A</v>
          </cell>
        </row>
        <row r="167">
          <cell r="B167">
            <v>27607561</v>
          </cell>
          <cell r="C167">
            <v>528920139</v>
          </cell>
          <cell r="D167" t="str">
            <v>岳贝贝</v>
          </cell>
          <cell r="E167" t="str">
            <v>A</v>
          </cell>
        </row>
        <row r="168">
          <cell r="B168">
            <v>29313812</v>
          </cell>
          <cell r="C168">
            <v>530125725</v>
          </cell>
          <cell r="D168" t="str">
            <v>徐从众</v>
          </cell>
          <cell r="E168" t="str">
            <v>A</v>
          </cell>
        </row>
        <row r="169">
          <cell r="B169" t="str">
            <v>美团未合作</v>
          </cell>
          <cell r="C169">
            <v>1259225244</v>
          </cell>
          <cell r="D169" t="str">
            <v>徐从众</v>
          </cell>
          <cell r="E169" t="str">
            <v>A</v>
          </cell>
        </row>
        <row r="170">
          <cell r="B170">
            <v>30375954</v>
          </cell>
          <cell r="C170">
            <v>1312815570</v>
          </cell>
          <cell r="D170" t="str">
            <v>岳贝贝</v>
          </cell>
          <cell r="E170" t="str">
            <v>A</v>
          </cell>
        </row>
        <row r="171">
          <cell r="B171">
            <v>29937198</v>
          </cell>
          <cell r="C171" t="str">
            <v>待建店</v>
          </cell>
          <cell r="D171" t="str">
            <v>徐从众</v>
          </cell>
          <cell r="E171" t="str">
            <v>S</v>
          </cell>
        </row>
        <row r="172">
          <cell r="B172">
            <v>28796561</v>
          </cell>
          <cell r="C172">
            <v>531075022</v>
          </cell>
          <cell r="D172" t="str">
            <v>岳贝贝</v>
          </cell>
          <cell r="E172" t="str">
            <v>A</v>
          </cell>
        </row>
        <row r="173">
          <cell r="B173">
            <v>29857333</v>
          </cell>
          <cell r="C173">
            <v>534915308</v>
          </cell>
          <cell r="D173" t="str">
            <v>王森</v>
          </cell>
          <cell r="E173" t="str">
            <v>S</v>
          </cell>
        </row>
        <row r="174">
          <cell r="B174" t="str">
            <v>待合作</v>
          </cell>
          <cell r="C174">
            <v>519415529</v>
          </cell>
          <cell r="D174" t="str">
            <v>刘欢</v>
          </cell>
          <cell r="E174" t="str">
            <v>C</v>
          </cell>
        </row>
        <row r="175">
          <cell r="B175">
            <v>27917483</v>
          </cell>
          <cell r="C175">
            <v>533811820</v>
          </cell>
          <cell r="D175" t="str">
            <v>徐从众</v>
          </cell>
          <cell r="E175" t="str">
            <v>S</v>
          </cell>
        </row>
        <row r="176">
          <cell r="B176">
            <v>13172009</v>
          </cell>
          <cell r="C176">
            <v>1528428</v>
          </cell>
          <cell r="D176" t="str">
            <v>王森</v>
          </cell>
          <cell r="E176" t="str">
            <v>B</v>
          </cell>
        </row>
        <row r="177">
          <cell r="B177">
            <v>21395372</v>
          </cell>
          <cell r="C177">
            <v>529460756</v>
          </cell>
          <cell r="D177" t="str">
            <v>徐从众</v>
          </cell>
          <cell r="E177" t="str">
            <v>S</v>
          </cell>
        </row>
        <row r="178">
          <cell r="B178">
            <v>27083266</v>
          </cell>
          <cell r="C178">
            <v>527571777</v>
          </cell>
          <cell r="D178" t="str">
            <v>王森</v>
          </cell>
          <cell r="E178" t="str">
            <v>S</v>
          </cell>
        </row>
        <row r="179">
          <cell r="B179">
            <v>25254862</v>
          </cell>
          <cell r="C179">
            <v>533811842</v>
          </cell>
          <cell r="D179" t="str">
            <v>徐从众</v>
          </cell>
          <cell r="E179" t="str">
            <v>S</v>
          </cell>
        </row>
        <row r="180">
          <cell r="B180">
            <v>31432722</v>
          </cell>
          <cell r="C180">
            <v>1304940132</v>
          </cell>
          <cell r="D180" t="str">
            <v>徐从众</v>
          </cell>
          <cell r="E180" t="str">
            <v>S</v>
          </cell>
        </row>
        <row r="181">
          <cell r="B181">
            <v>5478932</v>
          </cell>
          <cell r="C181">
            <v>163052514</v>
          </cell>
          <cell r="D181" t="str">
            <v>徐从众</v>
          </cell>
          <cell r="E181" t="str">
            <v>A</v>
          </cell>
        </row>
        <row r="182">
          <cell r="B182">
            <v>30495230</v>
          </cell>
          <cell r="C182">
            <v>1313984395</v>
          </cell>
          <cell r="D182" t="str">
            <v>徐从众</v>
          </cell>
          <cell r="E182" t="str">
            <v>S</v>
          </cell>
        </row>
        <row r="183">
          <cell r="B183">
            <v>31235941</v>
          </cell>
          <cell r="C183">
            <v>538320390</v>
          </cell>
          <cell r="D183" t="str">
            <v>岳贝贝</v>
          </cell>
        </row>
        <row r="184">
          <cell r="B184">
            <v>30898974</v>
          </cell>
          <cell r="C184">
            <v>538960185</v>
          </cell>
          <cell r="D184" t="str">
            <v>徐从众</v>
          </cell>
          <cell r="E184" t="str">
            <v>S</v>
          </cell>
        </row>
        <row r="185">
          <cell r="B185">
            <v>30965612</v>
          </cell>
          <cell r="C185">
            <v>538771849</v>
          </cell>
          <cell r="D185" t="str">
            <v>岳贝贝</v>
          </cell>
          <cell r="E185" t="str">
            <v>A</v>
          </cell>
        </row>
        <row r="186">
          <cell r="B186">
            <v>30853465</v>
          </cell>
          <cell r="C186">
            <v>2096200965</v>
          </cell>
          <cell r="D186" t="str">
            <v>徐从众</v>
          </cell>
          <cell r="E186" t="str">
            <v>S</v>
          </cell>
        </row>
        <row r="187">
          <cell r="B187">
            <v>27191612</v>
          </cell>
          <cell r="C187">
            <v>1250455068</v>
          </cell>
          <cell r="D187" t="str">
            <v>徐从众</v>
          </cell>
          <cell r="E187" t="str">
            <v>A</v>
          </cell>
        </row>
        <row r="188">
          <cell r="B188">
            <v>28901448</v>
          </cell>
          <cell r="C188">
            <v>531890951</v>
          </cell>
          <cell r="D188" t="str">
            <v>徐从众</v>
          </cell>
          <cell r="E188" t="str">
            <v>A</v>
          </cell>
        </row>
        <row r="189">
          <cell r="B189" t="str">
            <v>闭店</v>
          </cell>
          <cell r="C189">
            <v>1312778857</v>
          </cell>
          <cell r="D189" t="str">
            <v>刘欢</v>
          </cell>
          <cell r="E189" t="str">
            <v>A</v>
          </cell>
        </row>
        <row r="190">
          <cell r="B190">
            <v>17997184</v>
          </cell>
          <cell r="C190">
            <v>1155428402</v>
          </cell>
          <cell r="D190" t="str">
            <v>刘欢</v>
          </cell>
          <cell r="E190" t="str">
            <v>B</v>
          </cell>
        </row>
        <row r="191">
          <cell r="B191" t="str">
            <v>待合作</v>
          </cell>
          <cell r="C191">
            <v>1271713523</v>
          </cell>
          <cell r="D191" t="str">
            <v>刘欢</v>
          </cell>
          <cell r="E191" t="str">
            <v>A</v>
          </cell>
        </row>
        <row r="192">
          <cell r="B192" t="str">
            <v>待合作</v>
          </cell>
          <cell r="C192">
            <v>1239554571</v>
          </cell>
          <cell r="D192" t="str">
            <v>刘欢</v>
          </cell>
          <cell r="E192" t="str">
            <v>A</v>
          </cell>
        </row>
        <row r="193">
          <cell r="B193" t="str">
            <v>待合作</v>
          </cell>
          <cell r="C193">
            <v>1312803089</v>
          </cell>
          <cell r="D193" t="str">
            <v>刘欢</v>
          </cell>
          <cell r="E193" t="str">
            <v>S</v>
          </cell>
        </row>
        <row r="194">
          <cell r="B194" t="str">
            <v>待合作</v>
          </cell>
          <cell r="C194">
            <v>1269769673</v>
          </cell>
          <cell r="D194" t="str">
            <v>刘欢</v>
          </cell>
          <cell r="E194" t="str">
            <v>S</v>
          </cell>
        </row>
        <row r="195">
          <cell r="B195">
            <v>30544528</v>
          </cell>
          <cell r="C195">
            <v>535650028</v>
          </cell>
          <cell r="D195" t="str">
            <v>岳贝贝</v>
          </cell>
          <cell r="E195" t="str">
            <v>A</v>
          </cell>
        </row>
        <row r="196">
          <cell r="B196">
            <v>30098717</v>
          </cell>
          <cell r="C196">
            <v>1310950588</v>
          </cell>
          <cell r="D196" t="str">
            <v>刘欢</v>
          </cell>
          <cell r="E196" t="str">
            <v>A</v>
          </cell>
        </row>
        <row r="197">
          <cell r="B197">
            <v>11748750</v>
          </cell>
          <cell r="C197">
            <v>2086579935</v>
          </cell>
          <cell r="D197" t="str">
            <v>刘欢</v>
          </cell>
          <cell r="E197" t="str">
            <v>C</v>
          </cell>
        </row>
        <row r="198">
          <cell r="B198">
            <v>28420920</v>
          </cell>
          <cell r="C198" t="str">
            <v>饿了么不合作</v>
          </cell>
          <cell r="D198" t="str">
            <v>岳贝贝</v>
          </cell>
          <cell r="E198" t="str">
            <v>A</v>
          </cell>
        </row>
        <row r="199">
          <cell r="B199">
            <v>27184420</v>
          </cell>
          <cell r="C199">
            <v>1105287067</v>
          </cell>
          <cell r="D199" t="str">
            <v>徐从众</v>
          </cell>
          <cell r="E199" t="str">
            <v>C</v>
          </cell>
        </row>
        <row r="200">
          <cell r="B200">
            <v>31729466</v>
          </cell>
          <cell r="C200">
            <v>531717968</v>
          </cell>
          <cell r="D200" t="str">
            <v>徐从众</v>
          </cell>
          <cell r="E200" t="str">
            <v>A</v>
          </cell>
        </row>
        <row r="201">
          <cell r="B201" t="str">
            <v>待合作</v>
          </cell>
          <cell r="C201">
            <v>1303952574</v>
          </cell>
          <cell r="D201" t="str">
            <v>刘欢</v>
          </cell>
          <cell r="E201" t="str">
            <v>C</v>
          </cell>
        </row>
        <row r="202">
          <cell r="B202" t="str">
            <v>待合作</v>
          </cell>
          <cell r="C202">
            <v>537030292</v>
          </cell>
          <cell r="D202" t="str">
            <v>刘欢</v>
          </cell>
          <cell r="E202" t="str">
            <v>A</v>
          </cell>
        </row>
        <row r="203">
          <cell r="B203">
            <v>28937082</v>
          </cell>
          <cell r="C203" t="str">
            <v>饿了么不合作</v>
          </cell>
          <cell r="D203" t="str">
            <v>岳贝贝</v>
          </cell>
          <cell r="E203" t="str">
            <v>B</v>
          </cell>
        </row>
        <row r="204">
          <cell r="B204">
            <v>28186636</v>
          </cell>
          <cell r="C204">
            <v>534970175</v>
          </cell>
          <cell r="D204" t="str">
            <v>刘欢</v>
          </cell>
          <cell r="E204" t="str">
            <v>C</v>
          </cell>
        </row>
        <row r="205">
          <cell r="B205">
            <v>8556703</v>
          </cell>
          <cell r="C205">
            <v>536892026</v>
          </cell>
          <cell r="D205" t="str">
            <v>刘欢</v>
          </cell>
          <cell r="E205" t="str">
            <v>C</v>
          </cell>
        </row>
        <row r="206">
          <cell r="B206">
            <v>29594909</v>
          </cell>
          <cell r="C206">
            <v>1305785791</v>
          </cell>
          <cell r="D206" t="str">
            <v>刘欢</v>
          </cell>
          <cell r="E206" t="str">
            <v>C</v>
          </cell>
        </row>
        <row r="207">
          <cell r="B207">
            <v>26997196</v>
          </cell>
          <cell r="C207">
            <v>1109718462</v>
          </cell>
          <cell r="D207" t="str">
            <v>徐从众</v>
          </cell>
        </row>
        <row r="208">
          <cell r="B208">
            <v>33474009</v>
          </cell>
          <cell r="C208">
            <v>1241204120</v>
          </cell>
          <cell r="D208" t="str">
            <v>徐从众</v>
          </cell>
        </row>
        <row r="209">
          <cell r="B209">
            <v>21061191</v>
          </cell>
          <cell r="C209">
            <v>515574338</v>
          </cell>
          <cell r="D209" t="str">
            <v>徐从众</v>
          </cell>
        </row>
        <row r="210">
          <cell r="B210">
            <v>18146086</v>
          </cell>
          <cell r="C210">
            <v>1161767624</v>
          </cell>
          <cell r="D210" t="str">
            <v>徐从众</v>
          </cell>
          <cell r="E210" t="str">
            <v>C</v>
          </cell>
        </row>
        <row r="211">
          <cell r="B211">
            <v>27653438</v>
          </cell>
          <cell r="C211">
            <v>1284454905</v>
          </cell>
          <cell r="D211" t="str">
            <v>徐从众</v>
          </cell>
          <cell r="E211" t="str">
            <v>A</v>
          </cell>
        </row>
        <row r="212">
          <cell r="B212">
            <v>12924120</v>
          </cell>
          <cell r="C212">
            <v>503630627</v>
          </cell>
          <cell r="D212" t="str">
            <v>徐从众</v>
          </cell>
          <cell r="E212" t="str">
            <v>A</v>
          </cell>
        </row>
        <row r="213">
          <cell r="B213">
            <v>17815684</v>
          </cell>
          <cell r="C213">
            <v>510049524</v>
          </cell>
          <cell r="D213" t="str">
            <v>徐从众</v>
          </cell>
          <cell r="E213" t="str">
            <v>A</v>
          </cell>
        </row>
        <row r="214">
          <cell r="B214">
            <v>14152698</v>
          </cell>
          <cell r="C214">
            <v>504275418</v>
          </cell>
          <cell r="D214" t="str">
            <v>徐从众</v>
          </cell>
        </row>
        <row r="215">
          <cell r="B215">
            <v>523227</v>
          </cell>
          <cell r="C215">
            <v>146932132</v>
          </cell>
          <cell r="D215" t="str">
            <v>徐从众</v>
          </cell>
          <cell r="E215" t="str">
            <v>A</v>
          </cell>
        </row>
        <row r="216">
          <cell r="B216">
            <v>8516272</v>
          </cell>
          <cell r="C216">
            <v>2019404652</v>
          </cell>
          <cell r="D216" t="str">
            <v>徐从众</v>
          </cell>
          <cell r="E216" t="str">
            <v>A</v>
          </cell>
        </row>
        <row r="217">
          <cell r="B217">
            <v>1555008</v>
          </cell>
          <cell r="C217">
            <v>172872765</v>
          </cell>
          <cell r="D217" t="str">
            <v>徐从众</v>
          </cell>
          <cell r="E217" t="str">
            <v>A</v>
          </cell>
        </row>
        <row r="218">
          <cell r="B218">
            <v>4466334</v>
          </cell>
          <cell r="C218">
            <v>530899381</v>
          </cell>
          <cell r="D218" t="str">
            <v>徐从众</v>
          </cell>
          <cell r="E218" t="str">
            <v>A</v>
          </cell>
        </row>
        <row r="219">
          <cell r="B219">
            <v>19520185</v>
          </cell>
          <cell r="C219">
            <v>512393660</v>
          </cell>
          <cell r="D219" t="str">
            <v>徐从众</v>
          </cell>
          <cell r="E219" t="str">
            <v>A</v>
          </cell>
        </row>
        <row r="220">
          <cell r="B220">
            <v>18575206</v>
          </cell>
          <cell r="C220">
            <v>1157637090</v>
          </cell>
          <cell r="D220" t="str">
            <v>徐从众</v>
          </cell>
          <cell r="E220" t="str">
            <v>A</v>
          </cell>
        </row>
        <row r="221">
          <cell r="B221">
            <v>2314375</v>
          </cell>
          <cell r="C221">
            <v>156022474</v>
          </cell>
          <cell r="D221" t="str">
            <v>徐从众</v>
          </cell>
          <cell r="E221" t="str">
            <v>A</v>
          </cell>
        </row>
        <row r="222">
          <cell r="B222">
            <v>28441993</v>
          </cell>
          <cell r="C222">
            <v>529860138</v>
          </cell>
          <cell r="D222" t="str">
            <v>徐从众</v>
          </cell>
          <cell r="E222" t="str">
            <v>A</v>
          </cell>
        </row>
        <row r="223">
          <cell r="B223">
            <v>30162255</v>
          </cell>
          <cell r="C223">
            <v>530810854</v>
          </cell>
          <cell r="D223" t="str">
            <v>徐从众</v>
          </cell>
          <cell r="E223" t="str">
            <v>A</v>
          </cell>
        </row>
        <row r="224">
          <cell r="B224">
            <v>29235205</v>
          </cell>
          <cell r="C224">
            <v>1301506193</v>
          </cell>
          <cell r="D224" t="str">
            <v>徐从众</v>
          </cell>
          <cell r="E224" t="str">
            <v>S</v>
          </cell>
        </row>
        <row r="225">
          <cell r="B225">
            <v>29640368</v>
          </cell>
          <cell r="C225" t="str">
            <v>无饿了么</v>
          </cell>
          <cell r="D225" t="str">
            <v>徐从众</v>
          </cell>
          <cell r="E225" t="str">
            <v>A</v>
          </cell>
        </row>
        <row r="226">
          <cell r="B226">
            <v>29840513</v>
          </cell>
          <cell r="C226">
            <v>1242461426</v>
          </cell>
          <cell r="D226" t="str">
            <v>岳贝贝</v>
          </cell>
          <cell r="E226" t="str">
            <v>B</v>
          </cell>
        </row>
        <row r="227">
          <cell r="B227">
            <v>21350125</v>
          </cell>
          <cell r="C227">
            <v>518388813</v>
          </cell>
          <cell r="D227" t="str">
            <v>岳贝贝</v>
          </cell>
          <cell r="E227" t="str">
            <v>S</v>
          </cell>
        </row>
        <row r="228">
          <cell r="B228" t="str">
            <v>美团未合作</v>
          </cell>
          <cell r="C228">
            <v>537268572</v>
          </cell>
          <cell r="D228" t="str">
            <v>徐从众</v>
          </cell>
          <cell r="E228" t="str">
            <v>B</v>
          </cell>
        </row>
        <row r="229">
          <cell r="B229">
            <v>31152401</v>
          </cell>
          <cell r="C229">
            <v>538918840</v>
          </cell>
          <cell r="D229" t="str">
            <v>徐从众</v>
          </cell>
          <cell r="E229" t="str">
            <v>A</v>
          </cell>
        </row>
        <row r="230">
          <cell r="B230">
            <v>29768049</v>
          </cell>
          <cell r="C230">
            <v>1300656267</v>
          </cell>
          <cell r="D230" t="str">
            <v>刘欢</v>
          </cell>
          <cell r="E230" t="str">
            <v>A</v>
          </cell>
        </row>
        <row r="231">
          <cell r="B231">
            <v>29781429</v>
          </cell>
          <cell r="C231">
            <v>1304814991</v>
          </cell>
          <cell r="D231" t="str">
            <v>刘欢</v>
          </cell>
          <cell r="E231" t="str">
            <v>A</v>
          </cell>
        </row>
        <row r="232">
          <cell r="B232">
            <v>29768358</v>
          </cell>
          <cell r="C232">
            <v>1298818721</v>
          </cell>
          <cell r="D232" t="str">
            <v>刘欢</v>
          </cell>
          <cell r="E232" t="str">
            <v>A</v>
          </cell>
        </row>
        <row r="233">
          <cell r="B233">
            <v>25152343</v>
          </cell>
          <cell r="C233">
            <v>1246700195</v>
          </cell>
          <cell r="D233" t="str">
            <v>刘欢</v>
          </cell>
          <cell r="E233" t="str">
            <v>S</v>
          </cell>
        </row>
        <row r="234">
          <cell r="B234">
            <v>28538100</v>
          </cell>
          <cell r="C234">
            <v>530420153</v>
          </cell>
          <cell r="D234" t="str">
            <v>刘欢</v>
          </cell>
          <cell r="E234" t="str">
            <v>A</v>
          </cell>
        </row>
        <row r="235">
          <cell r="B235">
            <v>29434627</v>
          </cell>
          <cell r="C235">
            <v>1297248519</v>
          </cell>
          <cell r="D235" t="str">
            <v>刘欢</v>
          </cell>
          <cell r="E235" t="str">
            <v>A</v>
          </cell>
        </row>
        <row r="236">
          <cell r="B236">
            <v>30428010</v>
          </cell>
          <cell r="C236">
            <v>1285303733</v>
          </cell>
          <cell r="D236" t="str">
            <v>刘欢</v>
          </cell>
          <cell r="E236" t="str">
            <v>A</v>
          </cell>
        </row>
        <row r="237">
          <cell r="B237">
            <v>29434811</v>
          </cell>
          <cell r="C237">
            <v>534455868</v>
          </cell>
          <cell r="D237" t="str">
            <v>刘欢</v>
          </cell>
          <cell r="E237" t="str">
            <v>A</v>
          </cell>
        </row>
        <row r="238">
          <cell r="B238">
            <v>26423481</v>
          </cell>
          <cell r="C238">
            <v>1264480063</v>
          </cell>
          <cell r="D238" t="str">
            <v>刘欢</v>
          </cell>
          <cell r="E238" t="str">
            <v>A</v>
          </cell>
        </row>
        <row r="239">
          <cell r="B239" t="str">
            <v>无</v>
          </cell>
          <cell r="C239">
            <v>506105940</v>
          </cell>
          <cell r="D239" t="str">
            <v>王森</v>
          </cell>
          <cell r="E239" t="str">
            <v>A</v>
          </cell>
        </row>
        <row r="240">
          <cell r="B240">
            <v>30208016</v>
          </cell>
          <cell r="C240">
            <v>534226572</v>
          </cell>
          <cell r="D240" t="str">
            <v>王森</v>
          </cell>
          <cell r="E240" t="str">
            <v>C</v>
          </cell>
        </row>
        <row r="241">
          <cell r="B241">
            <v>16193990</v>
          </cell>
          <cell r="C241">
            <v>1119434698</v>
          </cell>
          <cell r="D241" t="str">
            <v>王森</v>
          </cell>
          <cell r="E241" t="str">
            <v>B</v>
          </cell>
        </row>
        <row r="242">
          <cell r="B242">
            <v>9774111</v>
          </cell>
          <cell r="C242">
            <v>500725249</v>
          </cell>
          <cell r="D242" t="str">
            <v>王森</v>
          </cell>
          <cell r="E242" t="str">
            <v>B</v>
          </cell>
        </row>
        <row r="243">
          <cell r="B243">
            <v>19034814</v>
          </cell>
          <cell r="C243">
            <v>1157897980</v>
          </cell>
          <cell r="D243" t="str">
            <v>王森</v>
          </cell>
          <cell r="E243" t="str">
            <v>A</v>
          </cell>
        </row>
        <row r="244">
          <cell r="B244">
            <v>9553140</v>
          </cell>
          <cell r="C244">
            <v>2001187366</v>
          </cell>
          <cell r="D244" t="str">
            <v>王森</v>
          </cell>
          <cell r="E244" t="str">
            <v>A</v>
          </cell>
        </row>
        <row r="245">
          <cell r="B245">
            <v>12821491</v>
          </cell>
          <cell r="C245">
            <v>161515643</v>
          </cell>
          <cell r="D245" t="str">
            <v>王森</v>
          </cell>
          <cell r="E245" t="str">
            <v>A</v>
          </cell>
        </row>
        <row r="246">
          <cell r="B246">
            <v>8810325</v>
          </cell>
          <cell r="C246">
            <v>170914692</v>
          </cell>
          <cell r="D246" t="str">
            <v>王森</v>
          </cell>
          <cell r="E246" t="str">
            <v>A</v>
          </cell>
        </row>
        <row r="247">
          <cell r="B247">
            <v>532741</v>
          </cell>
          <cell r="C247">
            <v>158003737</v>
          </cell>
          <cell r="D247" t="str">
            <v>王森</v>
          </cell>
          <cell r="E247" t="str">
            <v>A</v>
          </cell>
        </row>
        <row r="248">
          <cell r="B248">
            <v>18218932</v>
          </cell>
          <cell r="C248">
            <v>1155303310</v>
          </cell>
          <cell r="D248" t="str">
            <v>王森</v>
          </cell>
          <cell r="E248" t="str">
            <v>A</v>
          </cell>
        </row>
        <row r="249">
          <cell r="B249">
            <v>18672336</v>
          </cell>
          <cell r="C249">
            <v>510640161</v>
          </cell>
          <cell r="D249" t="str">
            <v>王森</v>
          </cell>
          <cell r="E249" t="str">
            <v>A</v>
          </cell>
        </row>
        <row r="250">
          <cell r="B250">
            <v>532719</v>
          </cell>
          <cell r="C250">
            <v>155830856</v>
          </cell>
          <cell r="D250" t="str">
            <v>王森</v>
          </cell>
          <cell r="E250" t="str">
            <v>A</v>
          </cell>
        </row>
        <row r="251">
          <cell r="B251">
            <v>24670571</v>
          </cell>
          <cell r="C251">
            <v>520646247</v>
          </cell>
          <cell r="D251" t="str">
            <v>王森</v>
          </cell>
          <cell r="E251" t="str">
            <v>A</v>
          </cell>
        </row>
        <row r="252">
          <cell r="B252">
            <v>24094873</v>
          </cell>
          <cell r="C252">
            <v>1235406375</v>
          </cell>
          <cell r="D252" t="str">
            <v>王森</v>
          </cell>
          <cell r="E252" t="str">
            <v>A</v>
          </cell>
        </row>
        <row r="253">
          <cell r="B253">
            <v>26196296</v>
          </cell>
          <cell r="C253">
            <v>1261952647</v>
          </cell>
          <cell r="D253" t="str">
            <v>王森</v>
          </cell>
          <cell r="E253" t="str">
            <v>A</v>
          </cell>
        </row>
        <row r="254">
          <cell r="B254">
            <v>3211755</v>
          </cell>
          <cell r="C254">
            <v>1220183</v>
          </cell>
          <cell r="D254" t="str">
            <v>王森</v>
          </cell>
          <cell r="E254" t="str">
            <v>A</v>
          </cell>
        </row>
        <row r="255">
          <cell r="B255">
            <v>3211775</v>
          </cell>
          <cell r="C255">
            <v>1220168</v>
          </cell>
          <cell r="D255" t="str">
            <v>王森</v>
          </cell>
          <cell r="E255" t="str">
            <v>A</v>
          </cell>
        </row>
        <row r="256">
          <cell r="B256">
            <v>28801339</v>
          </cell>
          <cell r="C256">
            <v>1297754676</v>
          </cell>
          <cell r="D256" t="str">
            <v>王森</v>
          </cell>
          <cell r="E256" t="str">
            <v>A</v>
          </cell>
        </row>
        <row r="257">
          <cell r="B257">
            <v>27831115</v>
          </cell>
          <cell r="C257">
            <v>1288044802</v>
          </cell>
          <cell r="D257" t="str">
            <v>王森</v>
          </cell>
          <cell r="E257" t="str">
            <v>A</v>
          </cell>
        </row>
        <row r="258">
          <cell r="B258">
            <v>29435750</v>
          </cell>
          <cell r="C258">
            <v>534050013</v>
          </cell>
          <cell r="D258" t="str">
            <v>王森</v>
          </cell>
          <cell r="E258" t="str">
            <v>A</v>
          </cell>
        </row>
        <row r="259">
          <cell r="B259">
            <v>30382820</v>
          </cell>
        </row>
        <row r="259">
          <cell r="D259" t="str">
            <v>刘欢</v>
          </cell>
          <cell r="E259" t="str">
            <v>A</v>
          </cell>
        </row>
        <row r="260">
          <cell r="B260">
            <v>30318824</v>
          </cell>
          <cell r="C260">
            <v>531340897</v>
          </cell>
          <cell r="D260" t="str">
            <v>刘欢</v>
          </cell>
          <cell r="E260" t="str">
            <v>A</v>
          </cell>
        </row>
        <row r="261">
          <cell r="B261">
            <v>30844502</v>
          </cell>
          <cell r="C261">
            <v>535835933</v>
          </cell>
          <cell r="D261" t="str">
            <v>徐从众</v>
          </cell>
          <cell r="E261" t="str">
            <v>A</v>
          </cell>
        </row>
        <row r="262">
          <cell r="B262">
            <v>30464763</v>
          </cell>
        </row>
        <row r="262">
          <cell r="D262" t="str">
            <v>刘欢</v>
          </cell>
          <cell r="E262" t="str">
            <v>A</v>
          </cell>
        </row>
        <row r="263">
          <cell r="B263">
            <v>31047872</v>
          </cell>
        </row>
        <row r="263">
          <cell r="D263" t="str">
            <v>刘欢</v>
          </cell>
          <cell r="E263" t="str">
            <v>A</v>
          </cell>
        </row>
        <row r="264">
          <cell r="B264">
            <v>30302208</v>
          </cell>
          <cell r="C264">
            <v>538135095</v>
          </cell>
          <cell r="D264" t="str">
            <v>刘欢</v>
          </cell>
          <cell r="E264" t="str">
            <v>A</v>
          </cell>
        </row>
        <row r="265">
          <cell r="B265">
            <v>30285835</v>
          </cell>
          <cell r="C265">
            <v>536070662</v>
          </cell>
          <cell r="D265" t="str">
            <v>徐从众</v>
          </cell>
          <cell r="E265" t="str">
            <v>S</v>
          </cell>
        </row>
        <row r="266">
          <cell r="B266">
            <v>30540756</v>
          </cell>
          <cell r="C266">
            <v>535663523</v>
          </cell>
          <cell r="D266" t="str">
            <v>王森</v>
          </cell>
          <cell r="E266" t="str">
            <v>A</v>
          </cell>
        </row>
        <row r="267">
          <cell r="B267">
            <v>14160343</v>
          </cell>
          <cell r="C267">
            <v>1287649805</v>
          </cell>
          <cell r="D267" t="str">
            <v>王森</v>
          </cell>
          <cell r="E267" t="str">
            <v>S</v>
          </cell>
        </row>
        <row r="268">
          <cell r="B268">
            <v>540050186</v>
          </cell>
          <cell r="C268">
            <v>30374654</v>
          </cell>
          <cell r="D268" t="str">
            <v>岳贝贝</v>
          </cell>
          <cell r="E268" t="str">
            <v>C</v>
          </cell>
        </row>
        <row r="269">
          <cell r="B269">
            <v>31256267</v>
          </cell>
          <cell r="C269">
            <v>539190421</v>
          </cell>
          <cell r="D269" t="str">
            <v>徐从众</v>
          </cell>
          <cell r="E269" t="str">
            <v>S</v>
          </cell>
        </row>
        <row r="270">
          <cell r="B270">
            <v>31197573</v>
          </cell>
          <cell r="C270">
            <v>1323150513</v>
          </cell>
          <cell r="D270" t="str">
            <v>王森</v>
          </cell>
          <cell r="E270" t="str">
            <v>S</v>
          </cell>
        </row>
        <row r="271">
          <cell r="B271">
            <v>31134922</v>
          </cell>
          <cell r="C271" t="str">
            <v>待建店</v>
          </cell>
          <cell r="D271" t="str">
            <v>徐从众</v>
          </cell>
          <cell r="E271" t="str">
            <v>S</v>
          </cell>
        </row>
        <row r="272">
          <cell r="B272">
            <v>30901658</v>
          </cell>
          <cell r="C272" t="str">
            <v>待建店</v>
          </cell>
          <cell r="D272" t="str">
            <v>徐从众</v>
          </cell>
          <cell r="E272" t="str">
            <v>S</v>
          </cell>
        </row>
        <row r="273">
          <cell r="B273">
            <v>9186837</v>
          </cell>
          <cell r="C273">
            <v>2038524703</v>
          </cell>
          <cell r="D273" t="str">
            <v>王森</v>
          </cell>
          <cell r="E273" t="str">
            <v>A</v>
          </cell>
        </row>
        <row r="274">
          <cell r="B274">
            <v>30889980</v>
          </cell>
          <cell r="C274">
            <v>538693363</v>
          </cell>
          <cell r="D274" t="str">
            <v>刘欢</v>
          </cell>
          <cell r="E274" t="str">
            <v>A</v>
          </cell>
        </row>
        <row r="275">
          <cell r="B275">
            <v>29251324</v>
          </cell>
          <cell r="C275">
            <v>1301471286</v>
          </cell>
          <cell r="D275" t="str">
            <v>刘欢</v>
          </cell>
          <cell r="E275" t="str">
            <v>A</v>
          </cell>
        </row>
        <row r="276">
          <cell r="B276">
            <v>31088301</v>
          </cell>
          <cell r="C276">
            <v>538653708</v>
          </cell>
          <cell r="D276" t="str">
            <v>刘欢</v>
          </cell>
          <cell r="E276" t="str">
            <v>A</v>
          </cell>
        </row>
        <row r="277">
          <cell r="B277" t="str">
            <v>待合作</v>
          </cell>
          <cell r="C277">
            <v>535125057</v>
          </cell>
          <cell r="D277" t="str">
            <v>刘欢</v>
          </cell>
          <cell r="E277" t="str">
            <v>A</v>
          </cell>
        </row>
        <row r="278">
          <cell r="B278" t="str">
            <v>待合作</v>
          </cell>
          <cell r="C278">
            <v>537386469</v>
          </cell>
          <cell r="D278" t="str">
            <v>刘欢</v>
          </cell>
          <cell r="E278" t="str">
            <v>A</v>
          </cell>
        </row>
        <row r="279">
          <cell r="B279">
            <v>29723113</v>
          </cell>
          <cell r="C279">
            <v>1308786150</v>
          </cell>
          <cell r="D279" t="str">
            <v>刘欢</v>
          </cell>
          <cell r="E279" t="str">
            <v>B</v>
          </cell>
        </row>
        <row r="280">
          <cell r="B280">
            <v>28219431</v>
          </cell>
          <cell r="C280">
            <v>510590027</v>
          </cell>
          <cell r="D280" t="str">
            <v>王森</v>
          </cell>
          <cell r="E280" t="str">
            <v>A</v>
          </cell>
        </row>
        <row r="281">
          <cell r="B281">
            <v>29875319</v>
          </cell>
          <cell r="C281">
            <v>1307527024</v>
          </cell>
          <cell r="D281" t="str">
            <v>徐从众</v>
          </cell>
          <cell r="E281" t="str">
            <v>A</v>
          </cell>
        </row>
        <row r="282">
          <cell r="B282">
            <v>25928174</v>
          </cell>
          <cell r="C282">
            <v>1258934689</v>
          </cell>
          <cell r="D282" t="str">
            <v>徐从众</v>
          </cell>
          <cell r="E282" t="str">
            <v>S</v>
          </cell>
        </row>
        <row r="283">
          <cell r="C283">
            <v>538730735</v>
          </cell>
          <cell r="D283" t="str">
            <v>徐从众</v>
          </cell>
        </row>
        <row r="284">
          <cell r="C284">
            <v>527766108</v>
          </cell>
          <cell r="D284" t="str">
            <v>徐从众</v>
          </cell>
          <cell r="E284" t="str">
            <v>S</v>
          </cell>
        </row>
        <row r="285">
          <cell r="B285">
            <v>22855583</v>
          </cell>
          <cell r="C285">
            <v>538925320</v>
          </cell>
          <cell r="D285" t="str">
            <v>徐从众</v>
          </cell>
          <cell r="E285" t="str">
            <v>S</v>
          </cell>
        </row>
        <row r="286">
          <cell r="C286">
            <v>1105407151</v>
          </cell>
          <cell r="D286" t="str">
            <v>徐从众</v>
          </cell>
          <cell r="E286" t="str">
            <v>S</v>
          </cell>
        </row>
        <row r="287">
          <cell r="C287">
            <v>1316579622</v>
          </cell>
          <cell r="D287" t="str">
            <v>徐从众</v>
          </cell>
          <cell r="E287" t="str">
            <v>S</v>
          </cell>
        </row>
        <row r="288">
          <cell r="B288">
            <v>22855811</v>
          </cell>
          <cell r="C288">
            <v>1316504629</v>
          </cell>
          <cell r="D288" t="str">
            <v>徐从众</v>
          </cell>
          <cell r="E288" t="str">
            <v>S</v>
          </cell>
        </row>
        <row r="289">
          <cell r="C289">
            <v>1299686312</v>
          </cell>
          <cell r="D289" t="str">
            <v>徐从众</v>
          </cell>
          <cell r="E289" t="str">
            <v>S</v>
          </cell>
        </row>
        <row r="290">
          <cell r="C290">
            <v>1317644864</v>
          </cell>
          <cell r="D290" t="str">
            <v>徐从众</v>
          </cell>
          <cell r="E290" t="str">
            <v>S</v>
          </cell>
        </row>
        <row r="291">
          <cell r="B291">
            <v>27419349</v>
          </cell>
          <cell r="C291">
            <v>536376567</v>
          </cell>
          <cell r="D291" t="str">
            <v>徐从众</v>
          </cell>
          <cell r="E291" t="str">
            <v>S</v>
          </cell>
        </row>
        <row r="292">
          <cell r="B292">
            <v>22855809</v>
          </cell>
          <cell r="C292">
            <v>538764150</v>
          </cell>
          <cell r="D292" t="str">
            <v>徐从众</v>
          </cell>
          <cell r="E292" t="str">
            <v>S</v>
          </cell>
        </row>
        <row r="293">
          <cell r="B293">
            <v>31059896</v>
          </cell>
          <cell r="C293">
            <v>539275219</v>
          </cell>
          <cell r="D293" t="str">
            <v>徐从众</v>
          </cell>
          <cell r="E293" t="str">
            <v>A</v>
          </cell>
        </row>
        <row r="294">
          <cell r="B294">
            <v>30459367</v>
          </cell>
          <cell r="C294">
            <v>537151397</v>
          </cell>
          <cell r="D294" t="str">
            <v>徐从众</v>
          </cell>
          <cell r="E294" t="str">
            <v>S</v>
          </cell>
        </row>
        <row r="295">
          <cell r="B295">
            <v>28103530</v>
          </cell>
          <cell r="C295">
            <v>1193531567</v>
          </cell>
          <cell r="D295" t="str">
            <v>刘欢</v>
          </cell>
          <cell r="E295" t="str">
            <v>B</v>
          </cell>
        </row>
        <row r="296">
          <cell r="B296">
            <v>31034050</v>
          </cell>
          <cell r="C296">
            <v>537044926</v>
          </cell>
          <cell r="D296" t="str">
            <v>刘欢</v>
          </cell>
          <cell r="E296" t="str">
            <v>A</v>
          </cell>
        </row>
        <row r="297">
          <cell r="B297">
            <v>30701588</v>
          </cell>
          <cell r="C297">
            <v>540910163</v>
          </cell>
          <cell r="D297" t="str">
            <v>刘欢</v>
          </cell>
          <cell r="E297" t="str">
            <v>A</v>
          </cell>
        </row>
        <row r="298">
          <cell r="B298">
            <v>30752380</v>
          </cell>
          <cell r="C298">
            <v>1317764828</v>
          </cell>
          <cell r="D298" t="str">
            <v>刘欢</v>
          </cell>
          <cell r="E298" t="str">
            <v>A</v>
          </cell>
        </row>
        <row r="299">
          <cell r="B299">
            <v>30619853</v>
          </cell>
        </row>
        <row r="299">
          <cell r="D299" t="str">
            <v>刘欢</v>
          </cell>
          <cell r="E299" t="str">
            <v>B</v>
          </cell>
        </row>
        <row r="300">
          <cell r="B300">
            <v>31717938</v>
          </cell>
          <cell r="C300">
            <v>538310238</v>
          </cell>
          <cell r="D300" t="str">
            <v>刘欢</v>
          </cell>
          <cell r="E300" t="str">
            <v>B</v>
          </cell>
        </row>
        <row r="301">
          <cell r="B301">
            <v>31403076</v>
          </cell>
          <cell r="C301">
            <v>1317864808</v>
          </cell>
          <cell r="D301" t="str">
            <v>刘欢</v>
          </cell>
          <cell r="E301" t="str">
            <v>B</v>
          </cell>
        </row>
        <row r="302">
          <cell r="B302">
            <v>30849625</v>
          </cell>
          <cell r="C302">
            <v>538445213</v>
          </cell>
          <cell r="D302" t="str">
            <v>刘欢</v>
          </cell>
          <cell r="E302" t="str">
            <v>A</v>
          </cell>
        </row>
        <row r="303">
          <cell r="B303">
            <v>30846367</v>
          </cell>
          <cell r="C303">
            <v>533590083</v>
          </cell>
          <cell r="D303" t="str">
            <v>刘欢</v>
          </cell>
          <cell r="E303" t="str">
            <v>B</v>
          </cell>
        </row>
        <row r="304">
          <cell r="B304">
            <v>30711930</v>
          </cell>
          <cell r="C304">
            <v>538370131</v>
          </cell>
          <cell r="D304" t="str">
            <v>岳贝贝</v>
          </cell>
          <cell r="E304" t="str">
            <v>A</v>
          </cell>
        </row>
        <row r="305">
          <cell r="B305">
            <v>29295358</v>
          </cell>
          <cell r="C305">
            <v>1303503492</v>
          </cell>
          <cell r="D305" t="str">
            <v>刘欢</v>
          </cell>
          <cell r="E305" t="str">
            <v>A</v>
          </cell>
        </row>
        <row r="306">
          <cell r="B306">
            <v>538425482</v>
          </cell>
          <cell r="C306">
            <v>538425482</v>
          </cell>
          <cell r="D306" t="str">
            <v>刘欢</v>
          </cell>
          <cell r="E306" t="str">
            <v>B</v>
          </cell>
        </row>
        <row r="307">
          <cell r="B307">
            <v>31204892</v>
          </cell>
          <cell r="C307">
            <v>1302966011</v>
          </cell>
          <cell r="D307" t="str">
            <v>刘欢</v>
          </cell>
          <cell r="E307" t="str">
            <v>B</v>
          </cell>
        </row>
        <row r="308">
          <cell r="C308">
            <v>1280802422</v>
          </cell>
          <cell r="D308" t="str">
            <v>徐从众</v>
          </cell>
          <cell r="E308" t="str">
            <v>A</v>
          </cell>
        </row>
        <row r="309">
          <cell r="B309">
            <v>25936994</v>
          </cell>
          <cell r="C309">
            <v>1257049907</v>
          </cell>
          <cell r="D309" t="str">
            <v>王森</v>
          </cell>
          <cell r="E309" t="str">
            <v>A</v>
          </cell>
        </row>
        <row r="310">
          <cell r="B310">
            <v>20354499</v>
          </cell>
          <cell r="C310">
            <v>1188010604</v>
          </cell>
          <cell r="D310" t="str">
            <v>王森</v>
          </cell>
          <cell r="E310" t="str">
            <v>A</v>
          </cell>
        </row>
        <row r="311">
          <cell r="B311">
            <v>20607838</v>
          </cell>
          <cell r="C311">
            <v>1187699947</v>
          </cell>
          <cell r="D311" t="str">
            <v>王森</v>
          </cell>
          <cell r="E311" t="str">
            <v>A</v>
          </cell>
        </row>
        <row r="312">
          <cell r="B312">
            <v>30261719</v>
          </cell>
          <cell r="C312">
            <v>532403363</v>
          </cell>
          <cell r="D312" t="str">
            <v>王森</v>
          </cell>
          <cell r="E312" t="str">
            <v>A</v>
          </cell>
        </row>
        <row r="313">
          <cell r="B313">
            <v>29988412</v>
          </cell>
          <cell r="C313">
            <v>1187699947</v>
          </cell>
          <cell r="D313" t="str">
            <v>王森</v>
          </cell>
          <cell r="E313" t="str">
            <v>A</v>
          </cell>
        </row>
        <row r="314">
          <cell r="B314">
            <v>25142919</v>
          </cell>
          <cell r="C314">
            <v>1246544856</v>
          </cell>
          <cell r="D314" t="str">
            <v>王森</v>
          </cell>
          <cell r="E314" t="str">
            <v>A</v>
          </cell>
        </row>
        <row r="315">
          <cell r="B315">
            <v>31722268</v>
          </cell>
          <cell r="C315">
            <v>541629750</v>
          </cell>
          <cell r="D315" t="str">
            <v>王森</v>
          </cell>
          <cell r="E315" t="str">
            <v>S</v>
          </cell>
        </row>
        <row r="316">
          <cell r="B316">
            <v>29755384</v>
          </cell>
          <cell r="C316">
            <v>531768864</v>
          </cell>
          <cell r="D316" t="str">
            <v>王森</v>
          </cell>
          <cell r="E316" t="str">
            <v>A</v>
          </cell>
        </row>
        <row r="317">
          <cell r="B317">
            <v>31252744</v>
          </cell>
          <cell r="C317">
            <v>1317652834</v>
          </cell>
          <cell r="D317" t="str">
            <v>徐从众</v>
          </cell>
          <cell r="E317" t="str">
            <v>A</v>
          </cell>
        </row>
        <row r="318">
          <cell r="B318">
            <v>25820278</v>
          </cell>
          <cell r="C318">
            <v>1254940906</v>
          </cell>
          <cell r="D318" t="str">
            <v>岳贝贝</v>
          </cell>
          <cell r="E318" t="str">
            <v>S</v>
          </cell>
        </row>
        <row r="319">
          <cell r="B319">
            <v>30166852</v>
          </cell>
          <cell r="C319">
            <v>540495101</v>
          </cell>
          <cell r="D319" t="str">
            <v>刘欢</v>
          </cell>
          <cell r="E319" t="str">
            <v>B</v>
          </cell>
        </row>
        <row r="320">
          <cell r="B320">
            <v>31244731</v>
          </cell>
        </row>
        <row r="320">
          <cell r="D320" t="str">
            <v>刘欢</v>
          </cell>
          <cell r="E320" t="str">
            <v>A</v>
          </cell>
        </row>
        <row r="321">
          <cell r="B321">
            <v>30460834</v>
          </cell>
          <cell r="C321">
            <v>538906132</v>
          </cell>
          <cell r="D321" t="str">
            <v>刘欢</v>
          </cell>
          <cell r="E321" t="str">
            <v>A</v>
          </cell>
        </row>
        <row r="322">
          <cell r="B322">
            <v>21958406</v>
          </cell>
          <cell r="C322">
            <v>1297636215</v>
          </cell>
          <cell r="D322" t="str">
            <v>刘欢</v>
          </cell>
          <cell r="E322" t="str">
            <v>A</v>
          </cell>
        </row>
        <row r="323">
          <cell r="C323">
            <v>1284502031</v>
          </cell>
          <cell r="D323" t="str">
            <v>刘欢</v>
          </cell>
          <cell r="E323" t="str">
            <v>C</v>
          </cell>
        </row>
        <row r="324">
          <cell r="C324">
            <v>1325409620</v>
          </cell>
          <cell r="D324" t="str">
            <v>刘欢</v>
          </cell>
          <cell r="E324" t="str">
            <v>A</v>
          </cell>
        </row>
        <row r="325">
          <cell r="B325">
            <v>31551897</v>
          </cell>
          <cell r="C325">
            <v>1325642178</v>
          </cell>
          <cell r="D325" t="str">
            <v>徐从众</v>
          </cell>
          <cell r="E325" t="str">
            <v>S</v>
          </cell>
        </row>
        <row r="326">
          <cell r="B326">
            <v>31828568</v>
          </cell>
          <cell r="C326">
            <v>541725280</v>
          </cell>
          <cell r="D326" t="str">
            <v>徐从众</v>
          </cell>
          <cell r="E326" t="str">
            <v>S</v>
          </cell>
        </row>
        <row r="327">
          <cell r="B327">
            <v>31641645</v>
          </cell>
        </row>
        <row r="327">
          <cell r="D327" t="str">
            <v>徐从众</v>
          </cell>
          <cell r="E327" t="str">
            <v>S</v>
          </cell>
        </row>
        <row r="328">
          <cell r="D328" t="str">
            <v>/</v>
          </cell>
          <cell r="E328" t="str">
            <v>A</v>
          </cell>
        </row>
        <row r="329">
          <cell r="D329" t="str">
            <v>/</v>
          </cell>
          <cell r="E329" t="str">
            <v>A</v>
          </cell>
        </row>
        <row r="330">
          <cell r="B330">
            <v>31366741</v>
          </cell>
          <cell r="C330" t="str">
            <v>
1324205351</v>
          </cell>
          <cell r="D330" t="str">
            <v>岳贝贝</v>
          </cell>
          <cell r="E330" t="str">
            <v>A</v>
          </cell>
        </row>
        <row r="331">
          <cell r="B331">
            <v>31970236</v>
          </cell>
          <cell r="C331">
            <v>540662179</v>
          </cell>
          <cell r="D331" t="str">
            <v>岳贝贝</v>
          </cell>
          <cell r="E331" t="str">
            <v>B</v>
          </cell>
        </row>
        <row r="332">
          <cell r="D332" t="str">
            <v>/</v>
          </cell>
          <cell r="E332" t="str">
            <v>A</v>
          </cell>
        </row>
        <row r="333">
          <cell r="D333" t="str">
            <v>/</v>
          </cell>
          <cell r="E333" t="str">
            <v>S</v>
          </cell>
        </row>
        <row r="334">
          <cell r="D334" t="str">
            <v>/</v>
          </cell>
          <cell r="E334" t="str">
            <v>S</v>
          </cell>
        </row>
        <row r="335">
          <cell r="D335" t="str">
            <v>/</v>
          </cell>
          <cell r="E335" t="str">
            <v>S</v>
          </cell>
        </row>
        <row r="336">
          <cell r="D336" t="str">
            <v>/</v>
          </cell>
        </row>
        <row r="337">
          <cell r="D337" t="str">
            <v>/</v>
          </cell>
          <cell r="E337" t="str">
            <v>S</v>
          </cell>
        </row>
        <row r="338">
          <cell r="B338">
            <v>31183271</v>
          </cell>
          <cell r="C338">
            <v>1323195520</v>
          </cell>
          <cell r="D338" t="str">
            <v>岳贝贝</v>
          </cell>
          <cell r="E338" t="str">
            <v>A</v>
          </cell>
        </row>
        <row r="339">
          <cell r="C339" t="str">
            <v>
540950106</v>
          </cell>
          <cell r="D339" t="str">
            <v>刘欢</v>
          </cell>
          <cell r="E339" t="str">
            <v>A</v>
          </cell>
        </row>
        <row r="340">
          <cell r="B340">
            <v>1728085</v>
          </cell>
          <cell r="C340">
            <v>2260213</v>
          </cell>
          <cell r="D340" t="str">
            <v>刘欢</v>
          </cell>
          <cell r="E340" t="str">
            <v>A</v>
          </cell>
        </row>
        <row r="341">
          <cell r="C341">
            <v>540426623</v>
          </cell>
          <cell r="D341" t="str">
            <v>刘欢</v>
          </cell>
          <cell r="E341" t="str">
            <v>C</v>
          </cell>
        </row>
        <row r="342">
          <cell r="B342">
            <v>30559145</v>
          </cell>
          <cell r="C342">
            <v>536907095</v>
          </cell>
          <cell r="D342" t="str">
            <v>刘欢</v>
          </cell>
          <cell r="E342" t="str">
            <v>B</v>
          </cell>
        </row>
        <row r="343">
          <cell r="C343">
            <v>1284523306</v>
          </cell>
          <cell r="D343" t="str">
            <v>刘欢</v>
          </cell>
        </row>
        <row r="344">
          <cell r="C344">
            <v>1245884670</v>
          </cell>
          <cell r="D344" t="str">
            <v>刘欢</v>
          </cell>
        </row>
        <row r="345">
          <cell r="B345">
            <v>3211794</v>
          </cell>
          <cell r="C345">
            <v>154880657</v>
          </cell>
          <cell r="D345" t="str">
            <v>王森</v>
          </cell>
          <cell r="E345" t="str">
            <v>A</v>
          </cell>
        </row>
        <row r="346">
          <cell r="B346">
            <v>13185296</v>
          </cell>
          <cell r="C346">
            <v>503869010</v>
          </cell>
          <cell r="D346" t="str">
            <v>王森</v>
          </cell>
          <cell r="E346" t="str">
            <v>A</v>
          </cell>
        </row>
        <row r="347">
          <cell r="B347">
            <v>28361054</v>
          </cell>
          <cell r="C347" t="str">
            <v>1290138513
</v>
          </cell>
          <cell r="D347" t="str">
            <v>王森</v>
          </cell>
          <cell r="E347" t="str">
            <v>A</v>
          </cell>
        </row>
        <row r="348">
          <cell r="C348">
            <v>1316552295</v>
          </cell>
          <cell r="D348" t="str">
            <v>/</v>
          </cell>
        </row>
        <row r="349">
          <cell r="C349">
            <v>539770382</v>
          </cell>
          <cell r="D349" t="str">
            <v>刘欢</v>
          </cell>
        </row>
        <row r="350">
          <cell r="C350">
            <v>528377025</v>
          </cell>
          <cell r="D350" t="str">
            <v>刘欢</v>
          </cell>
        </row>
        <row r="351">
          <cell r="C351">
            <v>541760336</v>
          </cell>
          <cell r="D351" t="str">
            <v>刘欢</v>
          </cell>
        </row>
        <row r="352">
          <cell r="C352">
            <v>541360802</v>
          </cell>
          <cell r="D352" t="str">
            <v>刘欢</v>
          </cell>
        </row>
        <row r="353">
          <cell r="C353">
            <v>157907988</v>
          </cell>
          <cell r="D353" t="str">
            <v>刘欢</v>
          </cell>
        </row>
        <row r="354">
          <cell r="C354">
            <v>530863345</v>
          </cell>
          <cell r="D354" t="str">
            <v>刘欢</v>
          </cell>
        </row>
        <row r="355">
          <cell r="C355">
            <v>530830364</v>
          </cell>
          <cell r="D355" t="str">
            <v>刘欢</v>
          </cell>
        </row>
        <row r="356">
          <cell r="B356">
            <v>32325262</v>
          </cell>
          <cell r="C356">
            <v>1302010435</v>
          </cell>
          <cell r="D356" t="str">
            <v>刘欢</v>
          </cell>
          <cell r="E356" t="str">
            <v>C</v>
          </cell>
        </row>
        <row r="357">
          <cell r="B357">
            <v>30196648</v>
          </cell>
          <cell r="C357">
            <v>537081693</v>
          </cell>
          <cell r="D357" t="str">
            <v>刘欢</v>
          </cell>
          <cell r="E357" t="str">
            <v>A</v>
          </cell>
        </row>
        <row r="358">
          <cell r="B358">
            <v>7486469</v>
          </cell>
          <cell r="C358">
            <v>2036084606</v>
          </cell>
          <cell r="D358" t="str">
            <v>刘欢</v>
          </cell>
          <cell r="E358" t="str">
            <v>B</v>
          </cell>
        </row>
        <row r="359">
          <cell r="C359">
            <v>530007067</v>
          </cell>
          <cell r="D359" t="str">
            <v>刘欢</v>
          </cell>
          <cell r="E359" t="str">
            <v>C</v>
          </cell>
        </row>
        <row r="360">
          <cell r="B360">
            <v>27241869</v>
          </cell>
          <cell r="C360">
            <v>541196518</v>
          </cell>
          <cell r="D360" t="str">
            <v>刘欢</v>
          </cell>
          <cell r="E360" t="str">
            <v>A</v>
          </cell>
        </row>
        <row r="361">
          <cell r="C361">
            <v>540796515</v>
          </cell>
          <cell r="D361" t="str">
            <v>刘欢</v>
          </cell>
          <cell r="E361" t="str">
            <v>C</v>
          </cell>
        </row>
        <row r="362">
          <cell r="B362">
            <v>31717747</v>
          </cell>
          <cell r="C362">
            <v>541196321</v>
          </cell>
          <cell r="D362" t="str">
            <v>刘欢</v>
          </cell>
          <cell r="E362" t="str">
            <v>A</v>
          </cell>
        </row>
        <row r="363">
          <cell r="C363">
            <v>1322357094</v>
          </cell>
          <cell r="D363" t="str">
            <v>刘欢</v>
          </cell>
          <cell r="E363" t="str">
            <v>C</v>
          </cell>
        </row>
        <row r="364">
          <cell r="C364">
            <v>1323191946</v>
          </cell>
          <cell r="D364" t="str">
            <v>刘欢</v>
          </cell>
          <cell r="E364" t="str">
            <v>C</v>
          </cell>
        </row>
        <row r="365">
          <cell r="B365">
            <v>31559693</v>
          </cell>
          <cell r="C365">
            <v>540895106</v>
          </cell>
          <cell r="D365" t="str">
            <v>刘欢</v>
          </cell>
          <cell r="E365" t="str">
            <v>A</v>
          </cell>
        </row>
        <row r="366">
          <cell r="B366">
            <v>31749654</v>
          </cell>
          <cell r="C366">
            <v>541634872</v>
          </cell>
          <cell r="D366" t="str">
            <v>刘欢</v>
          </cell>
          <cell r="E366" t="str">
            <v>A</v>
          </cell>
        </row>
        <row r="367">
          <cell r="B367">
            <v>30666434</v>
          </cell>
          <cell r="C367" t="str">
            <v>
529421756</v>
          </cell>
          <cell r="D367" t="str">
            <v>岳贝贝</v>
          </cell>
          <cell r="E367" t="str">
            <v>B</v>
          </cell>
        </row>
        <row r="368">
          <cell r="B368">
            <v>31747157</v>
          </cell>
          <cell r="C368">
            <v>541225890</v>
          </cell>
          <cell r="D368" t="str">
            <v>岳贝贝</v>
          </cell>
          <cell r="E368" t="str">
            <v>营业中</v>
          </cell>
        </row>
        <row r="369">
          <cell r="B369">
            <v>28990480</v>
          </cell>
          <cell r="C369">
            <v>532420912</v>
          </cell>
          <cell r="D369" t="str">
            <v>王森</v>
          </cell>
          <cell r="E369" t="str">
            <v>S</v>
          </cell>
        </row>
        <row r="370">
          <cell r="B370">
            <v>31717972</v>
          </cell>
          <cell r="C370">
            <v>1328488693</v>
          </cell>
          <cell r="D370" t="str">
            <v>徐从众</v>
          </cell>
          <cell r="E370" t="str">
            <v>S</v>
          </cell>
        </row>
        <row r="371">
          <cell r="B371" t="str">
            <v>待合作</v>
          </cell>
          <cell r="C371">
            <v>540781630</v>
          </cell>
          <cell r="D371" t="str">
            <v>徐从众</v>
          </cell>
          <cell r="E371" t="str">
            <v>B</v>
          </cell>
        </row>
        <row r="372">
          <cell r="B372">
            <v>30864387</v>
          </cell>
          <cell r="C372">
            <v>1316325261</v>
          </cell>
          <cell r="D372" t="str">
            <v>徐从众</v>
          </cell>
          <cell r="E372" t="str">
            <v>A</v>
          </cell>
        </row>
        <row r="373">
          <cell r="B373" t="str">
            <v>待上线</v>
          </cell>
          <cell r="C373">
            <v>540910445</v>
          </cell>
          <cell r="D373" t="str">
            <v>徐从众</v>
          </cell>
          <cell r="E373" t="str">
            <v>S</v>
          </cell>
        </row>
        <row r="374">
          <cell r="B374">
            <v>24690010</v>
          </cell>
          <cell r="C374">
            <v>1236651998</v>
          </cell>
          <cell r="D374" t="str">
            <v>王森</v>
          </cell>
          <cell r="E374" t="str">
            <v>A</v>
          </cell>
        </row>
        <row r="375">
          <cell r="C375">
            <v>541360802</v>
          </cell>
          <cell r="D375" t="str">
            <v>岳贝贝</v>
          </cell>
          <cell r="E375" t="str">
            <v>C</v>
          </cell>
        </row>
        <row r="376">
          <cell r="B376">
            <v>25394961</v>
          </cell>
          <cell r="C376">
            <v>1256551797</v>
          </cell>
          <cell r="D376" t="str">
            <v>徐从众</v>
          </cell>
          <cell r="E376" t="str">
            <v>S</v>
          </cell>
        </row>
        <row r="377">
          <cell r="B377">
            <v>31770934</v>
          </cell>
          <cell r="C377">
            <v>537915472</v>
          </cell>
          <cell r="D377" t="str">
            <v>刘欢</v>
          </cell>
          <cell r="E377" t="str">
            <v>B</v>
          </cell>
        </row>
        <row r="378">
          <cell r="C378" t="str">
            <v>541266588
</v>
          </cell>
          <cell r="D378" t="str">
            <v>刘欢</v>
          </cell>
          <cell r="E378" t="str">
            <v>C</v>
          </cell>
        </row>
        <row r="379">
          <cell r="B379">
            <v>28463312</v>
          </cell>
          <cell r="C379">
            <v>538395008</v>
          </cell>
          <cell r="D379" t="str">
            <v>刘欢</v>
          </cell>
          <cell r="E379" t="str">
            <v>C</v>
          </cell>
        </row>
        <row r="380">
          <cell r="B380">
            <v>32227913</v>
          </cell>
          <cell r="C380">
            <v>542266629</v>
          </cell>
          <cell r="D380" t="str">
            <v>刘欢</v>
          </cell>
          <cell r="E380" t="str">
            <v>C</v>
          </cell>
        </row>
        <row r="381">
          <cell r="B381" t="str">
            <v>无</v>
          </cell>
          <cell r="C381">
            <v>520540540</v>
          </cell>
          <cell r="D381" t="str">
            <v>王森</v>
          </cell>
          <cell r="E381" t="str">
            <v>B</v>
          </cell>
        </row>
        <row r="382">
          <cell r="B382">
            <v>31835073</v>
          </cell>
          <cell r="C382">
            <v>541065039</v>
          </cell>
          <cell r="D382" t="str">
            <v>刘欢</v>
          </cell>
          <cell r="E382" t="str">
            <v>A</v>
          </cell>
        </row>
        <row r="383">
          <cell r="B383">
            <v>31799309</v>
          </cell>
          <cell r="C383">
            <v>541772813</v>
          </cell>
          <cell r="D383" t="str">
            <v>刘欢</v>
          </cell>
          <cell r="E383" t="str">
            <v>A</v>
          </cell>
        </row>
        <row r="384">
          <cell r="B384">
            <v>27688407</v>
          </cell>
          <cell r="C384">
            <v>27688407</v>
          </cell>
          <cell r="D384" t="str">
            <v>刘欢</v>
          </cell>
          <cell r="E384" t="str">
            <v>S</v>
          </cell>
        </row>
        <row r="385">
          <cell r="B385">
            <v>30260114</v>
          </cell>
          <cell r="C385">
            <v>537063641</v>
          </cell>
          <cell r="D385" t="str">
            <v>刘欢</v>
          </cell>
          <cell r="E385" t="str">
            <v>S</v>
          </cell>
        </row>
        <row r="386">
          <cell r="B386">
            <v>21464545</v>
          </cell>
          <cell r="C386">
            <v>519874196</v>
          </cell>
          <cell r="D386" t="str">
            <v>刘欢</v>
          </cell>
          <cell r="E386" t="str">
            <v>B</v>
          </cell>
        </row>
        <row r="387">
          <cell r="B387">
            <v>31988484</v>
          </cell>
          <cell r="C387">
            <v>1330517622</v>
          </cell>
          <cell r="D387" t="str">
            <v>刘欢</v>
          </cell>
          <cell r="E387" t="str">
            <v>B</v>
          </cell>
        </row>
        <row r="388">
          <cell r="B388">
            <v>31696133</v>
          </cell>
          <cell r="C388">
            <v>1330995389</v>
          </cell>
          <cell r="D388" t="str">
            <v>刘欢</v>
          </cell>
          <cell r="E388" t="str">
            <v>C</v>
          </cell>
        </row>
        <row r="389">
          <cell r="B389">
            <v>31948810</v>
          </cell>
        </row>
        <row r="389">
          <cell r="D389" t="str">
            <v>/</v>
          </cell>
        </row>
        <row r="390">
          <cell r="B390">
            <v>31968647</v>
          </cell>
          <cell r="C390">
            <v>541739590</v>
          </cell>
          <cell r="D390" t="str">
            <v>岳贝贝</v>
          </cell>
          <cell r="E390" t="str">
            <v>B</v>
          </cell>
        </row>
        <row r="391">
          <cell r="B391">
            <v>31918958</v>
          </cell>
          <cell r="C391" t="str">
            <v>无美团</v>
          </cell>
          <cell r="D391" t="str">
            <v>岳贝贝</v>
          </cell>
          <cell r="E391" t="str">
            <v>D</v>
          </cell>
        </row>
        <row r="392">
          <cell r="C392">
            <v>1319828199</v>
          </cell>
          <cell r="D392" t="str">
            <v>岳贝贝</v>
          </cell>
          <cell r="E392" t="str">
            <v>C</v>
          </cell>
        </row>
        <row r="393">
          <cell r="B393">
            <v>32211507</v>
          </cell>
          <cell r="C393">
            <v>1329529421</v>
          </cell>
          <cell r="D393" t="str">
            <v>岳贝贝</v>
          </cell>
          <cell r="E393" t="str">
            <v>B</v>
          </cell>
        </row>
        <row r="394">
          <cell r="B394">
            <v>28106307</v>
          </cell>
          <cell r="C394">
            <v>1289259925</v>
          </cell>
          <cell r="D394" t="str">
            <v>岳贝贝</v>
          </cell>
          <cell r="E394" t="str">
            <v>B</v>
          </cell>
        </row>
        <row r="395">
          <cell r="B395">
            <v>16486858</v>
          </cell>
          <cell r="C395">
            <v>527412528</v>
          </cell>
          <cell r="D395" t="str">
            <v>岳贝贝</v>
          </cell>
          <cell r="E395" t="str">
            <v>A</v>
          </cell>
        </row>
        <row r="396">
          <cell r="B396">
            <v>4692250</v>
          </cell>
          <cell r="C396">
            <v>516305161</v>
          </cell>
          <cell r="D396" t="str">
            <v>岳贝贝</v>
          </cell>
          <cell r="E396" t="str">
            <v>A</v>
          </cell>
        </row>
        <row r="397">
          <cell r="B397">
            <v>5415728</v>
          </cell>
          <cell r="C397">
            <v>1197815007</v>
          </cell>
          <cell r="D397" t="str">
            <v>岳贝贝</v>
          </cell>
          <cell r="E397" t="str">
            <v>A</v>
          </cell>
        </row>
        <row r="398">
          <cell r="B398">
            <v>21432036</v>
          </cell>
          <cell r="C398">
            <v>1273999795</v>
          </cell>
          <cell r="D398" t="str">
            <v>岳贝贝</v>
          </cell>
          <cell r="E398" t="str">
            <v>A</v>
          </cell>
        </row>
        <row r="399">
          <cell r="B399">
            <v>25395878</v>
          </cell>
          <cell r="C399">
            <v>531970041</v>
          </cell>
          <cell r="D399" t="str">
            <v>岳贝贝</v>
          </cell>
          <cell r="E399" t="str">
            <v>B</v>
          </cell>
        </row>
        <row r="400">
          <cell r="B400">
            <v>26997196</v>
          </cell>
          <cell r="C400">
            <v>1109718462</v>
          </cell>
          <cell r="D400" t="str">
            <v>岳贝贝</v>
          </cell>
          <cell r="E400" t="str">
            <v>A</v>
          </cell>
        </row>
        <row r="401">
          <cell r="B401">
            <v>16489064</v>
          </cell>
          <cell r="C401">
            <v>1128326066</v>
          </cell>
          <cell r="D401" t="str">
            <v>王森</v>
          </cell>
          <cell r="E401" t="str">
            <v>A</v>
          </cell>
        </row>
        <row r="402">
          <cell r="B402">
            <v>13841112</v>
          </cell>
          <cell r="C402">
            <v>2131630767</v>
          </cell>
          <cell r="D402" t="str">
            <v>王森</v>
          </cell>
          <cell r="E402" t="str">
            <v>A</v>
          </cell>
        </row>
        <row r="403">
          <cell r="B403">
            <v>13872091</v>
          </cell>
          <cell r="C403">
            <v>2132096317</v>
          </cell>
          <cell r="D403" t="str">
            <v>王森</v>
          </cell>
          <cell r="E403" t="str">
            <v>A</v>
          </cell>
        </row>
        <row r="404">
          <cell r="B404">
            <v>15906808</v>
          </cell>
          <cell r="C404">
            <v>507600436</v>
          </cell>
          <cell r="D404" t="str">
            <v>王森</v>
          </cell>
          <cell r="E404" t="str">
            <v>A</v>
          </cell>
        </row>
        <row r="405">
          <cell r="B405">
            <v>11641860</v>
          </cell>
          <cell r="C405">
            <v>502210130</v>
          </cell>
          <cell r="D405" t="str">
            <v>王森</v>
          </cell>
          <cell r="E405" t="str">
            <v>A</v>
          </cell>
        </row>
        <row r="406">
          <cell r="C406">
            <v>538555023</v>
          </cell>
          <cell r="D406" t="str">
            <v>刘欢</v>
          </cell>
          <cell r="E406" t="str">
            <v>C</v>
          </cell>
        </row>
        <row r="407">
          <cell r="B407">
            <v>30387467</v>
          </cell>
          <cell r="C407">
            <v>1315225130</v>
          </cell>
          <cell r="D407" t="str">
            <v>刘欢</v>
          </cell>
          <cell r="E407" t="str">
            <v>B</v>
          </cell>
        </row>
        <row r="408">
          <cell r="B408">
            <v>30433607</v>
          </cell>
          <cell r="C408">
            <v>1315330146</v>
          </cell>
          <cell r="D408" t="str">
            <v>刘欢</v>
          </cell>
          <cell r="E408" t="str">
            <v>A</v>
          </cell>
        </row>
        <row r="409">
          <cell r="B409">
            <v>32010834</v>
          </cell>
        </row>
        <row r="409">
          <cell r="D409" t="str">
            <v>刘欢</v>
          </cell>
          <cell r="E409" t="str">
            <v>A</v>
          </cell>
        </row>
        <row r="410">
          <cell r="B410">
            <v>30877462</v>
          </cell>
          <cell r="C410">
            <v>1318766817</v>
          </cell>
          <cell r="D410" t="str">
            <v>刘欢</v>
          </cell>
          <cell r="E410" t="str">
            <v>C</v>
          </cell>
        </row>
        <row r="411">
          <cell r="B411">
            <v>17561183</v>
          </cell>
          <cell r="C411">
            <v>1319794195</v>
          </cell>
          <cell r="D411" t="str">
            <v>刘欢</v>
          </cell>
          <cell r="E411" t="str">
            <v>C</v>
          </cell>
        </row>
        <row r="412">
          <cell r="B412">
            <v>31595902</v>
          </cell>
          <cell r="C412">
            <v>1323183058</v>
          </cell>
          <cell r="D412" t="str">
            <v>刘欢</v>
          </cell>
          <cell r="E412" t="str">
            <v>C</v>
          </cell>
        </row>
        <row r="413">
          <cell r="B413">
            <v>31934130</v>
          </cell>
          <cell r="C413">
            <v>542285839</v>
          </cell>
          <cell r="D413" t="str">
            <v>刘欢</v>
          </cell>
          <cell r="E413" t="str">
            <v>C</v>
          </cell>
        </row>
        <row r="414">
          <cell r="C414">
            <v>538567987</v>
          </cell>
          <cell r="D414" t="str">
            <v>刘欢</v>
          </cell>
          <cell r="E414" t="str">
            <v>C</v>
          </cell>
        </row>
        <row r="415">
          <cell r="C415">
            <v>1332013122</v>
          </cell>
          <cell r="D415" t="str">
            <v>刘欢</v>
          </cell>
          <cell r="E415" t="str">
            <v>C</v>
          </cell>
        </row>
        <row r="416">
          <cell r="C416">
            <v>1332599872</v>
          </cell>
          <cell r="D416" t="str">
            <v>刘欢</v>
          </cell>
          <cell r="E416" t="str">
            <v>C</v>
          </cell>
        </row>
        <row r="417">
          <cell r="B417">
            <v>32044334</v>
          </cell>
          <cell r="C417">
            <v>541440871</v>
          </cell>
          <cell r="D417" t="str">
            <v>刘欢</v>
          </cell>
          <cell r="E417" t="str">
            <v>A</v>
          </cell>
        </row>
        <row r="418">
          <cell r="B418">
            <v>31220135</v>
          </cell>
        </row>
        <row r="418">
          <cell r="D418" t="str">
            <v>刘欢</v>
          </cell>
          <cell r="E418" t="str">
            <v>A</v>
          </cell>
        </row>
        <row r="419">
          <cell r="B419">
            <v>31467521</v>
          </cell>
          <cell r="C419">
            <v>541291230</v>
          </cell>
          <cell r="D419" t="str">
            <v>刘欢</v>
          </cell>
          <cell r="E419" t="str">
            <v>B</v>
          </cell>
        </row>
        <row r="420">
          <cell r="C420">
            <v>1332600093</v>
          </cell>
          <cell r="D420" t="str">
            <v>刘欢</v>
          </cell>
          <cell r="E420" t="str">
            <v>B</v>
          </cell>
        </row>
        <row r="421">
          <cell r="C421">
            <v>1332566705</v>
          </cell>
          <cell r="D421" t="str">
            <v>刘欢</v>
          </cell>
          <cell r="E421" t="str">
            <v>A</v>
          </cell>
        </row>
        <row r="422">
          <cell r="C422">
            <v>1334380066</v>
          </cell>
          <cell r="D422" t="str">
            <v>刘欢</v>
          </cell>
          <cell r="E422" t="str">
            <v>A</v>
          </cell>
        </row>
        <row r="423">
          <cell r="C423">
            <v>541965491</v>
          </cell>
          <cell r="D423" t="str">
            <v>刘欢</v>
          </cell>
          <cell r="E423" t="str">
            <v>C</v>
          </cell>
        </row>
        <row r="424">
          <cell r="B424">
            <v>32178021</v>
          </cell>
          <cell r="C424">
            <v>1300656267</v>
          </cell>
          <cell r="D424" t="str">
            <v>刘欢</v>
          </cell>
          <cell r="E424" t="str">
            <v>A</v>
          </cell>
        </row>
        <row r="425">
          <cell r="B425">
            <v>32027731</v>
          </cell>
        </row>
        <row r="425">
          <cell r="D425" t="str">
            <v>刘欢</v>
          </cell>
          <cell r="E425" t="str">
            <v>A</v>
          </cell>
        </row>
        <row r="426">
          <cell r="C426">
            <v>1238874933</v>
          </cell>
          <cell r="D426" t="str">
            <v>刘欢</v>
          </cell>
          <cell r="E426" t="str">
            <v>S</v>
          </cell>
        </row>
        <row r="427">
          <cell r="C427">
            <v>541585741</v>
          </cell>
          <cell r="D427" t="str">
            <v>刘欢</v>
          </cell>
          <cell r="E427" t="str">
            <v>C</v>
          </cell>
        </row>
        <row r="428">
          <cell r="C428">
            <v>32114114</v>
          </cell>
          <cell r="D428" t="str">
            <v>刘欢</v>
          </cell>
          <cell r="E428" t="str">
            <v>A</v>
          </cell>
        </row>
        <row r="429">
          <cell r="C429">
            <v>540705631</v>
          </cell>
          <cell r="D429" t="str">
            <v>刘欢</v>
          </cell>
          <cell r="E429" t="str">
            <v>C</v>
          </cell>
        </row>
        <row r="430">
          <cell r="B430">
            <v>31172476</v>
          </cell>
          <cell r="C430">
            <v>1323214527</v>
          </cell>
          <cell r="D430" t="str">
            <v>徐从众</v>
          </cell>
          <cell r="E430" t="str">
            <v>S</v>
          </cell>
        </row>
        <row r="431">
          <cell r="B431">
            <v>32184802</v>
          </cell>
          <cell r="C431">
            <v>1334941123</v>
          </cell>
          <cell r="D431" t="str">
            <v>徐从众</v>
          </cell>
          <cell r="E431" t="str">
            <v>S</v>
          </cell>
        </row>
        <row r="432">
          <cell r="B432">
            <v>9250518</v>
          </cell>
          <cell r="C432">
            <v>2042488422</v>
          </cell>
          <cell r="D432" t="str">
            <v>徐从众</v>
          </cell>
          <cell r="E432" t="str">
            <v>S</v>
          </cell>
        </row>
        <row r="433">
          <cell r="B433">
            <v>32036593</v>
          </cell>
          <cell r="C433">
            <v>541379800</v>
          </cell>
          <cell r="D433" t="str">
            <v>徐从众</v>
          </cell>
          <cell r="E433" t="str">
            <v>S</v>
          </cell>
        </row>
        <row r="434">
          <cell r="B434">
            <v>32014962</v>
          </cell>
          <cell r="C434">
            <v>541566333</v>
          </cell>
          <cell r="D434" t="str">
            <v>徐从众</v>
          </cell>
          <cell r="E434" t="str">
            <v>S</v>
          </cell>
        </row>
        <row r="435">
          <cell r="B435">
            <v>32183156</v>
          </cell>
          <cell r="C435">
            <v>540956963</v>
          </cell>
          <cell r="D435" t="str">
            <v>徐从众</v>
          </cell>
          <cell r="E435" t="str">
            <v>S</v>
          </cell>
        </row>
        <row r="436">
          <cell r="C436">
            <v>1197739743</v>
          </cell>
          <cell r="D436" t="str">
            <v>徐从众</v>
          </cell>
          <cell r="E436" t="str">
            <v>A</v>
          </cell>
        </row>
        <row r="437">
          <cell r="C437">
            <v>540194205</v>
          </cell>
          <cell r="D437" t="str">
            <v>徐从众</v>
          </cell>
          <cell r="E437" t="str">
            <v>A</v>
          </cell>
        </row>
        <row r="438">
          <cell r="B438" t="str">
            <v>无</v>
          </cell>
          <cell r="C438">
            <v>530957487</v>
          </cell>
          <cell r="D438" t="str">
            <v>王森</v>
          </cell>
          <cell r="E438" t="str">
            <v>C</v>
          </cell>
        </row>
        <row r="439">
          <cell r="B439" t="str">
            <v>无</v>
          </cell>
          <cell r="C439">
            <v>1246759636</v>
          </cell>
          <cell r="D439" t="str">
            <v>王森</v>
          </cell>
          <cell r="E439" t="str">
            <v>C</v>
          </cell>
        </row>
        <row r="440">
          <cell r="B440">
            <v>32452639</v>
          </cell>
          <cell r="C440">
            <v>1338061227</v>
          </cell>
          <cell r="D440" t="str">
            <v>王森</v>
          </cell>
          <cell r="E440" t="str">
            <v>A</v>
          </cell>
        </row>
        <row r="441">
          <cell r="B441" t="str">
            <v>无</v>
          </cell>
          <cell r="C441">
            <v>30003704</v>
          </cell>
          <cell r="D441" t="str">
            <v>王森</v>
          </cell>
          <cell r="E441" t="str">
            <v>C</v>
          </cell>
        </row>
        <row r="442">
          <cell r="B442">
            <v>32051245</v>
          </cell>
          <cell r="C442">
            <v>540895648</v>
          </cell>
          <cell r="D442" t="str">
            <v>王森</v>
          </cell>
          <cell r="E442" t="str">
            <v>A</v>
          </cell>
        </row>
        <row r="443">
          <cell r="B443">
            <v>30003704</v>
          </cell>
          <cell r="C443" t="str">
            <v>无</v>
          </cell>
          <cell r="D443" t="str">
            <v>王森</v>
          </cell>
          <cell r="E443" t="str">
            <v>C</v>
          </cell>
        </row>
        <row r="444">
          <cell r="B444">
            <v>1093331</v>
          </cell>
          <cell r="C444">
            <v>405280</v>
          </cell>
          <cell r="D444" t="str">
            <v>徐从众</v>
          </cell>
          <cell r="E444" t="str">
            <v>S</v>
          </cell>
        </row>
        <row r="445">
          <cell r="B445">
            <v>25459247</v>
          </cell>
          <cell r="C445">
            <v>1251776219</v>
          </cell>
          <cell r="D445" t="str">
            <v>徐从众</v>
          </cell>
          <cell r="E445" t="str">
            <v>A</v>
          </cell>
        </row>
        <row r="446">
          <cell r="B446">
            <v>32246470</v>
          </cell>
          <cell r="C446" t="str">
            <v>待上线</v>
          </cell>
          <cell r="D446" t="str">
            <v>徐从众</v>
          </cell>
          <cell r="E446" t="str">
            <v>B</v>
          </cell>
        </row>
        <row r="447">
          <cell r="B447">
            <v>32249602</v>
          </cell>
          <cell r="C447">
            <v>1331495537</v>
          </cell>
          <cell r="D447" t="str">
            <v>徐从众</v>
          </cell>
          <cell r="E447" t="str">
            <v>A</v>
          </cell>
        </row>
        <row r="448">
          <cell r="B448">
            <v>32220375</v>
          </cell>
          <cell r="C448">
            <v>542503489</v>
          </cell>
          <cell r="D448" t="str">
            <v>徐从众</v>
          </cell>
          <cell r="E448" t="str">
            <v>A</v>
          </cell>
        </row>
        <row r="449">
          <cell r="C449">
            <v>1327940502</v>
          </cell>
          <cell r="D449" t="str">
            <v>徐从众</v>
          </cell>
          <cell r="E449" t="str">
            <v>B</v>
          </cell>
        </row>
        <row r="450">
          <cell r="C450">
            <v>1334902029</v>
          </cell>
          <cell r="D450" t="str">
            <v>徐从众</v>
          </cell>
          <cell r="E450" t="str">
            <v>S</v>
          </cell>
        </row>
        <row r="451">
          <cell r="D451" t="str">
            <v>徐从众</v>
          </cell>
          <cell r="E451" t="str">
            <v>S</v>
          </cell>
        </row>
        <row r="452">
          <cell r="C452">
            <v>539180933</v>
          </cell>
          <cell r="D452" t="str">
            <v>徐从众</v>
          </cell>
          <cell r="E452" t="str">
            <v>B</v>
          </cell>
        </row>
        <row r="453">
          <cell r="B453" t="str">
            <v>无</v>
          </cell>
          <cell r="C453">
            <v>525861824</v>
          </cell>
          <cell r="D453" t="str">
            <v>王森</v>
          </cell>
          <cell r="E453" t="str">
            <v>C</v>
          </cell>
        </row>
        <row r="454">
          <cell r="B454">
            <v>32374054</v>
          </cell>
          <cell r="C454">
            <v>542620780</v>
          </cell>
          <cell r="D454" t="str">
            <v>刘欢</v>
          </cell>
          <cell r="E454" t="str">
            <v>A</v>
          </cell>
        </row>
        <row r="455">
          <cell r="C455" t="str">
            <v>
1333721521</v>
          </cell>
          <cell r="D455" t="str">
            <v>刘欢</v>
          </cell>
          <cell r="E455" t="str">
            <v>C</v>
          </cell>
        </row>
        <row r="456">
          <cell r="C456">
            <v>537981802</v>
          </cell>
          <cell r="D456" t="str">
            <v>刘欢</v>
          </cell>
          <cell r="E456" t="str">
            <v>C</v>
          </cell>
        </row>
        <row r="457">
          <cell r="B457">
            <v>31289358</v>
          </cell>
          <cell r="C457">
            <v>1325548215</v>
          </cell>
          <cell r="D457" t="str">
            <v>刘欢</v>
          </cell>
          <cell r="E457" t="str">
            <v>B</v>
          </cell>
        </row>
        <row r="458">
          <cell r="B458">
            <v>31932829</v>
          </cell>
          <cell r="C458">
            <v>1325691653</v>
          </cell>
          <cell r="D458" t="str">
            <v>刘欢</v>
          </cell>
          <cell r="E458" t="str">
            <v>B</v>
          </cell>
        </row>
        <row r="459">
          <cell r="B459">
            <v>32714089</v>
          </cell>
          <cell r="C459">
            <v>541065039</v>
          </cell>
          <cell r="D459" t="str">
            <v>刘欢</v>
          </cell>
          <cell r="E459" t="str">
            <v>B</v>
          </cell>
        </row>
        <row r="460">
          <cell r="C460">
            <v>1337325213</v>
          </cell>
          <cell r="D460" t="str">
            <v>刘欢</v>
          </cell>
          <cell r="E460" t="str">
            <v>C</v>
          </cell>
        </row>
        <row r="461">
          <cell r="C461">
            <v>1334947018</v>
          </cell>
          <cell r="D461" t="str">
            <v>刘欢</v>
          </cell>
          <cell r="E461" t="str">
            <v>C</v>
          </cell>
        </row>
        <row r="462">
          <cell r="C462">
            <v>337544579</v>
          </cell>
          <cell r="D462" t="str">
            <v>刘欢</v>
          </cell>
          <cell r="E462" t="str">
            <v>C</v>
          </cell>
        </row>
        <row r="463">
          <cell r="B463">
            <v>32142092</v>
          </cell>
        </row>
        <row r="463">
          <cell r="D463" t="str">
            <v>刘欢</v>
          </cell>
          <cell r="E463" t="str">
            <v>C</v>
          </cell>
        </row>
        <row r="464">
          <cell r="B464">
            <v>32404202</v>
          </cell>
        </row>
        <row r="464">
          <cell r="D464" t="str">
            <v>刘欢</v>
          </cell>
          <cell r="E464" t="str">
            <v>A</v>
          </cell>
        </row>
        <row r="465">
          <cell r="C465">
            <v>532442964</v>
          </cell>
          <cell r="D465" t="str">
            <v>刘欢</v>
          </cell>
          <cell r="E465" t="str">
            <v>C</v>
          </cell>
        </row>
        <row r="466">
          <cell r="C466">
            <v>1335790947</v>
          </cell>
          <cell r="D466" t="str">
            <v>刘欢</v>
          </cell>
          <cell r="E466" t="str">
            <v>C</v>
          </cell>
        </row>
        <row r="467">
          <cell r="B467">
            <v>32367383</v>
          </cell>
        </row>
        <row r="467">
          <cell r="D467" t="str">
            <v>刘欢</v>
          </cell>
          <cell r="E467" t="str">
            <v>B</v>
          </cell>
        </row>
        <row r="468">
          <cell r="C468">
            <v>542404205</v>
          </cell>
          <cell r="D468" t="str">
            <v>刘欢</v>
          </cell>
          <cell r="E468" t="str">
            <v>C</v>
          </cell>
        </row>
        <row r="469">
          <cell r="B469">
            <v>31985622</v>
          </cell>
          <cell r="C469">
            <v>1333874699</v>
          </cell>
          <cell r="D469" t="str">
            <v>刘欢</v>
          </cell>
          <cell r="E469" t="str">
            <v>C</v>
          </cell>
        </row>
        <row r="470">
          <cell r="B470">
            <v>29901181</v>
          </cell>
          <cell r="C470">
            <v>535870521</v>
          </cell>
          <cell r="D470" t="str">
            <v>刘欢</v>
          </cell>
          <cell r="E470" t="str">
            <v>C</v>
          </cell>
        </row>
        <row r="471">
          <cell r="B471">
            <v>28701468</v>
          </cell>
          <cell r="C471">
            <v>529711675</v>
          </cell>
          <cell r="D471" t="str">
            <v>岳贝贝</v>
          </cell>
          <cell r="E471" t="str">
            <v>S</v>
          </cell>
        </row>
        <row r="472">
          <cell r="C472">
            <v>530525173</v>
          </cell>
          <cell r="D472" t="str">
            <v>岳贝贝</v>
          </cell>
          <cell r="E472" t="str">
            <v>C</v>
          </cell>
        </row>
        <row r="473">
          <cell r="B473">
            <v>32768476</v>
          </cell>
          <cell r="C473">
            <v>541042595</v>
          </cell>
          <cell r="D473" t="str">
            <v>岳贝贝</v>
          </cell>
          <cell r="E473" t="str">
            <v>B</v>
          </cell>
        </row>
        <row r="474">
          <cell r="B474">
            <v>32809548</v>
          </cell>
          <cell r="C474">
            <v>542740350</v>
          </cell>
          <cell r="D474" t="str">
            <v>岳贝贝</v>
          </cell>
          <cell r="E474" t="str">
            <v>A</v>
          </cell>
        </row>
        <row r="475">
          <cell r="B475">
            <v>34071005</v>
          </cell>
          <cell r="C475">
            <v>542804663</v>
          </cell>
          <cell r="D475" t="str">
            <v>岳贝贝</v>
          </cell>
          <cell r="E475" t="str">
            <v>S</v>
          </cell>
        </row>
        <row r="476">
          <cell r="B476">
            <v>32578094</v>
          </cell>
          <cell r="C476">
            <v>542877176</v>
          </cell>
          <cell r="D476" t="str">
            <v>岳贝贝</v>
          </cell>
          <cell r="E476" t="str">
            <v>A</v>
          </cell>
        </row>
        <row r="477">
          <cell r="C477">
            <v>1340375533</v>
          </cell>
          <cell r="D477" t="str">
            <v>岳贝贝</v>
          </cell>
          <cell r="E477" t="str">
            <v>D</v>
          </cell>
        </row>
        <row r="478">
          <cell r="C478" t="str">
            <v>
523980257</v>
          </cell>
          <cell r="D478" t="str">
            <v>岳贝贝</v>
          </cell>
          <cell r="E478" t="str">
            <v>C</v>
          </cell>
        </row>
        <row r="479">
          <cell r="C479">
            <v>543546726</v>
          </cell>
          <cell r="D479" t="str">
            <v>岳贝贝</v>
          </cell>
          <cell r="E479" t="str">
            <v>C</v>
          </cell>
        </row>
        <row r="480">
          <cell r="B480">
            <v>24746144</v>
          </cell>
          <cell r="C480">
            <v>160020068</v>
          </cell>
          <cell r="D480" t="str">
            <v>刘欢</v>
          </cell>
          <cell r="E480" t="str">
            <v>S</v>
          </cell>
        </row>
        <row r="481">
          <cell r="B481">
            <v>31060688</v>
          </cell>
          <cell r="C481" t="str">
            <v>无</v>
          </cell>
          <cell r="D481" t="str">
            <v>王森</v>
          </cell>
          <cell r="E481" t="str">
            <v>C</v>
          </cell>
        </row>
        <row r="482">
          <cell r="B482" t="str">
            <v>无</v>
          </cell>
          <cell r="C482">
            <v>1118407756</v>
          </cell>
          <cell r="D482" t="str">
            <v>王森</v>
          </cell>
        </row>
        <row r="483">
          <cell r="B483">
            <v>30216313</v>
          </cell>
          <cell r="C483">
            <v>537116558</v>
          </cell>
          <cell r="D483" t="str">
            <v>刘欢</v>
          </cell>
          <cell r="E483" t="str">
            <v>C</v>
          </cell>
        </row>
        <row r="484">
          <cell r="C484">
            <v>1322267295</v>
          </cell>
          <cell r="D484" t="str">
            <v>刘欢</v>
          </cell>
          <cell r="E484" t="str">
            <v>C</v>
          </cell>
        </row>
        <row r="485">
          <cell r="C485">
            <v>542396353</v>
          </cell>
          <cell r="D485" t="str">
            <v>刘欢</v>
          </cell>
          <cell r="E485" t="str">
            <v>B</v>
          </cell>
        </row>
        <row r="486">
          <cell r="B486">
            <v>31953691</v>
          </cell>
          <cell r="C486">
            <v>541156640</v>
          </cell>
          <cell r="D486" t="str">
            <v>刘欢</v>
          </cell>
          <cell r="E486" t="str">
            <v>B</v>
          </cell>
        </row>
        <row r="487">
          <cell r="B487">
            <v>32363809</v>
          </cell>
        </row>
        <row r="487">
          <cell r="D487" t="str">
            <v>刘欢</v>
          </cell>
          <cell r="E487" t="str">
            <v>B</v>
          </cell>
        </row>
        <row r="488">
          <cell r="B488">
            <v>32512127</v>
          </cell>
        </row>
        <row r="488">
          <cell r="D488" t="str">
            <v>刘欢</v>
          </cell>
          <cell r="E488" t="str">
            <v>B</v>
          </cell>
        </row>
        <row r="489">
          <cell r="B489">
            <v>32367383</v>
          </cell>
        </row>
        <row r="489">
          <cell r="D489" t="str">
            <v>刘欢</v>
          </cell>
          <cell r="E489" t="str">
            <v>B</v>
          </cell>
        </row>
        <row r="490">
          <cell r="B490">
            <v>1330445429</v>
          </cell>
        </row>
        <row r="490">
          <cell r="D490" t="str">
            <v>刘欢</v>
          </cell>
          <cell r="E490" t="str">
            <v>B</v>
          </cell>
        </row>
        <row r="491">
          <cell r="B491">
            <v>30628445</v>
          </cell>
          <cell r="C491">
            <v>538915853</v>
          </cell>
          <cell r="D491" t="str">
            <v>徐从众</v>
          </cell>
          <cell r="E491" t="str">
            <v>A</v>
          </cell>
        </row>
        <row r="492">
          <cell r="B492">
            <v>32495606</v>
          </cell>
          <cell r="C492">
            <v>543151191</v>
          </cell>
          <cell r="D492" t="str">
            <v>徐从众</v>
          </cell>
          <cell r="E492" t="str">
            <v>S</v>
          </cell>
        </row>
        <row r="493">
          <cell r="B493">
            <v>23948866</v>
          </cell>
          <cell r="C493">
            <v>518600163</v>
          </cell>
          <cell r="D493" t="str">
            <v>徐从众</v>
          </cell>
          <cell r="E493" t="str">
            <v>S</v>
          </cell>
        </row>
        <row r="494">
          <cell r="B494">
            <v>32438871</v>
          </cell>
        </row>
        <row r="494">
          <cell r="D494" t="str">
            <v>徐从众</v>
          </cell>
          <cell r="E494" t="str">
            <v>A</v>
          </cell>
        </row>
        <row r="495">
          <cell r="B495">
            <v>32541272</v>
          </cell>
          <cell r="C495">
            <v>539105328</v>
          </cell>
          <cell r="D495" t="str">
            <v>徐从众</v>
          </cell>
          <cell r="E495" t="str">
            <v>A</v>
          </cell>
        </row>
        <row r="496">
          <cell r="B496">
            <v>32486957</v>
          </cell>
          <cell r="C496">
            <v>542789385</v>
          </cell>
          <cell r="D496" t="str">
            <v>徐从众</v>
          </cell>
          <cell r="E496" t="str">
            <v>S</v>
          </cell>
        </row>
        <row r="497">
          <cell r="B497">
            <v>136357</v>
          </cell>
          <cell r="C497">
            <v>1253971678</v>
          </cell>
          <cell r="D497" t="str">
            <v>徐从众</v>
          </cell>
          <cell r="E497" t="str">
            <v>S</v>
          </cell>
        </row>
        <row r="498">
          <cell r="B498">
            <v>32363884</v>
          </cell>
          <cell r="C498">
            <v>507239119</v>
          </cell>
          <cell r="D498" t="str">
            <v>徐从众</v>
          </cell>
          <cell r="E498" t="str">
            <v>A</v>
          </cell>
        </row>
        <row r="499">
          <cell r="B499">
            <v>32984990</v>
          </cell>
          <cell r="C499">
            <v>1338949923</v>
          </cell>
          <cell r="D499" t="str">
            <v>徐从众</v>
          </cell>
          <cell r="E499" t="str">
            <v>A</v>
          </cell>
        </row>
        <row r="500">
          <cell r="B500">
            <v>33521797</v>
          </cell>
          <cell r="C500">
            <v>1335020956</v>
          </cell>
          <cell r="D500" t="str">
            <v>徐从众</v>
          </cell>
          <cell r="E500" t="str">
            <v>B</v>
          </cell>
        </row>
        <row r="501">
          <cell r="C501">
            <v>1330784266</v>
          </cell>
          <cell r="D501" t="str">
            <v>徐从众</v>
          </cell>
          <cell r="E501" t="str">
            <v>S</v>
          </cell>
        </row>
        <row r="502">
          <cell r="C502">
            <v>2160162</v>
          </cell>
          <cell r="D502" t="str">
            <v>徐从众</v>
          </cell>
          <cell r="E502" t="str">
            <v>S</v>
          </cell>
        </row>
        <row r="503">
          <cell r="B503">
            <v>16536662</v>
          </cell>
          <cell r="C503">
            <v>1127673928</v>
          </cell>
          <cell r="D503" t="str">
            <v>徐从众</v>
          </cell>
          <cell r="E503" t="str">
            <v>A</v>
          </cell>
        </row>
        <row r="504">
          <cell r="B504">
            <v>32715785</v>
          </cell>
          <cell r="C504">
            <v>1338435343</v>
          </cell>
          <cell r="D504" t="str">
            <v>徐从众</v>
          </cell>
          <cell r="E504" t="str">
            <v>S</v>
          </cell>
        </row>
        <row r="505">
          <cell r="B505">
            <v>33034706</v>
          </cell>
          <cell r="C505">
            <v>1340449576</v>
          </cell>
          <cell r="D505" t="str">
            <v>徐从众</v>
          </cell>
          <cell r="E505" t="str">
            <v>S</v>
          </cell>
        </row>
        <row r="506">
          <cell r="B506">
            <v>32566277</v>
          </cell>
          <cell r="C506">
            <v>1344934717</v>
          </cell>
          <cell r="D506" t="str">
            <v>岳贝贝</v>
          </cell>
          <cell r="E506" t="str">
            <v>B</v>
          </cell>
        </row>
        <row r="507">
          <cell r="B507">
            <v>32460360</v>
          </cell>
          <cell r="C507" t="str">
            <v>无饿了么</v>
          </cell>
          <cell r="D507" t="str">
            <v>岳贝贝</v>
          </cell>
          <cell r="E507" t="str">
            <v>C</v>
          </cell>
        </row>
        <row r="508">
          <cell r="B508">
            <v>32051605</v>
          </cell>
          <cell r="C508">
            <v>1335785268</v>
          </cell>
          <cell r="D508" t="str">
            <v>岳贝贝</v>
          </cell>
          <cell r="E508" t="str">
            <v>A</v>
          </cell>
        </row>
        <row r="509">
          <cell r="B509">
            <v>33323560</v>
          </cell>
          <cell r="C509">
            <v>541568048</v>
          </cell>
          <cell r="D509" t="str">
            <v>岳贝贝</v>
          </cell>
          <cell r="E509" t="str">
            <v>B</v>
          </cell>
        </row>
        <row r="510">
          <cell r="B510">
            <v>33247249</v>
          </cell>
          <cell r="C510">
            <v>541892697</v>
          </cell>
          <cell r="D510" t="str">
            <v>岳贝贝</v>
          </cell>
          <cell r="E510" t="str">
            <v>B</v>
          </cell>
        </row>
        <row r="511">
          <cell r="B511">
            <v>33172121</v>
          </cell>
          <cell r="C511">
            <v>543736152</v>
          </cell>
          <cell r="D511" t="str">
            <v>岳贝贝</v>
          </cell>
          <cell r="E511" t="str">
            <v>B</v>
          </cell>
        </row>
        <row r="512">
          <cell r="B512">
            <v>32915876</v>
          </cell>
          <cell r="C512">
            <v>1344924515</v>
          </cell>
          <cell r="D512" t="str">
            <v>岳贝贝</v>
          </cell>
          <cell r="E512" t="str">
            <v>C</v>
          </cell>
        </row>
        <row r="513">
          <cell r="B513">
            <v>31957574</v>
          </cell>
          <cell r="C513">
            <v>1325576560</v>
          </cell>
          <cell r="D513" t="str">
            <v>岳贝贝</v>
          </cell>
          <cell r="E513" t="str">
            <v>B</v>
          </cell>
        </row>
        <row r="514">
          <cell r="B514">
            <v>32899913</v>
          </cell>
          <cell r="C514">
            <v>543442971</v>
          </cell>
          <cell r="D514" t="str">
            <v>岳贝贝</v>
          </cell>
          <cell r="E514" t="str">
            <v>B</v>
          </cell>
        </row>
        <row r="515">
          <cell r="B515">
            <v>33073117</v>
          </cell>
          <cell r="C515">
            <v>544210078</v>
          </cell>
          <cell r="D515" t="str">
            <v>岳贝贝</v>
          </cell>
          <cell r="E515" t="str">
            <v>B</v>
          </cell>
        </row>
        <row r="516">
          <cell r="B516">
            <v>33248244</v>
          </cell>
          <cell r="C516">
            <v>541778143</v>
          </cell>
          <cell r="D516" t="str">
            <v>岳贝贝</v>
          </cell>
          <cell r="E516" t="str">
            <v>B</v>
          </cell>
        </row>
        <row r="517">
          <cell r="B517">
            <v>33351526</v>
          </cell>
          <cell r="C517">
            <v>543100805</v>
          </cell>
          <cell r="D517" t="str">
            <v>岳贝贝</v>
          </cell>
          <cell r="E517" t="str">
            <v>A</v>
          </cell>
        </row>
        <row r="518">
          <cell r="B518">
            <v>33175402</v>
          </cell>
          <cell r="C518">
            <v>33175402</v>
          </cell>
          <cell r="D518" t="str">
            <v>岳贝贝</v>
          </cell>
          <cell r="E518" t="str">
            <v>S</v>
          </cell>
        </row>
        <row r="519">
          <cell r="B519">
            <v>32898142</v>
          </cell>
        </row>
        <row r="519">
          <cell r="D519" t="str">
            <v>刘欢</v>
          </cell>
          <cell r="E519" t="str">
            <v>B</v>
          </cell>
        </row>
        <row r="520">
          <cell r="B520">
            <v>32717917</v>
          </cell>
          <cell r="C520" t="str">
            <v>
1340382008</v>
          </cell>
          <cell r="D520" t="str">
            <v>刘欢</v>
          </cell>
          <cell r="E520" t="str">
            <v>B</v>
          </cell>
        </row>
        <row r="521">
          <cell r="B521">
            <v>32943240</v>
          </cell>
          <cell r="C521">
            <v>1329516215</v>
          </cell>
          <cell r="D521" t="str">
            <v>徐从众</v>
          </cell>
          <cell r="E521" t="str">
            <v>A</v>
          </cell>
        </row>
        <row r="522">
          <cell r="B522">
            <v>29741027</v>
          </cell>
          <cell r="C522">
            <v>538768911</v>
          </cell>
          <cell r="D522" t="str">
            <v>徐从众</v>
          </cell>
          <cell r="E522" t="str">
            <v>S</v>
          </cell>
        </row>
        <row r="523">
          <cell r="B523">
            <v>31279386</v>
          </cell>
          <cell r="C523">
            <v>1335811534</v>
          </cell>
          <cell r="D523" t="str">
            <v>徐从众</v>
          </cell>
          <cell r="E523" t="str">
            <v>S</v>
          </cell>
        </row>
        <row r="524">
          <cell r="B524">
            <v>33153942</v>
          </cell>
          <cell r="C524">
            <v>543528891</v>
          </cell>
          <cell r="D524" t="str">
            <v>徐从众</v>
          </cell>
          <cell r="E524" t="str">
            <v>S</v>
          </cell>
        </row>
        <row r="525">
          <cell r="B525">
            <v>32065115</v>
          </cell>
          <cell r="C525">
            <v>1334891154</v>
          </cell>
          <cell r="D525" t="str">
            <v>徐从众</v>
          </cell>
          <cell r="E525" t="str">
            <v>A</v>
          </cell>
        </row>
        <row r="526">
          <cell r="C526">
            <v>1185973732</v>
          </cell>
          <cell r="D526" t="str">
            <v>徐从众</v>
          </cell>
          <cell r="E526" t="str">
            <v>B</v>
          </cell>
        </row>
        <row r="527">
          <cell r="B527">
            <v>33568332</v>
          </cell>
          <cell r="C527">
            <v>544558577</v>
          </cell>
          <cell r="D527" t="str">
            <v>王森</v>
          </cell>
          <cell r="E527" t="str">
            <v>S</v>
          </cell>
        </row>
        <row r="528">
          <cell r="B528">
            <v>32257062</v>
          </cell>
          <cell r="C528">
            <v>18939977628</v>
          </cell>
          <cell r="D528" t="str">
            <v>王森</v>
          </cell>
          <cell r="E528" t="str">
            <v>A</v>
          </cell>
        </row>
        <row r="529">
          <cell r="B529">
            <v>7138977</v>
          </cell>
          <cell r="C529">
            <v>174271344</v>
          </cell>
          <cell r="D529" t="str">
            <v>王森</v>
          </cell>
          <cell r="E529" t="str">
            <v>S</v>
          </cell>
        </row>
        <row r="530">
          <cell r="B530">
            <v>33201830</v>
          </cell>
          <cell r="C530">
            <v>1344262493</v>
          </cell>
          <cell r="D530" t="str">
            <v>王森</v>
          </cell>
          <cell r="E530" t="str">
            <v>S</v>
          </cell>
        </row>
        <row r="531">
          <cell r="B531">
            <v>33299214</v>
          </cell>
          <cell r="C531">
            <v>543140597</v>
          </cell>
          <cell r="D531" t="str">
            <v>王森</v>
          </cell>
          <cell r="E531" t="str">
            <v>A</v>
          </cell>
        </row>
        <row r="532">
          <cell r="B532">
            <v>16489061</v>
          </cell>
          <cell r="C532">
            <v>1127711584</v>
          </cell>
          <cell r="D532" t="str">
            <v>王森</v>
          </cell>
          <cell r="E532" t="str">
            <v>S</v>
          </cell>
        </row>
        <row r="533">
          <cell r="B533">
            <v>543737196</v>
          </cell>
          <cell r="C533">
            <v>543737196</v>
          </cell>
          <cell r="D533" t="str">
            <v>王森</v>
          </cell>
          <cell r="E533" t="str">
            <v>S</v>
          </cell>
        </row>
        <row r="534">
          <cell r="B534">
            <v>33029373</v>
          </cell>
          <cell r="C534">
            <v>543732390</v>
          </cell>
          <cell r="D534" t="str">
            <v>王森</v>
          </cell>
          <cell r="E534" t="str">
            <v>S</v>
          </cell>
        </row>
        <row r="535">
          <cell r="D535" t="str">
            <v>王森</v>
          </cell>
          <cell r="E535" t="str">
            <v>S</v>
          </cell>
        </row>
        <row r="536">
          <cell r="B536">
            <v>33093893</v>
          </cell>
          <cell r="C536" t="str">
            <v>待建店</v>
          </cell>
          <cell r="D536" t="str">
            <v>徐从众</v>
          </cell>
          <cell r="E536" t="str">
            <v>S</v>
          </cell>
        </row>
        <row r="537">
          <cell r="B537">
            <v>33147326</v>
          </cell>
          <cell r="C537">
            <v>1344260009</v>
          </cell>
          <cell r="D537" t="str">
            <v>王森</v>
          </cell>
          <cell r="E537" t="str">
            <v>A</v>
          </cell>
        </row>
        <row r="538">
          <cell r="B538">
            <v>33607874</v>
          </cell>
          <cell r="C538">
            <v>1331573828</v>
          </cell>
          <cell r="D538" t="str">
            <v>王森</v>
          </cell>
        </row>
        <row r="539">
          <cell r="B539">
            <v>31252261</v>
          </cell>
          <cell r="C539">
            <v>539970192</v>
          </cell>
          <cell r="D539" t="str">
            <v>王森</v>
          </cell>
        </row>
        <row r="540">
          <cell r="B540" t="str">
            <v>无</v>
          </cell>
          <cell r="C540">
            <v>1345602273</v>
          </cell>
          <cell r="D540" t="str">
            <v>王森</v>
          </cell>
        </row>
        <row r="541">
          <cell r="B541">
            <v>32626446</v>
          </cell>
          <cell r="C541">
            <v>1339085576</v>
          </cell>
          <cell r="D541" t="str">
            <v>王森</v>
          </cell>
        </row>
        <row r="542">
          <cell r="B542">
            <v>33452069</v>
          </cell>
          <cell r="C542">
            <v>1346071843</v>
          </cell>
          <cell r="D542" t="str">
            <v>岳贝贝</v>
          </cell>
          <cell r="E542" t="str">
            <v>A</v>
          </cell>
        </row>
        <row r="543">
          <cell r="C543">
            <v>536696777</v>
          </cell>
          <cell r="D543" t="str">
            <v>刘欢</v>
          </cell>
          <cell r="E543" t="str">
            <v>C</v>
          </cell>
        </row>
        <row r="544">
          <cell r="C544">
            <v>1330809414</v>
          </cell>
          <cell r="D544" t="str">
            <v>刘欢</v>
          </cell>
          <cell r="E544" t="str">
            <v>A</v>
          </cell>
        </row>
        <row r="545">
          <cell r="B545">
            <v>31150267</v>
          </cell>
          <cell r="C545">
            <v>1316552295</v>
          </cell>
          <cell r="D545" t="str">
            <v>刘欢</v>
          </cell>
          <cell r="E545" t="str">
            <v>B</v>
          </cell>
        </row>
        <row r="546">
          <cell r="B546">
            <v>32812254</v>
          </cell>
          <cell r="C546">
            <v>530210729</v>
          </cell>
          <cell r="D546" t="str">
            <v>刘欢</v>
          </cell>
          <cell r="E546" t="str">
            <v>S</v>
          </cell>
        </row>
        <row r="547">
          <cell r="C547">
            <v>1341854058</v>
          </cell>
          <cell r="D547" t="str">
            <v>刘欢</v>
          </cell>
          <cell r="E547" t="str">
            <v>C</v>
          </cell>
        </row>
        <row r="548">
          <cell r="C548">
            <v>541777965</v>
          </cell>
          <cell r="D548" t="str">
            <v>刘欢</v>
          </cell>
          <cell r="E548" t="str">
            <v>B</v>
          </cell>
        </row>
        <row r="549">
          <cell r="B549">
            <v>11270121</v>
          </cell>
          <cell r="C549">
            <v>162500284</v>
          </cell>
          <cell r="D549" t="str">
            <v>刘欢</v>
          </cell>
          <cell r="E549" t="str">
            <v>S</v>
          </cell>
        </row>
        <row r="550">
          <cell r="B550">
            <v>33109875</v>
          </cell>
        </row>
        <row r="550">
          <cell r="D550" t="str">
            <v>刘欢</v>
          </cell>
          <cell r="E550" t="str">
            <v>A</v>
          </cell>
        </row>
        <row r="551">
          <cell r="B551">
            <v>10534977</v>
          </cell>
          <cell r="C551">
            <v>2062336071</v>
          </cell>
          <cell r="D551" t="str">
            <v>刘欢</v>
          </cell>
          <cell r="E551" t="str">
            <v>B</v>
          </cell>
        </row>
        <row r="552">
          <cell r="C552">
            <v>544061558</v>
          </cell>
          <cell r="D552" t="str">
            <v>刘欢</v>
          </cell>
          <cell r="E552" t="str">
            <v>A</v>
          </cell>
        </row>
        <row r="553">
          <cell r="C553" t="str">
            <v>
1202056121</v>
          </cell>
          <cell r="D553" t="str">
            <v>刘欢</v>
          </cell>
          <cell r="E553" t="str">
            <v>A</v>
          </cell>
        </row>
        <row r="554">
          <cell r="B554">
            <v>33048409</v>
          </cell>
          <cell r="C554">
            <v>1343038681</v>
          </cell>
          <cell r="D554" t="str">
            <v>刘欢</v>
          </cell>
          <cell r="E554" t="str">
            <v>B</v>
          </cell>
        </row>
        <row r="555">
          <cell r="C555">
            <v>522100246</v>
          </cell>
          <cell r="D555" t="str">
            <v>刘欢</v>
          </cell>
          <cell r="E555" t="str">
            <v>C</v>
          </cell>
        </row>
        <row r="556">
          <cell r="C556">
            <v>1339025895</v>
          </cell>
          <cell r="D556" t="str">
            <v>刘欢</v>
          </cell>
          <cell r="E556" t="str">
            <v>C</v>
          </cell>
        </row>
        <row r="557">
          <cell r="C557">
            <v>542935539</v>
          </cell>
          <cell r="D557" t="str">
            <v>刘欢</v>
          </cell>
          <cell r="E557" t="str">
            <v>C</v>
          </cell>
        </row>
        <row r="558">
          <cell r="B558">
            <v>33401201</v>
          </cell>
          <cell r="C558">
            <v>544253678</v>
          </cell>
          <cell r="D558" t="str">
            <v>王森</v>
          </cell>
          <cell r="E558" t="str">
            <v>S</v>
          </cell>
        </row>
        <row r="559">
          <cell r="B559" t="str">
            <v>无</v>
          </cell>
          <cell r="C559">
            <v>1314009947</v>
          </cell>
          <cell r="D559" t="str">
            <v>王森</v>
          </cell>
          <cell r="E559" t="str">
            <v>C</v>
          </cell>
        </row>
        <row r="560">
          <cell r="B560">
            <v>30103097</v>
          </cell>
          <cell r="C560" t="str">
            <v>无</v>
          </cell>
          <cell r="D560">
            <v>1</v>
          </cell>
        </row>
        <row r="561">
          <cell r="B561">
            <v>28872720</v>
          </cell>
          <cell r="C561">
            <v>1293402573</v>
          </cell>
          <cell r="D561" t="str">
            <v>王森</v>
          </cell>
          <cell r="E561" t="str">
            <v>S</v>
          </cell>
        </row>
        <row r="562">
          <cell r="B562">
            <v>29617373</v>
          </cell>
          <cell r="C562">
            <v>530347086</v>
          </cell>
          <cell r="D562" t="str">
            <v>岳贝贝</v>
          </cell>
          <cell r="E562" t="str">
            <v>B</v>
          </cell>
        </row>
        <row r="563">
          <cell r="B563">
            <v>33482411</v>
          </cell>
          <cell r="C563">
            <v>543925649</v>
          </cell>
          <cell r="D563" t="str">
            <v>岳贝贝</v>
          </cell>
          <cell r="E563" t="str">
            <v>B</v>
          </cell>
        </row>
        <row r="564">
          <cell r="B564">
            <v>33237112</v>
          </cell>
          <cell r="C564" t="str">
            <v>
1294864398</v>
          </cell>
          <cell r="D564" t="str">
            <v>岳贝贝</v>
          </cell>
          <cell r="E564" t="str">
            <v>B</v>
          </cell>
        </row>
        <row r="565">
          <cell r="B565">
            <v>33967571</v>
          </cell>
          <cell r="C565">
            <v>1347193412</v>
          </cell>
          <cell r="D565" t="str">
            <v>岳贝贝</v>
          </cell>
          <cell r="E565" t="str">
            <v>B</v>
          </cell>
        </row>
        <row r="566">
          <cell r="B566">
            <v>33967606</v>
          </cell>
          <cell r="C566">
            <v>1346859243</v>
          </cell>
          <cell r="D566" t="str">
            <v>岳贝贝</v>
          </cell>
          <cell r="E566" t="str">
            <v>B</v>
          </cell>
        </row>
        <row r="567">
          <cell r="B567">
            <v>33967566</v>
          </cell>
          <cell r="C567">
            <v>1347814753</v>
          </cell>
          <cell r="D567" t="str">
            <v>岳贝贝</v>
          </cell>
          <cell r="E567" t="str">
            <v>B</v>
          </cell>
        </row>
        <row r="568">
          <cell r="B568">
            <v>33445174</v>
          </cell>
          <cell r="C568">
            <v>542824443</v>
          </cell>
          <cell r="D568" t="str">
            <v>岳贝贝</v>
          </cell>
          <cell r="E568" t="str">
            <v>B</v>
          </cell>
        </row>
        <row r="569">
          <cell r="B569">
            <v>33716078</v>
          </cell>
          <cell r="C569">
            <v>1352099016</v>
          </cell>
          <cell r="D569" t="str">
            <v>岳贝贝</v>
          </cell>
          <cell r="E569" t="str">
            <v>B</v>
          </cell>
        </row>
        <row r="570">
          <cell r="B570">
            <v>33677435</v>
          </cell>
          <cell r="C570">
            <v>1346898792</v>
          </cell>
          <cell r="D570" t="str">
            <v>岳贝贝</v>
          </cell>
          <cell r="E570" t="str">
            <v>A</v>
          </cell>
        </row>
        <row r="571">
          <cell r="B571">
            <v>33378949</v>
          </cell>
          <cell r="C571">
            <v>544253178</v>
          </cell>
          <cell r="D571" t="str">
            <v>岳贝贝</v>
          </cell>
          <cell r="E571" t="str">
            <v>B</v>
          </cell>
        </row>
        <row r="572">
          <cell r="C572">
            <v>541295201</v>
          </cell>
          <cell r="D572" t="str">
            <v>岳贝贝</v>
          </cell>
          <cell r="E572" t="str">
            <v>C</v>
          </cell>
        </row>
        <row r="573">
          <cell r="B573">
            <v>33411561</v>
          </cell>
          <cell r="C573">
            <v>544937373</v>
          </cell>
          <cell r="D573" t="str">
            <v>岳贝贝</v>
          </cell>
          <cell r="E573" t="str">
            <v>A</v>
          </cell>
        </row>
        <row r="574">
          <cell r="C574">
            <v>1338598526</v>
          </cell>
          <cell r="D574" t="str">
            <v>岳贝贝</v>
          </cell>
          <cell r="E574" t="str">
            <v>D</v>
          </cell>
        </row>
        <row r="575">
          <cell r="B575">
            <v>33485243</v>
          </cell>
          <cell r="C575">
            <v>33485243</v>
          </cell>
          <cell r="D575" t="str">
            <v>岳贝贝</v>
          </cell>
          <cell r="E575" t="str">
            <v>A</v>
          </cell>
        </row>
        <row r="576">
          <cell r="B576">
            <v>33668586</v>
          </cell>
          <cell r="C576">
            <v>544750002</v>
          </cell>
          <cell r="D576" t="str">
            <v>岳贝贝</v>
          </cell>
          <cell r="E576" t="str">
            <v>A</v>
          </cell>
        </row>
        <row r="577">
          <cell r="B577">
            <v>30052702</v>
          </cell>
          <cell r="C577">
            <v>1308999853</v>
          </cell>
          <cell r="D577" t="str">
            <v>岳贝贝</v>
          </cell>
          <cell r="E577" t="str">
            <v>D</v>
          </cell>
        </row>
        <row r="578">
          <cell r="B578">
            <v>33755801</v>
          </cell>
          <cell r="C578">
            <v>543461836</v>
          </cell>
          <cell r="D578" t="str">
            <v>岳贝贝</v>
          </cell>
          <cell r="E578" t="str">
            <v>A</v>
          </cell>
        </row>
        <row r="579">
          <cell r="B579" t="str">
            <v>无</v>
          </cell>
          <cell r="C579">
            <v>1272597171</v>
          </cell>
          <cell r="D579" t="str">
            <v>王森</v>
          </cell>
        </row>
        <row r="580">
          <cell r="B580">
            <v>32525349</v>
          </cell>
          <cell r="C580">
            <v>1338097277</v>
          </cell>
          <cell r="D580" t="str">
            <v>王森</v>
          </cell>
        </row>
        <row r="581">
          <cell r="D581" t="str">
            <v>王森</v>
          </cell>
        </row>
        <row r="582">
          <cell r="B582">
            <v>11572017</v>
          </cell>
          <cell r="C582">
            <v>26319</v>
          </cell>
          <cell r="D582" t="str">
            <v>徐从众</v>
          </cell>
          <cell r="E582" t="str">
            <v>S</v>
          </cell>
        </row>
        <row r="583">
          <cell r="B583">
            <v>33386731</v>
          </cell>
        </row>
        <row r="583">
          <cell r="D583" t="str">
            <v>徐从众</v>
          </cell>
          <cell r="E583" t="str">
            <v>A</v>
          </cell>
        </row>
        <row r="584">
          <cell r="B584">
            <v>31514751</v>
          </cell>
          <cell r="C584">
            <v>540341636</v>
          </cell>
          <cell r="D584" t="str">
            <v>徐从众</v>
          </cell>
          <cell r="E584" t="str">
            <v>B</v>
          </cell>
        </row>
        <row r="585">
          <cell r="B585">
            <v>6246326</v>
          </cell>
          <cell r="C585">
            <v>168371816</v>
          </cell>
          <cell r="D585" t="str">
            <v>徐从众</v>
          </cell>
          <cell r="E585" t="str">
            <v>S</v>
          </cell>
        </row>
        <row r="586">
          <cell r="B586">
            <v>28384641</v>
          </cell>
          <cell r="C586">
            <v>529511969</v>
          </cell>
          <cell r="D586" t="str">
            <v>徐从众</v>
          </cell>
          <cell r="E586" t="str">
            <v>S</v>
          </cell>
        </row>
        <row r="587">
          <cell r="B587">
            <v>812316</v>
          </cell>
          <cell r="C587">
            <v>1979109</v>
          </cell>
          <cell r="D587" t="str">
            <v>徐从众</v>
          </cell>
          <cell r="E587" t="str">
            <v>S</v>
          </cell>
        </row>
        <row r="588">
          <cell r="B588">
            <v>812405</v>
          </cell>
          <cell r="C588">
            <v>1979108</v>
          </cell>
          <cell r="D588" t="str">
            <v>徐从众</v>
          </cell>
          <cell r="E588" t="str">
            <v>S</v>
          </cell>
        </row>
        <row r="589">
          <cell r="B589">
            <v>812370</v>
          </cell>
          <cell r="C589">
            <v>1979107</v>
          </cell>
          <cell r="D589" t="str">
            <v>徐从众</v>
          </cell>
          <cell r="E589" t="str">
            <v>S</v>
          </cell>
        </row>
        <row r="590">
          <cell r="B590">
            <v>812350</v>
          </cell>
          <cell r="C590">
            <v>1979110</v>
          </cell>
          <cell r="D590" t="str">
            <v>徐从众</v>
          </cell>
          <cell r="E590" t="str">
            <v>S</v>
          </cell>
        </row>
        <row r="591">
          <cell r="B591">
            <v>33265639</v>
          </cell>
          <cell r="C591">
            <v>1345607766</v>
          </cell>
          <cell r="D591" t="str">
            <v>徐从众</v>
          </cell>
          <cell r="E591" t="str">
            <v>S</v>
          </cell>
        </row>
        <row r="592">
          <cell r="C592">
            <v>1343019122</v>
          </cell>
          <cell r="D592" t="str">
            <v>徐从众</v>
          </cell>
          <cell r="E592" t="str">
            <v>S</v>
          </cell>
        </row>
        <row r="593">
          <cell r="B593">
            <v>33461146</v>
          </cell>
          <cell r="C593">
            <v>543142524</v>
          </cell>
          <cell r="D593" t="str">
            <v>徐从众</v>
          </cell>
          <cell r="E593" t="str">
            <v>S</v>
          </cell>
        </row>
        <row r="594">
          <cell r="C594">
            <v>1346126304</v>
          </cell>
          <cell r="D594" t="str">
            <v>徐从众</v>
          </cell>
          <cell r="E594" t="str">
            <v>S</v>
          </cell>
        </row>
        <row r="595">
          <cell r="B595">
            <v>33217318</v>
          </cell>
          <cell r="C595">
            <v>543755532</v>
          </cell>
          <cell r="D595" t="str">
            <v>徐从众</v>
          </cell>
          <cell r="E595" t="str">
            <v>S</v>
          </cell>
        </row>
        <row r="596">
          <cell r="B596">
            <v>32602061</v>
          </cell>
          <cell r="C596">
            <v>542892347</v>
          </cell>
          <cell r="D596" t="str">
            <v>刘欢</v>
          </cell>
          <cell r="E596" t="str">
            <v>C</v>
          </cell>
        </row>
        <row r="597">
          <cell r="C597">
            <v>543877783</v>
          </cell>
          <cell r="D597" t="str">
            <v>刘欢</v>
          </cell>
          <cell r="E597" t="str">
            <v>C</v>
          </cell>
        </row>
        <row r="598">
          <cell r="C598">
            <v>1341870559</v>
          </cell>
          <cell r="D598" t="str">
            <v>刘欢</v>
          </cell>
          <cell r="E598" t="str">
            <v>B</v>
          </cell>
        </row>
        <row r="599">
          <cell r="C599">
            <v>1328031588</v>
          </cell>
          <cell r="D599" t="str">
            <v>刘欢</v>
          </cell>
          <cell r="E599" t="str">
            <v>A</v>
          </cell>
        </row>
        <row r="600">
          <cell r="C600" t="str">
            <v>543701033
</v>
          </cell>
          <cell r="D600" t="str">
            <v>刘欢</v>
          </cell>
          <cell r="E600" t="str">
            <v>C</v>
          </cell>
        </row>
        <row r="601">
          <cell r="C601">
            <v>1338945252</v>
          </cell>
          <cell r="D601" t="str">
            <v>刘欢</v>
          </cell>
          <cell r="E601" t="str">
            <v>C</v>
          </cell>
        </row>
        <row r="602">
          <cell r="C602">
            <v>1335790020</v>
          </cell>
          <cell r="D602" t="str">
            <v>刘欢</v>
          </cell>
          <cell r="E602" t="str">
            <v>C</v>
          </cell>
        </row>
        <row r="603">
          <cell r="C603">
            <v>1327946970</v>
          </cell>
          <cell r="D603" t="str">
            <v>刘欢</v>
          </cell>
          <cell r="E603" t="str">
            <v>C</v>
          </cell>
        </row>
        <row r="604">
          <cell r="C604">
            <v>543575459</v>
          </cell>
          <cell r="D604" t="str">
            <v>刘欢</v>
          </cell>
          <cell r="E604" t="str">
            <v>C</v>
          </cell>
        </row>
        <row r="605">
          <cell r="C605">
            <v>1342368722</v>
          </cell>
          <cell r="D605" t="str">
            <v>刘欢</v>
          </cell>
          <cell r="E605" t="str">
            <v>C</v>
          </cell>
        </row>
        <row r="606">
          <cell r="C606">
            <v>543542072</v>
          </cell>
          <cell r="D606" t="str">
            <v>刘欢</v>
          </cell>
          <cell r="E606" t="str">
            <v>C</v>
          </cell>
        </row>
        <row r="607">
          <cell r="B607">
            <v>30948981</v>
          </cell>
        </row>
        <row r="607">
          <cell r="D607" t="str">
            <v>刘欢</v>
          </cell>
          <cell r="E607" t="str">
            <v>C</v>
          </cell>
        </row>
        <row r="608">
          <cell r="C608">
            <v>1332560857</v>
          </cell>
          <cell r="D608" t="str">
            <v>刘欢</v>
          </cell>
          <cell r="E608" t="str">
            <v>C</v>
          </cell>
        </row>
        <row r="609">
          <cell r="C609">
            <v>1342825172</v>
          </cell>
          <cell r="D609" t="str">
            <v>刘欢</v>
          </cell>
          <cell r="E609" t="str">
            <v>B</v>
          </cell>
        </row>
        <row r="610">
          <cell r="C610">
            <v>543511106</v>
          </cell>
          <cell r="D610" t="str">
            <v>王森</v>
          </cell>
        </row>
        <row r="611">
          <cell r="D611" t="str">
            <v>王森</v>
          </cell>
        </row>
        <row r="612">
          <cell r="B612" t="str">
            <v>
33178003</v>
          </cell>
          <cell r="C612">
            <v>544748583</v>
          </cell>
          <cell r="D612" t="str">
            <v>王森</v>
          </cell>
        </row>
        <row r="613">
          <cell r="C613">
            <v>1338037737</v>
          </cell>
          <cell r="D613" t="str">
            <v>王森</v>
          </cell>
        </row>
        <row r="614">
          <cell r="D614" t="str">
            <v>王森</v>
          </cell>
        </row>
        <row r="615">
          <cell r="B615">
            <v>33327462</v>
          </cell>
          <cell r="C615">
            <v>1327863949</v>
          </cell>
          <cell r="D615" t="str">
            <v>徐从众</v>
          </cell>
          <cell r="E615" t="str">
            <v>S</v>
          </cell>
        </row>
        <row r="616">
          <cell r="B616">
            <v>33485047</v>
          </cell>
          <cell r="C616">
            <v>544795388</v>
          </cell>
          <cell r="D616" t="str">
            <v>徐从众</v>
          </cell>
          <cell r="E616" t="str">
            <v>S</v>
          </cell>
        </row>
        <row r="617">
          <cell r="B617">
            <v>33637192</v>
          </cell>
          <cell r="C617">
            <v>1348265901</v>
          </cell>
          <cell r="D617" t="str">
            <v>徐从众</v>
          </cell>
          <cell r="E617" t="str">
            <v>S</v>
          </cell>
        </row>
        <row r="618">
          <cell r="B618">
            <v>33335036</v>
          </cell>
          <cell r="C618">
            <v>1342015935</v>
          </cell>
          <cell r="D618" t="str">
            <v>刘欢</v>
          </cell>
          <cell r="E618" t="str">
            <v>C</v>
          </cell>
        </row>
        <row r="619">
          <cell r="C619">
            <v>1259030105</v>
          </cell>
          <cell r="D619" t="str">
            <v>刘欢</v>
          </cell>
          <cell r="E619" t="str">
            <v>C</v>
          </cell>
        </row>
        <row r="620">
          <cell r="C620">
            <v>1112472020</v>
          </cell>
          <cell r="D620" t="str">
            <v>刘欢</v>
          </cell>
          <cell r="E620" t="str">
            <v>C</v>
          </cell>
        </row>
        <row r="621">
          <cell r="C621">
            <v>544154672</v>
          </cell>
          <cell r="D621" t="str">
            <v>刘欢</v>
          </cell>
          <cell r="E621" t="str">
            <v>C</v>
          </cell>
        </row>
        <row r="622">
          <cell r="B622">
            <v>26269864</v>
          </cell>
          <cell r="C622">
            <v>1341432985</v>
          </cell>
          <cell r="D622" t="str">
            <v>刘欢</v>
          </cell>
          <cell r="E622" t="str">
            <v>C</v>
          </cell>
        </row>
        <row r="623">
          <cell r="C623">
            <v>1346884369</v>
          </cell>
          <cell r="D623" t="str">
            <v>刘欢</v>
          </cell>
          <cell r="E623" t="str">
            <v>C</v>
          </cell>
        </row>
        <row r="624">
          <cell r="B624">
            <v>33500664</v>
          </cell>
          <cell r="C624">
            <v>1350433685</v>
          </cell>
          <cell r="D624" t="str">
            <v>刘欢</v>
          </cell>
          <cell r="E624" t="str">
            <v>B</v>
          </cell>
        </row>
        <row r="625">
          <cell r="C625">
            <v>1345236226</v>
          </cell>
          <cell r="D625" t="str">
            <v>刘欢</v>
          </cell>
          <cell r="E625" t="str">
            <v>B</v>
          </cell>
        </row>
        <row r="626">
          <cell r="C626">
            <v>543327957</v>
          </cell>
          <cell r="D626" t="str">
            <v>刘欢</v>
          </cell>
        </row>
        <row r="627">
          <cell r="B627">
            <v>33257018</v>
          </cell>
          <cell r="C627">
            <v>1331456663</v>
          </cell>
          <cell r="D627" t="str">
            <v>刘欢</v>
          </cell>
          <cell r="E627" t="str">
            <v>B</v>
          </cell>
        </row>
        <row r="628">
          <cell r="B628">
            <v>31585829</v>
          </cell>
          <cell r="C628">
            <v>1333690508</v>
          </cell>
          <cell r="D628" t="str">
            <v>刘欢</v>
          </cell>
          <cell r="E628" t="str">
            <v>B</v>
          </cell>
        </row>
        <row r="629">
          <cell r="B629">
            <v>32828492</v>
          </cell>
          <cell r="C629">
            <v>544061585</v>
          </cell>
          <cell r="D629" t="str">
            <v>刘欢</v>
          </cell>
          <cell r="E629" t="str">
            <v>B</v>
          </cell>
        </row>
        <row r="630">
          <cell r="B630">
            <v>20721239</v>
          </cell>
          <cell r="C630">
            <v>509142305</v>
          </cell>
          <cell r="D630" t="str">
            <v>刘欢</v>
          </cell>
          <cell r="E630" t="str">
            <v>C</v>
          </cell>
        </row>
        <row r="631">
          <cell r="B631">
            <v>26518489</v>
          </cell>
          <cell r="C631">
            <v>526540003</v>
          </cell>
          <cell r="D631" t="str">
            <v>刘欢</v>
          </cell>
          <cell r="E631" t="str">
            <v>C</v>
          </cell>
        </row>
        <row r="632">
          <cell r="C632">
            <v>1268614739</v>
          </cell>
          <cell r="D632" t="str">
            <v>刘欢</v>
          </cell>
        </row>
        <row r="633">
          <cell r="B633">
            <v>33251398</v>
          </cell>
          <cell r="C633">
            <v>1343105886</v>
          </cell>
          <cell r="D633" t="str">
            <v>刘欢</v>
          </cell>
        </row>
        <row r="634">
          <cell r="C634">
            <v>1319942839</v>
          </cell>
          <cell r="D634" t="str">
            <v>刘欢</v>
          </cell>
        </row>
        <row r="635">
          <cell r="B635">
            <v>33610959</v>
          </cell>
        </row>
        <row r="635">
          <cell r="D635" t="str">
            <v>刘欢</v>
          </cell>
          <cell r="E635" t="str">
            <v>S</v>
          </cell>
        </row>
        <row r="636">
          <cell r="B636">
            <v>33627456</v>
          </cell>
          <cell r="C636">
            <v>1350818373</v>
          </cell>
          <cell r="D636" t="str">
            <v>王森</v>
          </cell>
          <cell r="E636" t="str">
            <v>A</v>
          </cell>
        </row>
        <row r="637">
          <cell r="B637" t="str">
            <v>无</v>
          </cell>
          <cell r="C637">
            <v>1214973620</v>
          </cell>
          <cell r="D637" t="str">
            <v>王森</v>
          </cell>
          <cell r="E637" t="str">
            <v>A</v>
          </cell>
        </row>
        <row r="638">
          <cell r="B638" t="str">
            <v>无</v>
          </cell>
          <cell r="C638">
            <v>1214973620</v>
          </cell>
          <cell r="D638" t="str">
            <v>王森</v>
          </cell>
          <cell r="E638" t="str">
            <v>A</v>
          </cell>
        </row>
        <row r="639">
          <cell r="B639" t="str">
            <v>无</v>
          </cell>
          <cell r="C639">
            <v>541775413</v>
          </cell>
          <cell r="D639" t="str">
            <v>王森</v>
          </cell>
        </row>
        <row r="640">
          <cell r="B640">
            <v>33620779</v>
          </cell>
          <cell r="C640" t="str">
            <v>无</v>
          </cell>
          <cell r="D640" t="str">
            <v>王森</v>
          </cell>
        </row>
        <row r="641">
          <cell r="B641" t="str">
            <v>无</v>
          </cell>
          <cell r="C641">
            <v>1340347787</v>
          </cell>
          <cell r="D641" t="str">
            <v>王森</v>
          </cell>
        </row>
        <row r="642">
          <cell r="B642">
            <v>25273055</v>
          </cell>
          <cell r="C642" t="str">
            <v>无</v>
          </cell>
          <cell r="D642" t="str">
            <v>王森</v>
          </cell>
        </row>
        <row r="643">
          <cell r="B643" t="str">
            <v>无</v>
          </cell>
          <cell r="C643">
            <v>523052916</v>
          </cell>
          <cell r="D643" t="str">
            <v>王森</v>
          </cell>
        </row>
        <row r="644">
          <cell r="B644" t="str">
            <v>无</v>
          </cell>
          <cell r="C644">
            <v>530295605</v>
          </cell>
          <cell r="D644" t="str">
            <v>王森</v>
          </cell>
        </row>
        <row r="645">
          <cell r="B645" t="str">
            <v>无</v>
          </cell>
          <cell r="C645">
            <v>1335870220</v>
          </cell>
          <cell r="D645" t="str">
            <v>王森</v>
          </cell>
        </row>
        <row r="646">
          <cell r="B646" t="str">
            <v>无</v>
          </cell>
          <cell r="C646">
            <v>1322315091</v>
          </cell>
          <cell r="D646" t="str">
            <v>王森</v>
          </cell>
        </row>
        <row r="647">
          <cell r="B647">
            <v>30103097</v>
          </cell>
          <cell r="C647" t="str">
            <v>无</v>
          </cell>
          <cell r="D647" t="str">
            <v>王森</v>
          </cell>
        </row>
        <row r="648">
          <cell r="B648">
            <v>33749533</v>
          </cell>
        </row>
        <row r="648">
          <cell r="D648" t="str">
            <v>徐从众</v>
          </cell>
          <cell r="E648" t="str">
            <v>S</v>
          </cell>
        </row>
        <row r="649">
          <cell r="B649">
            <v>33524156</v>
          </cell>
          <cell r="C649">
            <v>1353369934</v>
          </cell>
          <cell r="D649" t="str">
            <v>徐从众</v>
          </cell>
          <cell r="E649" t="str">
            <v>S</v>
          </cell>
        </row>
        <row r="650">
          <cell r="C650">
            <v>1351700534</v>
          </cell>
          <cell r="D650" t="str">
            <v>徐从众</v>
          </cell>
          <cell r="E650" t="str">
            <v>S</v>
          </cell>
        </row>
        <row r="651">
          <cell r="C651">
            <v>543766685</v>
          </cell>
          <cell r="D651" t="str">
            <v>徐从众</v>
          </cell>
          <cell r="E651" t="str">
            <v>B</v>
          </cell>
        </row>
        <row r="652">
          <cell r="C652">
            <v>1337833142</v>
          </cell>
          <cell r="D652" t="str">
            <v>徐从众</v>
          </cell>
          <cell r="E652" t="str">
            <v>B</v>
          </cell>
        </row>
        <row r="653">
          <cell r="C653">
            <v>1308650401</v>
          </cell>
          <cell r="D653" t="str">
            <v>徐从众</v>
          </cell>
          <cell r="E653" t="str">
            <v>S</v>
          </cell>
        </row>
        <row r="654">
          <cell r="C654">
            <v>1344248966</v>
          </cell>
          <cell r="D654" t="str">
            <v>徐从众</v>
          </cell>
          <cell r="E654" t="str">
            <v>S</v>
          </cell>
        </row>
        <row r="655">
          <cell r="C655">
            <v>1308715853</v>
          </cell>
          <cell r="D655" t="str">
            <v>徐从众</v>
          </cell>
          <cell r="E655" t="str">
            <v>B</v>
          </cell>
        </row>
        <row r="656">
          <cell r="B656">
            <v>25802748</v>
          </cell>
          <cell r="C656">
            <v>1310404363</v>
          </cell>
          <cell r="D656" t="str">
            <v>王森</v>
          </cell>
        </row>
        <row r="657">
          <cell r="D657" t="str">
            <v>王森</v>
          </cell>
        </row>
        <row r="658">
          <cell r="B658">
            <v>33835828</v>
          </cell>
          <cell r="C658">
            <v>544082445</v>
          </cell>
          <cell r="D658" t="str">
            <v>王森</v>
          </cell>
        </row>
        <row r="659">
          <cell r="C659">
            <v>2135174482</v>
          </cell>
          <cell r="D659" t="str">
            <v>岳贝贝</v>
          </cell>
          <cell r="E659" t="str">
            <v>D</v>
          </cell>
        </row>
        <row r="660">
          <cell r="B660">
            <v>33753731</v>
          </cell>
          <cell r="C660">
            <v>542742591</v>
          </cell>
          <cell r="D660" t="str">
            <v>岳贝贝</v>
          </cell>
          <cell r="E660" t="str">
            <v>B</v>
          </cell>
        </row>
        <row r="661">
          <cell r="B661">
            <v>34109141</v>
          </cell>
          <cell r="C661">
            <v>1352233024</v>
          </cell>
          <cell r="D661" t="str">
            <v>岳贝贝</v>
          </cell>
          <cell r="E661" t="str">
            <v>A</v>
          </cell>
        </row>
        <row r="662">
          <cell r="B662">
            <v>33632881</v>
          </cell>
          <cell r="C662">
            <v>1351585340</v>
          </cell>
          <cell r="D662" t="str">
            <v>岳贝贝</v>
          </cell>
          <cell r="E662" t="str">
            <v>B</v>
          </cell>
        </row>
        <row r="663">
          <cell r="B663">
            <v>33759199</v>
          </cell>
          <cell r="C663">
            <v>17802156678</v>
          </cell>
          <cell r="D663" t="str">
            <v>岳贝贝</v>
          </cell>
          <cell r="E663" t="str">
            <v>S</v>
          </cell>
        </row>
        <row r="664">
          <cell r="B664">
            <v>33651305</v>
          </cell>
          <cell r="C664" t="str">
            <v>无</v>
          </cell>
          <cell r="D664" t="str">
            <v>王森</v>
          </cell>
        </row>
        <row r="665">
          <cell r="B665">
            <v>33547782</v>
          </cell>
          <cell r="C665">
            <v>1341951727</v>
          </cell>
          <cell r="D665" t="str">
            <v>王森</v>
          </cell>
        </row>
        <row r="666">
          <cell r="B666" t="str">
            <v>无</v>
          </cell>
        </row>
        <row r="666">
          <cell r="D666" t="str">
            <v>王森</v>
          </cell>
        </row>
        <row r="667">
          <cell r="B667" t="str">
            <v>无</v>
          </cell>
          <cell r="C667">
            <v>542984542</v>
          </cell>
          <cell r="D667" t="str">
            <v>王森</v>
          </cell>
        </row>
        <row r="668">
          <cell r="B668" t="str">
            <v>无</v>
          </cell>
          <cell r="C668">
            <v>544312785</v>
          </cell>
          <cell r="D668" t="str">
            <v>王森</v>
          </cell>
        </row>
        <row r="669">
          <cell r="B669">
            <v>33715174</v>
          </cell>
        </row>
        <row r="669">
          <cell r="D669" t="str">
            <v>徐从众</v>
          </cell>
          <cell r="E669" t="str">
            <v>S</v>
          </cell>
        </row>
        <row r="670">
          <cell r="B670">
            <v>33803186</v>
          </cell>
          <cell r="C670">
            <v>1352891949</v>
          </cell>
          <cell r="D670" t="str">
            <v>徐从众</v>
          </cell>
          <cell r="E670" t="str">
            <v>S</v>
          </cell>
        </row>
        <row r="671">
          <cell r="C671">
            <v>542498188</v>
          </cell>
          <cell r="D671" t="str">
            <v>徐从众</v>
          </cell>
          <cell r="E671" t="str">
            <v>S</v>
          </cell>
        </row>
        <row r="672">
          <cell r="B672">
            <v>33757992</v>
          </cell>
          <cell r="C672">
            <v>543327957</v>
          </cell>
          <cell r="D672" t="str">
            <v>刘欢</v>
          </cell>
        </row>
        <row r="673">
          <cell r="C673">
            <v>544340684</v>
          </cell>
          <cell r="D673" t="str">
            <v>刘欢</v>
          </cell>
        </row>
        <row r="674">
          <cell r="B674">
            <v>33750216</v>
          </cell>
          <cell r="C674">
            <v>1351707985</v>
          </cell>
          <cell r="D674" t="str">
            <v>刘欢</v>
          </cell>
          <cell r="E674" t="str">
            <v>C</v>
          </cell>
        </row>
        <row r="675">
          <cell r="B675">
            <v>33716762</v>
          </cell>
          <cell r="C675" t="str">
            <v>544466825
</v>
          </cell>
          <cell r="D675" t="str">
            <v>刘欢</v>
          </cell>
          <cell r="E675" t="str">
            <v>S</v>
          </cell>
        </row>
        <row r="676">
          <cell r="C676">
            <v>544312520</v>
          </cell>
          <cell r="D676" t="str">
            <v>刘欢</v>
          </cell>
        </row>
        <row r="677">
          <cell r="C677">
            <v>544361054</v>
          </cell>
          <cell r="D677" t="str">
            <v>刘欢</v>
          </cell>
          <cell r="E677" t="str">
            <v>C</v>
          </cell>
        </row>
        <row r="678">
          <cell r="C678">
            <v>1349669876</v>
          </cell>
          <cell r="D678" t="str">
            <v>刘欢</v>
          </cell>
        </row>
        <row r="679">
          <cell r="C679">
            <v>1341031786</v>
          </cell>
          <cell r="D679" t="str">
            <v>刘欢</v>
          </cell>
        </row>
        <row r="680">
          <cell r="C680">
            <v>1351002332</v>
          </cell>
          <cell r="D680" t="str">
            <v>刘欢</v>
          </cell>
        </row>
        <row r="681">
          <cell r="B681">
            <v>33335556</v>
          </cell>
          <cell r="C681">
            <v>544035963</v>
          </cell>
          <cell r="D681" t="str">
            <v>刘欢</v>
          </cell>
        </row>
        <row r="682">
          <cell r="C682">
            <v>1342943596</v>
          </cell>
          <cell r="D682" t="str">
            <v>刘欢</v>
          </cell>
        </row>
        <row r="683">
          <cell r="C683">
            <v>542857729</v>
          </cell>
          <cell r="D683" t="str">
            <v>刘欢</v>
          </cell>
        </row>
        <row r="684">
          <cell r="C684">
            <v>544935084</v>
          </cell>
          <cell r="D684" t="str">
            <v>刘欢</v>
          </cell>
        </row>
        <row r="685">
          <cell r="C685">
            <v>544254222</v>
          </cell>
          <cell r="D685" t="str">
            <v>刘欢</v>
          </cell>
        </row>
        <row r="686">
          <cell r="C686">
            <v>1345600513</v>
          </cell>
          <cell r="D686" t="str">
            <v>刘欢</v>
          </cell>
        </row>
        <row r="687">
          <cell r="C687">
            <v>1345859595</v>
          </cell>
          <cell r="D687" t="str">
            <v>刘欢</v>
          </cell>
        </row>
        <row r="688">
          <cell r="C688">
            <v>1343027419</v>
          </cell>
          <cell r="D688" t="str">
            <v>刘欢</v>
          </cell>
        </row>
        <row r="689">
          <cell r="B689">
            <v>4450249</v>
          </cell>
          <cell r="C689">
            <v>544341224</v>
          </cell>
          <cell r="D689" t="str">
            <v>刘欢</v>
          </cell>
          <cell r="E689" t="str">
            <v>A</v>
          </cell>
        </row>
        <row r="690">
          <cell r="C690">
            <v>543707119</v>
          </cell>
          <cell r="D690" t="str">
            <v>刘欢</v>
          </cell>
          <cell r="E690" t="str">
            <v>A</v>
          </cell>
        </row>
        <row r="691">
          <cell r="B691">
            <v>5600060</v>
          </cell>
          <cell r="C691">
            <v>1317617664</v>
          </cell>
          <cell r="D691" t="str">
            <v>刘欢</v>
          </cell>
          <cell r="E691" t="str">
            <v>A</v>
          </cell>
        </row>
        <row r="692">
          <cell r="C692">
            <v>162149018</v>
          </cell>
          <cell r="D692" t="str">
            <v>刘欢</v>
          </cell>
          <cell r="E692" t="str">
            <v>A</v>
          </cell>
        </row>
        <row r="693">
          <cell r="B693">
            <v>33904676</v>
          </cell>
          <cell r="C693">
            <v>543921914</v>
          </cell>
          <cell r="D693" t="str">
            <v>刘欢</v>
          </cell>
          <cell r="E693" t="str">
            <v>A</v>
          </cell>
        </row>
        <row r="694">
          <cell r="C694">
            <v>1348100296</v>
          </cell>
          <cell r="D694" t="str">
            <v>刘欢</v>
          </cell>
          <cell r="E694" t="str">
            <v>C</v>
          </cell>
        </row>
        <row r="695">
          <cell r="C695">
            <v>541784034</v>
          </cell>
          <cell r="D695" t="str">
            <v>刘欢</v>
          </cell>
          <cell r="E695" t="str">
            <v>C</v>
          </cell>
        </row>
        <row r="696">
          <cell r="C696">
            <v>1350922894</v>
          </cell>
          <cell r="D696" t="str">
            <v>刘欢</v>
          </cell>
          <cell r="E696" t="str">
            <v>C</v>
          </cell>
        </row>
        <row r="697">
          <cell r="C697">
            <v>543975134</v>
          </cell>
          <cell r="D697" t="str">
            <v>刘欢</v>
          </cell>
          <cell r="E697" t="str">
            <v>C</v>
          </cell>
        </row>
        <row r="698">
          <cell r="C698">
            <v>1342035855</v>
          </cell>
          <cell r="D698" t="str">
            <v>刘欢</v>
          </cell>
          <cell r="E698" t="str">
            <v>C</v>
          </cell>
        </row>
        <row r="699">
          <cell r="C699">
            <v>541351971</v>
          </cell>
          <cell r="D699" t="str">
            <v>刘欢</v>
          </cell>
          <cell r="E699" t="str">
            <v>C</v>
          </cell>
        </row>
        <row r="700">
          <cell r="C700">
            <v>544688068</v>
          </cell>
          <cell r="D700" t="str">
            <v>刘欢</v>
          </cell>
          <cell r="E700" t="str">
            <v>C</v>
          </cell>
        </row>
        <row r="701">
          <cell r="C701">
            <v>543910034</v>
          </cell>
          <cell r="D701" t="str">
            <v>刘欢</v>
          </cell>
          <cell r="E701" t="str">
            <v>C</v>
          </cell>
        </row>
        <row r="702">
          <cell r="C702">
            <v>1308690772</v>
          </cell>
          <cell r="D702" t="str">
            <v>刘欢</v>
          </cell>
          <cell r="E702" t="str">
            <v>B</v>
          </cell>
        </row>
        <row r="703">
          <cell r="C703">
            <v>1327935751</v>
          </cell>
          <cell r="D703" t="str">
            <v>刘欢</v>
          </cell>
          <cell r="E703" t="str">
            <v>C</v>
          </cell>
        </row>
        <row r="704">
          <cell r="C704">
            <v>1330834558</v>
          </cell>
          <cell r="D704" t="str">
            <v>刘欢</v>
          </cell>
          <cell r="E704" t="str">
            <v>C</v>
          </cell>
        </row>
        <row r="705">
          <cell r="C705">
            <v>544968962</v>
          </cell>
          <cell r="D705" t="str">
            <v>刘欢</v>
          </cell>
          <cell r="E705" t="str">
            <v>C</v>
          </cell>
        </row>
        <row r="706">
          <cell r="C706">
            <v>538591844</v>
          </cell>
          <cell r="D706" t="str">
            <v>刘欢</v>
          </cell>
          <cell r="E706" t="str">
            <v>C</v>
          </cell>
        </row>
        <row r="707">
          <cell r="C707">
            <v>1266874917</v>
          </cell>
          <cell r="D707" t="str">
            <v>刘欢</v>
          </cell>
          <cell r="E707" t="str">
            <v>C</v>
          </cell>
        </row>
        <row r="708">
          <cell r="C708">
            <v>1268164934</v>
          </cell>
          <cell r="D708" t="str">
            <v>刘欢</v>
          </cell>
          <cell r="E708" t="str">
            <v>C</v>
          </cell>
        </row>
        <row r="709">
          <cell r="C709">
            <v>2042752597</v>
          </cell>
          <cell r="D709" t="str">
            <v>刘欢</v>
          </cell>
          <cell r="E709" t="str">
            <v>A</v>
          </cell>
        </row>
        <row r="710">
          <cell r="B710">
            <v>31908991</v>
          </cell>
          <cell r="C710">
            <v>541773891</v>
          </cell>
          <cell r="D710" t="str">
            <v>刘欢</v>
          </cell>
          <cell r="E710" t="str">
            <v>C</v>
          </cell>
        </row>
        <row r="711">
          <cell r="C711">
            <v>1335852585</v>
          </cell>
          <cell r="D711" t="str">
            <v>刘欢</v>
          </cell>
          <cell r="E711" t="str">
            <v>C</v>
          </cell>
        </row>
        <row r="712">
          <cell r="C712">
            <v>1244868424</v>
          </cell>
          <cell r="D712" t="str">
            <v>刘欢</v>
          </cell>
          <cell r="E712" t="str">
            <v>C</v>
          </cell>
        </row>
        <row r="713">
          <cell r="C713">
            <v>544686900</v>
          </cell>
          <cell r="D713" t="str">
            <v>刘欢</v>
          </cell>
        </row>
        <row r="714">
          <cell r="C714">
            <v>1330545177</v>
          </cell>
          <cell r="D714" t="str">
            <v>刘欢</v>
          </cell>
        </row>
        <row r="715">
          <cell r="C715">
            <v>531318362</v>
          </cell>
          <cell r="D715" t="str">
            <v>刘欢</v>
          </cell>
        </row>
        <row r="716">
          <cell r="B716">
            <v>26750552</v>
          </cell>
          <cell r="C716">
            <v>517756870</v>
          </cell>
          <cell r="D716" t="str">
            <v>刘欢</v>
          </cell>
        </row>
        <row r="717">
          <cell r="C717">
            <v>1347825635</v>
          </cell>
          <cell r="D717" t="str">
            <v>刘欢</v>
          </cell>
        </row>
        <row r="718">
          <cell r="C718">
            <v>543721478</v>
          </cell>
          <cell r="D718" t="str">
            <v>刘欢</v>
          </cell>
        </row>
        <row r="719">
          <cell r="C719">
            <v>516030923</v>
          </cell>
          <cell r="D719" t="str">
            <v>刘欢</v>
          </cell>
        </row>
        <row r="720">
          <cell r="C720">
            <v>1353874823</v>
          </cell>
          <cell r="D720" t="str">
            <v>刘欢</v>
          </cell>
        </row>
        <row r="721">
          <cell r="C721">
            <v>522267372</v>
          </cell>
          <cell r="D721" t="str">
            <v>刘欢</v>
          </cell>
        </row>
        <row r="722">
          <cell r="C722">
            <v>1249312648</v>
          </cell>
          <cell r="D722" t="str">
            <v>刘欢</v>
          </cell>
        </row>
        <row r="723">
          <cell r="C723">
            <v>1267058698</v>
          </cell>
          <cell r="D723" t="str">
            <v>刘欢</v>
          </cell>
        </row>
        <row r="724">
          <cell r="D724" t="str">
            <v>王森</v>
          </cell>
        </row>
        <row r="725">
          <cell r="B725">
            <v>33847255</v>
          </cell>
          <cell r="C725">
            <v>1353375679</v>
          </cell>
          <cell r="D725" t="str">
            <v>王森</v>
          </cell>
        </row>
        <row r="726">
          <cell r="B726">
            <v>10335981</v>
          </cell>
          <cell r="C726" t="str">
            <v>无</v>
          </cell>
          <cell r="D726" t="str">
            <v>王森</v>
          </cell>
        </row>
        <row r="727">
          <cell r="D727" t="str">
            <v>王森</v>
          </cell>
        </row>
        <row r="728">
          <cell r="B728" t="str">
            <v>无</v>
          </cell>
          <cell r="C728">
            <v>1349535406</v>
          </cell>
          <cell r="D728" t="str">
            <v>王森</v>
          </cell>
        </row>
        <row r="729">
          <cell r="B729" t="str">
            <v>无</v>
          </cell>
          <cell r="C729">
            <v>544449576</v>
          </cell>
          <cell r="D729" t="str">
            <v>王森</v>
          </cell>
        </row>
        <row r="730">
          <cell r="B730" t="str">
            <v>无</v>
          </cell>
          <cell r="C730">
            <v>1353391274</v>
          </cell>
          <cell r="D730" t="str">
            <v>王森</v>
          </cell>
        </row>
        <row r="731">
          <cell r="B731">
            <v>33255433</v>
          </cell>
          <cell r="C731">
            <v>1342807464</v>
          </cell>
          <cell r="D731" t="str">
            <v>王森</v>
          </cell>
        </row>
        <row r="732">
          <cell r="B732" t="str">
            <v>无</v>
          </cell>
          <cell r="C732">
            <v>1241438020</v>
          </cell>
          <cell r="D732" t="str">
            <v>王森</v>
          </cell>
        </row>
        <row r="733">
          <cell r="B733">
            <v>30165010</v>
          </cell>
          <cell r="C733" t="str">
            <v>无</v>
          </cell>
          <cell r="D733" t="str">
            <v>王森</v>
          </cell>
        </row>
        <row r="734">
          <cell r="B734" t="str">
            <v>无</v>
          </cell>
          <cell r="C734">
            <v>1334891772</v>
          </cell>
          <cell r="D734" t="str">
            <v>王森</v>
          </cell>
        </row>
        <row r="735">
          <cell r="B735" t="str">
            <v>无</v>
          </cell>
          <cell r="C735">
            <v>543799213</v>
          </cell>
          <cell r="D735" t="str">
            <v>王森</v>
          </cell>
        </row>
        <row r="736">
          <cell r="B736" t="str">
            <v>无</v>
          </cell>
          <cell r="C736">
            <v>1155434943</v>
          </cell>
          <cell r="D736" t="str">
            <v>王森</v>
          </cell>
        </row>
        <row r="737">
          <cell r="B737" t="str">
            <v>无</v>
          </cell>
          <cell r="C737">
            <v>544611343</v>
          </cell>
          <cell r="D737" t="str">
            <v>王森</v>
          </cell>
        </row>
        <row r="738">
          <cell r="B738" t="str">
            <v>无</v>
          </cell>
          <cell r="C738">
            <v>531304948</v>
          </cell>
          <cell r="D738" t="str">
            <v>王森</v>
          </cell>
        </row>
        <row r="739">
          <cell r="B739" t="str">
            <v>无</v>
          </cell>
          <cell r="C739">
            <v>1346914576</v>
          </cell>
          <cell r="D739" t="str">
            <v>王森</v>
          </cell>
        </row>
        <row r="740">
          <cell r="B740" t="str">
            <v>无</v>
          </cell>
          <cell r="C740">
            <v>2135178919</v>
          </cell>
          <cell r="D740" t="str">
            <v>王森</v>
          </cell>
        </row>
        <row r="741">
          <cell r="B741" t="str">
            <v>无</v>
          </cell>
          <cell r="C741" t="str">
            <v>-</v>
          </cell>
          <cell r="D741" t="str">
            <v>王森</v>
          </cell>
        </row>
        <row r="742">
          <cell r="B742" t="str">
            <v>无</v>
          </cell>
          <cell r="C742">
            <v>1352169160</v>
          </cell>
          <cell r="D742" t="str">
            <v>王森</v>
          </cell>
        </row>
        <row r="743">
          <cell r="B743" t="str">
            <v>无</v>
          </cell>
          <cell r="C743">
            <v>1348316492</v>
          </cell>
          <cell r="D743" t="str">
            <v>王森</v>
          </cell>
        </row>
        <row r="744">
          <cell r="B744" t="str">
            <v>无</v>
          </cell>
          <cell r="C744">
            <v>1308625766</v>
          </cell>
          <cell r="D744" t="str">
            <v>王森</v>
          </cell>
        </row>
        <row r="745">
          <cell r="B745" t="str">
            <v>无</v>
          </cell>
          <cell r="C745">
            <v>1347895022</v>
          </cell>
          <cell r="D745" t="str">
            <v>王森</v>
          </cell>
        </row>
        <row r="746">
          <cell r="B746" t="str">
            <v>无</v>
          </cell>
          <cell r="C746">
            <v>1246750176</v>
          </cell>
          <cell r="D746" t="str">
            <v>王森</v>
          </cell>
        </row>
        <row r="747">
          <cell r="B747" t="str">
            <v>无</v>
          </cell>
          <cell r="C747">
            <v>531206450</v>
          </cell>
          <cell r="D747" t="str">
            <v>王森</v>
          </cell>
        </row>
        <row r="748">
          <cell r="B748" t="str">
            <v>无</v>
          </cell>
          <cell r="C748">
            <v>2135038080</v>
          </cell>
          <cell r="D748" t="str">
            <v>王森</v>
          </cell>
        </row>
        <row r="749">
          <cell r="B749" t="str">
            <v>无</v>
          </cell>
          <cell r="C749">
            <v>543062415</v>
          </cell>
          <cell r="D749" t="str">
            <v>王森</v>
          </cell>
        </row>
        <row r="750">
          <cell r="B750" t="str">
            <v>无</v>
          </cell>
          <cell r="C750">
            <v>543824525</v>
          </cell>
          <cell r="D750" t="str">
            <v>王森</v>
          </cell>
        </row>
        <row r="751">
          <cell r="B751" t="str">
            <v>无</v>
          </cell>
          <cell r="C751">
            <v>2084949727</v>
          </cell>
          <cell r="D751" t="str">
            <v>王森</v>
          </cell>
        </row>
        <row r="752">
          <cell r="B752" t="str">
            <v>无</v>
          </cell>
          <cell r="C752">
            <v>538626693</v>
          </cell>
          <cell r="D752" t="str">
            <v>王森</v>
          </cell>
        </row>
        <row r="753">
          <cell r="D753" t="str">
            <v>王森</v>
          </cell>
        </row>
        <row r="754">
          <cell r="B754">
            <v>33941669</v>
          </cell>
          <cell r="C754">
            <v>1354118375</v>
          </cell>
          <cell r="D754" t="str">
            <v>王森</v>
          </cell>
        </row>
        <row r="755">
          <cell r="B755">
            <v>33924646</v>
          </cell>
          <cell r="C755">
            <v>544011968</v>
          </cell>
          <cell r="D755" t="str">
            <v>王森</v>
          </cell>
        </row>
        <row r="756">
          <cell r="B756" t="str">
            <v>无</v>
          </cell>
          <cell r="C756">
            <v>544806187</v>
          </cell>
          <cell r="D756" t="str">
            <v>王森</v>
          </cell>
        </row>
        <row r="757">
          <cell r="B757" t="str">
            <v>无</v>
          </cell>
          <cell r="C757">
            <v>511504267</v>
          </cell>
          <cell r="D757" t="str">
            <v>王森</v>
          </cell>
        </row>
        <row r="758">
          <cell r="B758" t="str">
            <v>无</v>
          </cell>
          <cell r="C758">
            <v>534810974</v>
          </cell>
          <cell r="D758" t="str">
            <v>王森</v>
          </cell>
        </row>
        <row r="759">
          <cell r="B759">
            <v>24863626</v>
          </cell>
          <cell r="C759">
            <v>522890733</v>
          </cell>
          <cell r="D759" t="str">
            <v>徐从众</v>
          </cell>
          <cell r="E759" t="str">
            <v>A</v>
          </cell>
        </row>
        <row r="760">
          <cell r="B760">
            <v>33997916</v>
          </cell>
        </row>
        <row r="760">
          <cell r="D760" t="str">
            <v>徐从众</v>
          </cell>
          <cell r="E760" t="str">
            <v>S</v>
          </cell>
        </row>
        <row r="761">
          <cell r="B761">
            <v>24010487</v>
          </cell>
          <cell r="C761">
            <v>2032765555</v>
          </cell>
          <cell r="D761" t="str">
            <v>徐从众</v>
          </cell>
          <cell r="E761" t="str">
            <v>A</v>
          </cell>
        </row>
        <row r="762">
          <cell r="B762">
            <v>33907315</v>
          </cell>
          <cell r="C762">
            <v>1349345602</v>
          </cell>
          <cell r="D762" t="str">
            <v>徐从众</v>
          </cell>
          <cell r="E762" t="str">
            <v>A</v>
          </cell>
        </row>
        <row r="763">
          <cell r="C763">
            <v>545401051</v>
          </cell>
          <cell r="D763" t="str">
            <v>徐从众</v>
          </cell>
          <cell r="E763" t="str">
            <v>A</v>
          </cell>
        </row>
        <row r="764">
          <cell r="B764" t="str">
            <v>待建店</v>
          </cell>
          <cell r="C764" t="str">
            <v>待建店</v>
          </cell>
          <cell r="D764" t="str">
            <v>徐从众</v>
          </cell>
          <cell r="E764" t="str">
            <v>S</v>
          </cell>
        </row>
        <row r="765">
          <cell r="B765" t="str">
            <v>待建店</v>
          </cell>
          <cell r="C765" t="str">
            <v>待建店</v>
          </cell>
          <cell r="D765" t="str">
            <v>徐从众</v>
          </cell>
          <cell r="E765" t="str">
            <v>A</v>
          </cell>
        </row>
        <row r="766">
          <cell r="B766" t="str">
            <v>待建店</v>
          </cell>
          <cell r="C766" t="str">
            <v>待建店</v>
          </cell>
          <cell r="D766" t="str">
            <v>徐从众</v>
          </cell>
          <cell r="E766" t="str">
            <v>S</v>
          </cell>
        </row>
        <row r="767">
          <cell r="D767" t="str">
            <v>徐从众</v>
          </cell>
        </row>
        <row r="768">
          <cell r="D768" t="str">
            <v>徐从众</v>
          </cell>
        </row>
        <row r="769">
          <cell r="D769" t="str">
            <v>徐从众</v>
          </cell>
        </row>
        <row r="770">
          <cell r="D770" t="str">
            <v>徐从众</v>
          </cell>
        </row>
        <row r="771">
          <cell r="C771">
            <v>1346685649</v>
          </cell>
          <cell r="D771" t="str">
            <v>刘欢</v>
          </cell>
        </row>
        <row r="772">
          <cell r="C772">
            <v>528581609</v>
          </cell>
          <cell r="D772" t="str">
            <v>刘欢</v>
          </cell>
        </row>
        <row r="773">
          <cell r="C773">
            <v>33737094</v>
          </cell>
          <cell r="D773" t="str">
            <v>刘欢</v>
          </cell>
        </row>
        <row r="774">
          <cell r="C774">
            <v>1317628360</v>
          </cell>
          <cell r="D774" t="str">
            <v>刘欢</v>
          </cell>
        </row>
        <row r="775">
          <cell r="C775">
            <v>1331529938</v>
          </cell>
          <cell r="D775" t="str">
            <v>刘欢</v>
          </cell>
        </row>
        <row r="776">
          <cell r="C776">
            <v>1342796337</v>
          </cell>
          <cell r="D776" t="str">
            <v>刘欢</v>
          </cell>
        </row>
        <row r="777">
          <cell r="C777">
            <v>2042571535</v>
          </cell>
          <cell r="D777" t="str">
            <v>刘欢</v>
          </cell>
        </row>
        <row r="778">
          <cell r="B778">
            <v>33434186</v>
          </cell>
        </row>
        <row r="778">
          <cell r="D778" t="str">
            <v>刘欢</v>
          </cell>
        </row>
        <row r="779">
          <cell r="B779">
            <v>30496911</v>
          </cell>
          <cell r="C779">
            <v>537231169</v>
          </cell>
          <cell r="D779" t="str">
            <v>刘欢</v>
          </cell>
        </row>
        <row r="780">
          <cell r="C780">
            <v>1293428120</v>
          </cell>
          <cell r="D780" t="str">
            <v>刘欢</v>
          </cell>
        </row>
        <row r="781">
          <cell r="C781">
            <v>544176577</v>
          </cell>
          <cell r="D781" t="str">
            <v>刘欢</v>
          </cell>
        </row>
        <row r="782">
          <cell r="B782">
            <v>33941006</v>
          </cell>
        </row>
        <row r="782">
          <cell r="D782" t="str">
            <v>刘欢</v>
          </cell>
        </row>
        <row r="783">
          <cell r="B783" t="str">
            <v>无</v>
          </cell>
          <cell r="C783">
            <v>1343710410</v>
          </cell>
          <cell r="D783" t="str">
            <v>王森</v>
          </cell>
        </row>
        <row r="784">
          <cell r="B784" t="str">
            <v>无</v>
          </cell>
          <cell r="C784">
            <v>1348185256</v>
          </cell>
          <cell r="D784" t="str">
            <v>王森</v>
          </cell>
        </row>
        <row r="785">
          <cell r="B785" t="str">
            <v>无</v>
          </cell>
          <cell r="C785">
            <v>544985291</v>
          </cell>
          <cell r="D785" t="str">
            <v>王森</v>
          </cell>
        </row>
        <row r="786">
          <cell r="B786" t="str">
            <v>无</v>
          </cell>
          <cell r="C786">
            <v>1350434950</v>
          </cell>
          <cell r="D786" t="str">
            <v>王森</v>
          </cell>
        </row>
        <row r="787">
          <cell r="B787" t="str">
            <v>无</v>
          </cell>
          <cell r="C787">
            <v>544666149</v>
          </cell>
          <cell r="D787" t="str">
            <v>王森</v>
          </cell>
        </row>
        <row r="788">
          <cell r="B788">
            <v>34037024</v>
          </cell>
        </row>
        <row r="788">
          <cell r="D788" t="str">
            <v>岳贝贝</v>
          </cell>
          <cell r="E788" t="str">
            <v>A</v>
          </cell>
        </row>
        <row r="789">
          <cell r="B789" t="str">
            <v>无</v>
          </cell>
          <cell r="C789">
            <v>544694932</v>
          </cell>
          <cell r="D789" t="str">
            <v>王森</v>
          </cell>
        </row>
        <row r="790">
          <cell r="B790">
            <v>28882885</v>
          </cell>
          <cell r="C790">
            <v>542633444</v>
          </cell>
          <cell r="D790" t="str">
            <v>王森</v>
          </cell>
        </row>
        <row r="791">
          <cell r="B791">
            <v>28083067</v>
          </cell>
          <cell r="C791" t="str">
            <v>无</v>
          </cell>
          <cell r="D791" t="str">
            <v>王森</v>
          </cell>
        </row>
        <row r="793">
          <cell r="B793">
            <v>20547861</v>
          </cell>
          <cell r="C793">
            <v>1190685669</v>
          </cell>
          <cell r="D793" t="str">
            <v>王森</v>
          </cell>
        </row>
        <row r="794">
          <cell r="B794">
            <v>27771243</v>
          </cell>
          <cell r="C794">
            <v>525036503</v>
          </cell>
          <cell r="D794" t="str">
            <v>岳贝贝</v>
          </cell>
        </row>
        <row r="795">
          <cell r="B795" t="str">
            <v>无</v>
          </cell>
          <cell r="C795">
            <v>1317753106</v>
          </cell>
          <cell r="D795" t="str">
            <v>岳贝贝</v>
          </cell>
        </row>
        <row r="796">
          <cell r="B796">
            <v>33065330</v>
          </cell>
          <cell r="C796" t="str">
            <v>待开业</v>
          </cell>
          <cell r="D796" t="str">
            <v>岳贝贝</v>
          </cell>
        </row>
        <row r="797">
          <cell r="D797" t="str">
            <v>王森</v>
          </cell>
        </row>
        <row r="798">
          <cell r="B798" t="str">
            <v>无</v>
          </cell>
          <cell r="C798">
            <v>545297889</v>
          </cell>
          <cell r="D798" t="str">
            <v>王森</v>
          </cell>
        </row>
        <row r="799">
          <cell r="B799" t="str">
            <v>无</v>
          </cell>
          <cell r="C799">
            <v>1355657142</v>
          </cell>
          <cell r="D799" t="str">
            <v>王森</v>
          </cell>
        </row>
        <row r="800">
          <cell r="B800">
            <v>29929399</v>
          </cell>
          <cell r="C800" t="str">
            <v>无</v>
          </cell>
          <cell r="D800" t="str">
            <v>王森</v>
          </cell>
        </row>
        <row r="801">
          <cell r="B801" t="str">
            <v>无</v>
          </cell>
          <cell r="C801">
            <v>1354093432</v>
          </cell>
          <cell r="D801" t="str">
            <v>王森</v>
          </cell>
        </row>
        <row r="802">
          <cell r="D802" t="str">
            <v>王森</v>
          </cell>
        </row>
        <row r="803">
          <cell r="B803" t="str">
            <v>无</v>
          </cell>
          <cell r="C803">
            <v>2052993581</v>
          </cell>
          <cell r="D803" t="str">
            <v>王森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57"/>
  <sheetViews>
    <sheetView tabSelected="1" workbookViewId="0">
      <pane ySplit="2" topLeftCell="A123" activePane="bottomLeft" state="frozen"/>
      <selection/>
      <selection pane="bottomLeft" activeCell="G131" sqref="F131:G131"/>
    </sheetView>
  </sheetViews>
  <sheetFormatPr defaultColWidth="9" defaultRowHeight="14.4"/>
  <cols>
    <col min="1" max="1" width="25.7777777777778" customWidth="1"/>
    <col min="2" max="2" width="12.7777777777778" customWidth="1"/>
    <col min="3" max="3" width="12.7777777777778" style="2" customWidth="1"/>
    <col min="4" max="4" width="42" customWidth="1"/>
    <col min="5" max="36" width="12.7777777777778" customWidth="1"/>
  </cols>
  <sheetData>
    <row r="1" customFormat="1" ht="28" customHeight="1" spans="1:36">
      <c r="A1" s="3"/>
      <c r="B1" s="3"/>
      <c r="C1" s="4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="1" customFormat="1" ht="48.6" spans="1:36">
      <c r="A2" s="5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5" t="s">
        <v>7</v>
      </c>
      <c r="H2" s="7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</row>
    <row r="3" customFormat="1" ht="22" customHeight="1" spans="1:36">
      <c r="A3" s="8" t="s">
        <v>37</v>
      </c>
      <c r="B3" s="8" t="str">
        <f>VLOOKUP(F3,[1]Sheet1!$B:$E,3,FALSE)</f>
        <v>王森</v>
      </c>
      <c r="C3" s="9" t="str">
        <f>VLOOKUP(F3,[1]Sheet1!$B:$E,4,FALSE)</f>
        <v>A</v>
      </c>
      <c r="D3" s="8" t="s">
        <v>38</v>
      </c>
      <c r="E3" s="8">
        <v>4.9</v>
      </c>
      <c r="F3" s="10">
        <v>3211775</v>
      </c>
      <c r="G3" s="8">
        <v>2982</v>
      </c>
      <c r="H3" s="8">
        <v>6301.55</v>
      </c>
      <c r="I3" s="8">
        <v>87.54</v>
      </c>
      <c r="J3" s="8">
        <v>71.61</v>
      </c>
      <c r="K3" s="8">
        <v>3740.55</v>
      </c>
      <c r="L3" s="8">
        <v>4399</v>
      </c>
      <c r="M3" s="11">
        <v>0.113</v>
      </c>
      <c r="N3" s="11">
        <v>0.169</v>
      </c>
      <c r="O3" s="8">
        <v>88</v>
      </c>
      <c r="P3" s="8">
        <v>4550</v>
      </c>
      <c r="Q3" s="11">
        <v>0.0804</v>
      </c>
      <c r="R3" s="11">
        <v>0.2404</v>
      </c>
      <c r="S3" s="8">
        <v>91</v>
      </c>
      <c r="T3" s="11">
        <v>0.1626</v>
      </c>
      <c r="U3" s="11">
        <v>0.3443</v>
      </c>
      <c r="V3" s="11">
        <v>0.1956</v>
      </c>
      <c r="W3" s="11">
        <v>0.2748</v>
      </c>
      <c r="X3" s="8">
        <v>130</v>
      </c>
      <c r="Y3" s="8">
        <v>175</v>
      </c>
      <c r="Z3" s="8">
        <v>0.74</v>
      </c>
      <c r="AA3" s="8">
        <v>130</v>
      </c>
      <c r="AB3" s="8">
        <v>2.06</v>
      </c>
      <c r="AC3" s="8">
        <v>1.48</v>
      </c>
      <c r="AD3" s="8">
        <v>2</v>
      </c>
      <c r="AE3" s="8">
        <v>2</v>
      </c>
      <c r="AF3" s="11">
        <v>1</v>
      </c>
      <c r="AG3" s="8">
        <v>0</v>
      </c>
      <c r="AH3" s="8">
        <v>0</v>
      </c>
      <c r="AI3" s="11">
        <v>0</v>
      </c>
      <c r="AJ3" s="8" t="s">
        <v>39</v>
      </c>
    </row>
    <row r="4" customFormat="1" ht="22" customHeight="1" spans="1:36">
      <c r="A4" s="8" t="s">
        <v>37</v>
      </c>
      <c r="B4" s="8" t="str">
        <f>VLOOKUP(F4,[1]Sheet1!$B:$E,3,FALSE)</f>
        <v>徐从众</v>
      </c>
      <c r="C4" s="9" t="str">
        <f>VLOOKUP(F4,[1]Sheet1!$B:$E,4,FALSE)</f>
        <v>S</v>
      </c>
      <c r="D4" s="8" t="s">
        <v>40</v>
      </c>
      <c r="E4" s="8">
        <v>4.8</v>
      </c>
      <c r="F4" s="10">
        <v>812350</v>
      </c>
      <c r="G4" s="8">
        <v>3022</v>
      </c>
      <c r="H4" s="8">
        <v>5533.45</v>
      </c>
      <c r="I4" s="8">
        <v>76.49</v>
      </c>
      <c r="J4" s="8">
        <v>55.33</v>
      </c>
      <c r="K4" s="8">
        <v>4106.11</v>
      </c>
      <c r="L4" s="8">
        <v>4418</v>
      </c>
      <c r="M4" s="11">
        <v>0.0885</v>
      </c>
      <c r="N4" s="11">
        <v>0.2404</v>
      </c>
      <c r="O4" s="8">
        <v>100</v>
      </c>
      <c r="P4" s="8">
        <v>4567</v>
      </c>
      <c r="Q4" s="11">
        <v>0.0889</v>
      </c>
      <c r="R4" s="11">
        <v>0.266</v>
      </c>
      <c r="S4" s="8">
        <v>112</v>
      </c>
      <c r="T4" s="11">
        <v>0.1299</v>
      </c>
      <c r="U4" s="11">
        <v>0.2704</v>
      </c>
      <c r="V4" s="11">
        <v>0.2264</v>
      </c>
      <c r="W4" s="11">
        <v>0.2789</v>
      </c>
      <c r="X4" s="8">
        <v>0</v>
      </c>
      <c r="Y4" s="8">
        <v>0</v>
      </c>
      <c r="Z4" s="8">
        <v>-0.01</v>
      </c>
      <c r="AA4" s="8">
        <v>0</v>
      </c>
      <c r="AB4" s="8">
        <v>0</v>
      </c>
      <c r="AC4" s="8">
        <v>1.46</v>
      </c>
      <c r="AD4" s="8">
        <v>8</v>
      </c>
      <c r="AE4" s="8">
        <v>8</v>
      </c>
      <c r="AF4" s="11">
        <v>1</v>
      </c>
      <c r="AG4" s="8">
        <v>0</v>
      </c>
      <c r="AH4" s="8">
        <v>0</v>
      </c>
      <c r="AI4" s="11">
        <v>0</v>
      </c>
      <c r="AJ4" s="8" t="s">
        <v>41</v>
      </c>
    </row>
    <row r="5" customFormat="1" ht="22" customHeight="1" spans="1:36">
      <c r="A5" s="8" t="s">
        <v>37</v>
      </c>
      <c r="B5" s="8" t="str">
        <f>VLOOKUP(F5,[1]Sheet1!$B:$E,3,FALSE)</f>
        <v>徐从众</v>
      </c>
      <c r="C5" s="9" t="str">
        <f>VLOOKUP(F5,[1]Sheet1!$B:$E,4,FALSE)</f>
        <v>A</v>
      </c>
      <c r="D5" s="8" t="s">
        <v>42</v>
      </c>
      <c r="E5" s="8">
        <v>4.8</v>
      </c>
      <c r="F5" s="10">
        <v>2314375</v>
      </c>
      <c r="G5" s="8">
        <v>1803</v>
      </c>
      <c r="H5" s="8">
        <v>4369.12</v>
      </c>
      <c r="I5" s="8">
        <v>91</v>
      </c>
      <c r="J5" s="8">
        <v>68.27</v>
      </c>
      <c r="K5" s="8">
        <v>6930.87</v>
      </c>
      <c r="L5" s="8">
        <v>2353</v>
      </c>
      <c r="M5" s="11">
        <v>0.1143</v>
      </c>
      <c r="N5" s="11">
        <v>0.2305</v>
      </c>
      <c r="O5" s="8">
        <v>64</v>
      </c>
      <c r="P5" s="8">
        <v>11982</v>
      </c>
      <c r="Q5" s="11">
        <v>0.0616</v>
      </c>
      <c r="R5" s="11">
        <v>0.1992</v>
      </c>
      <c r="S5" s="8">
        <v>156</v>
      </c>
      <c r="T5" s="11">
        <v>0.1545</v>
      </c>
      <c r="U5" s="11">
        <v>0.3022</v>
      </c>
      <c r="V5" s="11">
        <v>0.2096</v>
      </c>
      <c r="W5" s="11">
        <v>0.2662</v>
      </c>
      <c r="X5" s="8">
        <v>0</v>
      </c>
      <c r="Y5" s="8">
        <v>0</v>
      </c>
      <c r="Z5" s="8">
        <v>-0.01</v>
      </c>
      <c r="AA5" s="8">
        <v>0</v>
      </c>
      <c r="AB5" s="8">
        <v>0</v>
      </c>
      <c r="AC5" s="8">
        <v>1.31</v>
      </c>
      <c r="AD5" s="8">
        <v>2</v>
      </c>
      <c r="AE5" s="8">
        <v>2</v>
      </c>
      <c r="AF5" s="11">
        <v>1</v>
      </c>
      <c r="AG5" s="8">
        <v>0</v>
      </c>
      <c r="AH5" s="8">
        <v>0</v>
      </c>
      <c r="AI5" s="11">
        <v>0</v>
      </c>
      <c r="AJ5" s="8" t="s">
        <v>43</v>
      </c>
    </row>
    <row r="6" customFormat="1" ht="22" customHeight="1" spans="1:36">
      <c r="A6" s="8" t="s">
        <v>37</v>
      </c>
      <c r="B6" s="8" t="str">
        <f>VLOOKUP(F6,[1]Sheet1!$B:$E,3,FALSE)</f>
        <v>王森</v>
      </c>
      <c r="C6" s="9" t="str">
        <f>VLOOKUP(F6,[1]Sheet1!$B:$E,4,FALSE)</f>
        <v>A</v>
      </c>
      <c r="D6" s="8" t="s">
        <v>44</v>
      </c>
      <c r="E6" s="8">
        <v>4.8</v>
      </c>
      <c r="F6" s="10">
        <v>16785096</v>
      </c>
      <c r="G6" s="8">
        <v>2833</v>
      </c>
      <c r="H6" s="8">
        <v>4138.32</v>
      </c>
      <c r="I6" s="8">
        <v>61.28</v>
      </c>
      <c r="J6" s="8">
        <v>49.27</v>
      </c>
      <c r="K6" s="8">
        <v>4138.32</v>
      </c>
      <c r="L6" s="8">
        <v>4834</v>
      </c>
      <c r="M6" s="11">
        <v>0.0794</v>
      </c>
      <c r="N6" s="11">
        <v>0.2109</v>
      </c>
      <c r="O6" s="8">
        <v>84</v>
      </c>
      <c r="P6" s="8">
        <v>4834</v>
      </c>
      <c r="Q6" s="11">
        <v>0.0794</v>
      </c>
      <c r="R6" s="11">
        <v>0.2109</v>
      </c>
      <c r="S6" s="8">
        <v>84</v>
      </c>
      <c r="T6" s="11">
        <v>0.148</v>
      </c>
      <c r="U6" s="11">
        <v>0.2618</v>
      </c>
      <c r="V6" s="11">
        <v>0.203</v>
      </c>
      <c r="W6" s="11">
        <v>0.2618</v>
      </c>
      <c r="X6" s="8">
        <v>250</v>
      </c>
      <c r="Y6" s="8">
        <v>221</v>
      </c>
      <c r="Z6" s="8">
        <v>1.13</v>
      </c>
      <c r="AA6" s="8">
        <v>250</v>
      </c>
      <c r="AB6" s="8">
        <v>6.04</v>
      </c>
      <c r="AC6" s="8">
        <v>1.71</v>
      </c>
      <c r="AD6" s="8">
        <v>2</v>
      </c>
      <c r="AE6" s="8">
        <v>2</v>
      </c>
      <c r="AF6" s="11">
        <v>1</v>
      </c>
      <c r="AG6" s="8">
        <v>0</v>
      </c>
      <c r="AH6" s="8">
        <v>0</v>
      </c>
      <c r="AI6" s="11">
        <v>0</v>
      </c>
      <c r="AJ6" s="8" t="s">
        <v>45</v>
      </c>
    </row>
    <row r="7" customFormat="1" ht="22" customHeight="1" spans="1:36">
      <c r="A7" s="8" t="s">
        <v>37</v>
      </c>
      <c r="B7" s="8" t="e">
        <f>VLOOKUP(F7,[1]Sheet1!$B:$E,3,FALSE)</f>
        <v>#N/A</v>
      </c>
      <c r="C7" s="8" t="e">
        <f>VLOOKUP(F7,[1]Sheet1!$B:$E,4,FALSE)</f>
        <v>#N/A</v>
      </c>
      <c r="D7" s="8" t="s">
        <v>46</v>
      </c>
      <c r="E7" s="8">
        <v>4.9</v>
      </c>
      <c r="F7" s="10">
        <v>24262631</v>
      </c>
      <c r="G7" s="8">
        <v>4907</v>
      </c>
      <c r="H7" s="8">
        <v>4034.55</v>
      </c>
      <c r="I7" s="8">
        <v>30.37</v>
      </c>
      <c r="J7" s="8">
        <v>21.81</v>
      </c>
      <c r="K7" s="8">
        <v>3668.34</v>
      </c>
      <c r="L7" s="8">
        <v>6756</v>
      </c>
      <c r="M7" s="11">
        <v>0.0774</v>
      </c>
      <c r="N7" s="11">
        <v>0.3423</v>
      </c>
      <c r="O7" s="8">
        <v>185</v>
      </c>
      <c r="P7" s="8">
        <v>3818</v>
      </c>
      <c r="Q7" s="11">
        <v>0.0948</v>
      </c>
      <c r="R7" s="11">
        <v>0.3149</v>
      </c>
      <c r="S7" s="8">
        <v>117</v>
      </c>
      <c r="T7" s="11">
        <v>0.1889</v>
      </c>
      <c r="U7" s="11">
        <v>0.3379</v>
      </c>
      <c r="V7" s="11">
        <v>0.2385</v>
      </c>
      <c r="W7" s="11">
        <v>0.3155</v>
      </c>
      <c r="X7" s="8">
        <v>150</v>
      </c>
      <c r="Y7" s="8">
        <v>98</v>
      </c>
      <c r="Z7" s="8">
        <v>1.53</v>
      </c>
      <c r="AA7" s="8">
        <v>150</v>
      </c>
      <c r="AB7" s="8">
        <v>3.72</v>
      </c>
      <c r="AC7" s="8">
        <v>1.38</v>
      </c>
      <c r="AD7" s="8">
        <v>5</v>
      </c>
      <c r="AE7" s="8">
        <v>5</v>
      </c>
      <c r="AF7" s="11">
        <v>1</v>
      </c>
      <c r="AG7" s="8">
        <v>0</v>
      </c>
      <c r="AH7" s="8">
        <v>0</v>
      </c>
      <c r="AI7" s="11">
        <v>0</v>
      </c>
      <c r="AJ7" s="8" t="s">
        <v>47</v>
      </c>
    </row>
    <row r="8" customFormat="1" ht="22" customHeight="1" spans="1:36">
      <c r="A8" s="8" t="s">
        <v>37</v>
      </c>
      <c r="B8" s="8" t="e">
        <f>VLOOKUP(F8,[1]Sheet1!$B:$E,3,FALSE)</f>
        <v>#N/A</v>
      </c>
      <c r="C8" s="8" t="e">
        <f>VLOOKUP(F8,[1]Sheet1!$B:$E,4,FALSE)</f>
        <v>#N/A</v>
      </c>
      <c r="D8" s="8" t="s">
        <v>48</v>
      </c>
      <c r="E8" s="8">
        <v>4.8</v>
      </c>
      <c r="F8" s="10">
        <v>17231578</v>
      </c>
      <c r="G8" s="8">
        <v>2549</v>
      </c>
      <c r="H8" s="8">
        <v>3676.93</v>
      </c>
      <c r="I8" s="8">
        <v>43.51</v>
      </c>
      <c r="J8" s="8">
        <v>31.43</v>
      </c>
      <c r="K8" s="8">
        <v>4124.64</v>
      </c>
      <c r="L8" s="8">
        <v>2739</v>
      </c>
      <c r="M8" s="11">
        <v>0.1099</v>
      </c>
      <c r="N8" s="11">
        <v>0.3688</v>
      </c>
      <c r="O8" s="8">
        <v>117</v>
      </c>
      <c r="P8" s="8">
        <v>3755</v>
      </c>
      <c r="Q8" s="11">
        <v>0.098</v>
      </c>
      <c r="R8" s="11">
        <v>0.2391</v>
      </c>
      <c r="S8" s="8">
        <v>91</v>
      </c>
      <c r="T8" s="11">
        <v>0.214</v>
      </c>
      <c r="U8" s="11">
        <v>0.4066</v>
      </c>
      <c r="V8" s="11">
        <v>0.2356</v>
      </c>
      <c r="W8" s="11">
        <v>0.2763</v>
      </c>
      <c r="X8" s="8">
        <v>0</v>
      </c>
      <c r="Y8" s="8">
        <v>0</v>
      </c>
      <c r="Z8" s="8">
        <v>-0.01</v>
      </c>
      <c r="AA8" s="8">
        <v>0</v>
      </c>
      <c r="AB8" s="8">
        <v>0</v>
      </c>
      <c r="AC8" s="8">
        <v>1.07</v>
      </c>
      <c r="AD8" s="8">
        <v>13</v>
      </c>
      <c r="AE8" s="8">
        <v>12</v>
      </c>
      <c r="AF8" s="11">
        <v>0.9231</v>
      </c>
      <c r="AG8" s="8">
        <v>0</v>
      </c>
      <c r="AH8" s="8">
        <v>1</v>
      </c>
      <c r="AI8" s="11">
        <v>0.0769</v>
      </c>
      <c r="AJ8" s="8" t="s">
        <v>49</v>
      </c>
    </row>
    <row r="9" customFormat="1" ht="22" customHeight="1" spans="1:36">
      <c r="A9" s="8" t="s">
        <v>37</v>
      </c>
      <c r="B9" s="8" t="str">
        <f>VLOOKUP(F9,[1]Sheet1!$B:$E,3,FALSE)</f>
        <v>徐从众</v>
      </c>
      <c r="C9" s="9" t="str">
        <f>VLOOKUP(F9,[1]Sheet1!$B:$E,4,FALSE)</f>
        <v>S</v>
      </c>
      <c r="D9" s="8" t="s">
        <v>50</v>
      </c>
      <c r="E9" s="8">
        <v>4.9</v>
      </c>
      <c r="F9" s="10">
        <v>812405</v>
      </c>
      <c r="G9" s="8">
        <v>2282</v>
      </c>
      <c r="H9" s="8">
        <v>3672</v>
      </c>
      <c r="I9" s="8">
        <v>77.53</v>
      </c>
      <c r="J9" s="8">
        <v>58.29</v>
      </c>
      <c r="K9" s="8">
        <v>2907.53</v>
      </c>
      <c r="L9" s="8">
        <v>2877</v>
      </c>
      <c r="M9" s="11">
        <v>0.1022</v>
      </c>
      <c r="N9" s="11">
        <v>0.2075</v>
      </c>
      <c r="O9" s="8">
        <v>63</v>
      </c>
      <c r="P9" s="8">
        <v>3186</v>
      </c>
      <c r="Q9" s="11">
        <v>0.0888</v>
      </c>
      <c r="R9" s="11">
        <v>0.2085</v>
      </c>
      <c r="S9" s="8">
        <v>60</v>
      </c>
      <c r="T9" s="11">
        <v>0.1432</v>
      </c>
      <c r="U9" s="11">
        <v>0.2529</v>
      </c>
      <c r="V9" s="11">
        <v>0.23</v>
      </c>
      <c r="W9" s="11">
        <v>0.2915</v>
      </c>
      <c r="X9" s="8">
        <v>48.55</v>
      </c>
      <c r="Y9" s="8">
        <v>104</v>
      </c>
      <c r="Z9" s="8">
        <v>0.47</v>
      </c>
      <c r="AA9" s="8">
        <v>48.55</v>
      </c>
      <c r="AB9" s="8">
        <v>1.32</v>
      </c>
      <c r="AC9" s="8">
        <v>1.26</v>
      </c>
      <c r="AD9" s="8">
        <v>5</v>
      </c>
      <c r="AE9" s="8">
        <v>5</v>
      </c>
      <c r="AF9" s="11">
        <v>1</v>
      </c>
      <c r="AG9" s="8">
        <v>0</v>
      </c>
      <c r="AH9" s="8">
        <v>0</v>
      </c>
      <c r="AI9" s="11">
        <v>0</v>
      </c>
      <c r="AJ9" s="8" t="s">
        <v>51</v>
      </c>
    </row>
    <row r="10" customFormat="1" ht="22" customHeight="1" spans="1:36">
      <c r="A10" s="8" t="s">
        <v>37</v>
      </c>
      <c r="B10" s="8" t="str">
        <f>VLOOKUP(F10,[1]Sheet1!$B:$E,3,FALSE)</f>
        <v>徐从众</v>
      </c>
      <c r="C10" s="9" t="str">
        <f>VLOOKUP(F10,[1]Sheet1!$B:$E,4,FALSE)</f>
        <v>S</v>
      </c>
      <c r="D10" s="8" t="s">
        <v>52</v>
      </c>
      <c r="E10" s="8">
        <v>4.4</v>
      </c>
      <c r="F10" s="10">
        <v>14585759</v>
      </c>
      <c r="G10" s="8">
        <v>3793</v>
      </c>
      <c r="H10" s="8">
        <v>3625.46</v>
      </c>
      <c r="I10" s="8">
        <v>50.16</v>
      </c>
      <c r="J10" s="8">
        <v>29.48</v>
      </c>
      <c r="K10" s="8">
        <v>5805.68</v>
      </c>
      <c r="L10" s="8">
        <v>7704</v>
      </c>
      <c r="M10" s="11">
        <v>0.0763</v>
      </c>
      <c r="N10" s="11">
        <v>0.1956</v>
      </c>
      <c r="O10" s="8">
        <v>123</v>
      </c>
      <c r="P10" s="8">
        <v>6577</v>
      </c>
      <c r="Q10" s="11">
        <v>0.0839</v>
      </c>
      <c r="R10" s="11">
        <v>0.1649</v>
      </c>
      <c r="S10" s="8">
        <v>97</v>
      </c>
      <c r="T10" s="11">
        <v>0.1038</v>
      </c>
      <c r="U10" s="11">
        <v>0.2732</v>
      </c>
      <c r="V10" s="11">
        <v>0.1351</v>
      </c>
      <c r="W10" s="11">
        <v>0.1945</v>
      </c>
      <c r="X10" s="8">
        <v>519.14</v>
      </c>
      <c r="Y10" s="8">
        <v>354</v>
      </c>
      <c r="Z10" s="8">
        <v>1.47</v>
      </c>
      <c r="AA10" s="8">
        <v>519.14</v>
      </c>
      <c r="AB10" s="8">
        <v>14.32</v>
      </c>
      <c r="AC10" s="8">
        <v>2.03</v>
      </c>
      <c r="AD10" s="8">
        <v>17</v>
      </c>
      <c r="AE10" s="8">
        <v>17</v>
      </c>
      <c r="AF10" s="11">
        <v>1</v>
      </c>
      <c r="AG10" s="8">
        <v>0</v>
      </c>
      <c r="AH10" s="8">
        <v>0</v>
      </c>
      <c r="AI10" s="11">
        <v>0</v>
      </c>
      <c r="AJ10" s="8" t="s">
        <v>53</v>
      </c>
    </row>
    <row r="11" customFormat="1" ht="22" customHeight="1" spans="1:36">
      <c r="A11" s="8" t="s">
        <v>37</v>
      </c>
      <c r="B11" s="8" t="str">
        <f>VLOOKUP(F11,[1]Sheet1!$B:$E,3,FALSE)</f>
        <v>徐从众</v>
      </c>
      <c r="C11" s="9" t="str">
        <f>VLOOKUP(F11,[1]Sheet1!$B:$E,4,FALSE)</f>
        <v>S</v>
      </c>
      <c r="D11" s="8" t="s">
        <v>54</v>
      </c>
      <c r="E11" s="8">
        <v>4.7</v>
      </c>
      <c r="F11" s="10">
        <v>9666955</v>
      </c>
      <c r="G11" s="8">
        <v>3033</v>
      </c>
      <c r="H11" s="8">
        <v>3601.27</v>
      </c>
      <c r="I11" s="8">
        <v>48.88</v>
      </c>
      <c r="J11" s="8">
        <v>37.51</v>
      </c>
      <c r="K11" s="8">
        <v>7811.57</v>
      </c>
      <c r="L11" s="8">
        <v>5486</v>
      </c>
      <c r="M11" s="11">
        <v>0.0773</v>
      </c>
      <c r="N11" s="11">
        <v>0.2123</v>
      </c>
      <c r="O11" s="8">
        <v>96</v>
      </c>
      <c r="P11" s="8">
        <v>7364</v>
      </c>
      <c r="Q11" s="11">
        <v>0.0789</v>
      </c>
      <c r="R11" s="11">
        <v>0.1928</v>
      </c>
      <c r="S11" s="8">
        <v>121</v>
      </c>
      <c r="T11" s="11">
        <v>0.1876</v>
      </c>
      <c r="U11" s="11">
        <v>0.3799</v>
      </c>
      <c r="V11" s="11">
        <v>0.19</v>
      </c>
      <c r="W11" s="11">
        <v>0.2405</v>
      </c>
      <c r="X11" s="8">
        <v>250</v>
      </c>
      <c r="Y11" s="8">
        <v>194</v>
      </c>
      <c r="Z11" s="8">
        <v>1.29</v>
      </c>
      <c r="AA11" s="8">
        <v>250</v>
      </c>
      <c r="AB11" s="8">
        <v>6.94</v>
      </c>
      <c r="AC11" s="8">
        <v>1.81</v>
      </c>
      <c r="AD11" s="8">
        <v>2</v>
      </c>
      <c r="AE11" s="8">
        <v>1</v>
      </c>
      <c r="AF11" s="11">
        <v>0.5</v>
      </c>
      <c r="AG11" s="8">
        <v>1</v>
      </c>
      <c r="AH11" s="8">
        <v>0</v>
      </c>
      <c r="AI11" s="11">
        <v>0</v>
      </c>
      <c r="AJ11" s="8" t="s">
        <v>55</v>
      </c>
    </row>
    <row r="12" customFormat="1" ht="22" customHeight="1" spans="1:36">
      <c r="A12" s="8" t="s">
        <v>37</v>
      </c>
      <c r="B12" s="8" t="str">
        <f>VLOOKUP(F12,[1]Sheet1!$B:$E,3,FALSE)</f>
        <v>徐从众</v>
      </c>
      <c r="C12" s="9" t="str">
        <f>VLOOKUP(F12,[1]Sheet1!$B:$E,4,FALSE)</f>
        <v>S</v>
      </c>
      <c r="D12" s="8" t="s">
        <v>56</v>
      </c>
      <c r="E12" s="8">
        <v>4.8</v>
      </c>
      <c r="F12" s="10">
        <v>812370</v>
      </c>
      <c r="G12" s="8">
        <v>1983</v>
      </c>
      <c r="H12" s="8">
        <v>3497.81</v>
      </c>
      <c r="I12" s="8">
        <v>86.19</v>
      </c>
      <c r="J12" s="8">
        <v>62.46</v>
      </c>
      <c r="K12" s="8">
        <v>4539.07</v>
      </c>
      <c r="L12" s="8">
        <v>2700</v>
      </c>
      <c r="M12" s="11">
        <v>0.11</v>
      </c>
      <c r="N12" s="11">
        <v>0.1886</v>
      </c>
      <c r="O12" s="8">
        <v>56</v>
      </c>
      <c r="P12" s="8">
        <v>3585</v>
      </c>
      <c r="Q12" s="11">
        <v>0.094</v>
      </c>
      <c r="R12" s="11">
        <v>0.2671</v>
      </c>
      <c r="S12" s="8">
        <v>92</v>
      </c>
      <c r="T12" s="11">
        <v>0.1166</v>
      </c>
      <c r="U12" s="11">
        <v>0.2403</v>
      </c>
      <c r="V12" s="11">
        <v>0.2377</v>
      </c>
      <c r="W12" s="11">
        <v>0.2991</v>
      </c>
      <c r="X12" s="8">
        <v>50</v>
      </c>
      <c r="Y12" s="8">
        <v>102</v>
      </c>
      <c r="Z12" s="8">
        <v>0.49</v>
      </c>
      <c r="AA12" s="8">
        <v>50</v>
      </c>
      <c r="AB12" s="8">
        <v>1.43</v>
      </c>
      <c r="AC12" s="8">
        <v>1.36</v>
      </c>
      <c r="AD12" s="8">
        <v>5</v>
      </c>
      <c r="AE12" s="8">
        <v>5</v>
      </c>
      <c r="AF12" s="11">
        <v>1</v>
      </c>
      <c r="AG12" s="8">
        <v>0</v>
      </c>
      <c r="AH12" s="8">
        <v>0</v>
      </c>
      <c r="AI12" s="11">
        <v>0</v>
      </c>
      <c r="AJ12" s="8" t="s">
        <v>57</v>
      </c>
    </row>
    <row r="13" customFormat="1" ht="22" customHeight="1" spans="1:36">
      <c r="A13" s="8" t="s">
        <v>37</v>
      </c>
      <c r="B13" s="8" t="str">
        <f>VLOOKUP(F13,[1]Sheet1!$B:$E,3,FALSE)</f>
        <v>王森</v>
      </c>
      <c r="C13" s="8">
        <f>VLOOKUP(F13,[1]Sheet1!$B:$E,4,FALSE)</f>
        <v>0</v>
      </c>
      <c r="D13" s="8" t="s">
        <v>58</v>
      </c>
      <c r="E13" s="8">
        <v>4.6</v>
      </c>
      <c r="F13" s="10">
        <v>33847255</v>
      </c>
      <c r="G13" s="8">
        <v>1149</v>
      </c>
      <c r="H13" s="8">
        <v>3488.16</v>
      </c>
      <c r="I13" s="8">
        <v>88.98</v>
      </c>
      <c r="J13" s="8">
        <v>69.76</v>
      </c>
      <c r="K13" s="8">
        <v>3488.16</v>
      </c>
      <c r="L13" s="8">
        <v>2571</v>
      </c>
      <c r="M13" s="11">
        <v>0.0953</v>
      </c>
      <c r="N13" s="11">
        <v>0.2</v>
      </c>
      <c r="O13" s="8">
        <v>50</v>
      </c>
      <c r="P13" s="8">
        <v>2571</v>
      </c>
      <c r="Q13" s="11">
        <v>0.0953</v>
      </c>
      <c r="R13" s="11">
        <v>0.2</v>
      </c>
      <c r="S13" s="8">
        <v>50</v>
      </c>
      <c r="T13" s="11">
        <v>0.131</v>
      </c>
      <c r="U13" s="11">
        <v>0.3333</v>
      </c>
      <c r="V13" s="11">
        <v>0.1374</v>
      </c>
      <c r="W13" s="11">
        <v>0.3333</v>
      </c>
      <c r="X13" s="8">
        <v>109.87</v>
      </c>
      <c r="Y13" s="8">
        <v>88</v>
      </c>
      <c r="Z13" s="8">
        <v>1.25</v>
      </c>
      <c r="AA13" s="8">
        <v>109.87</v>
      </c>
      <c r="AB13" s="8">
        <v>3.15</v>
      </c>
      <c r="AC13" s="8">
        <v>2.24</v>
      </c>
      <c r="AD13" s="8">
        <v>0</v>
      </c>
      <c r="AE13" s="8">
        <v>0</v>
      </c>
      <c r="AF13" s="11">
        <v>0</v>
      </c>
      <c r="AG13" s="8">
        <v>0</v>
      </c>
      <c r="AH13" s="8">
        <v>0</v>
      </c>
      <c r="AI13" s="11">
        <v>0</v>
      </c>
      <c r="AJ13" s="8" t="s">
        <v>59</v>
      </c>
    </row>
    <row r="14" customFormat="1" ht="22" customHeight="1" spans="1:36">
      <c r="A14" s="8" t="s">
        <v>37</v>
      </c>
      <c r="B14" s="8" t="str">
        <f>VLOOKUP(F14,[1]Sheet1!$B:$E,3,FALSE)</f>
        <v>徐从众</v>
      </c>
      <c r="C14" s="9" t="str">
        <f>VLOOKUP(F14,[1]Sheet1!$B:$E,4,FALSE)</f>
        <v>A</v>
      </c>
      <c r="D14" s="8" t="s">
        <v>60</v>
      </c>
      <c r="E14" s="8">
        <v>4.9</v>
      </c>
      <c r="F14" s="10">
        <v>1555008</v>
      </c>
      <c r="G14" s="8">
        <v>2128</v>
      </c>
      <c r="H14" s="8">
        <v>3149.56</v>
      </c>
      <c r="I14" s="8">
        <v>78.48</v>
      </c>
      <c r="J14" s="8">
        <v>61.76</v>
      </c>
      <c r="K14" s="8">
        <v>5180.97</v>
      </c>
      <c r="L14" s="8">
        <v>2067</v>
      </c>
      <c r="M14" s="11">
        <v>0.1355</v>
      </c>
      <c r="N14" s="11">
        <v>0.1821</v>
      </c>
      <c r="O14" s="8">
        <v>51</v>
      </c>
      <c r="P14" s="8">
        <v>3153</v>
      </c>
      <c r="Q14" s="11">
        <v>0.0872</v>
      </c>
      <c r="R14" s="11">
        <v>0.2364</v>
      </c>
      <c r="S14" s="8">
        <v>68</v>
      </c>
      <c r="T14" s="11">
        <v>0.1283</v>
      </c>
      <c r="U14" s="11">
        <v>0.28</v>
      </c>
      <c r="V14" s="11">
        <v>0.2183</v>
      </c>
      <c r="W14" s="11">
        <v>0.2828</v>
      </c>
      <c r="X14" s="8">
        <v>0</v>
      </c>
      <c r="Y14" s="8">
        <v>0</v>
      </c>
      <c r="Z14" s="8">
        <v>-0.01</v>
      </c>
      <c r="AA14" s="8">
        <v>0</v>
      </c>
      <c r="AB14" s="8">
        <v>0</v>
      </c>
      <c r="AC14" s="8">
        <v>0.97</v>
      </c>
      <c r="AD14" s="8">
        <v>4</v>
      </c>
      <c r="AE14" s="8">
        <v>4</v>
      </c>
      <c r="AF14" s="11">
        <v>1</v>
      </c>
      <c r="AG14" s="8">
        <v>0</v>
      </c>
      <c r="AH14" s="8">
        <v>0</v>
      </c>
      <c r="AI14" s="11">
        <v>0</v>
      </c>
      <c r="AJ14" s="8" t="s">
        <v>61</v>
      </c>
    </row>
    <row r="15" customFormat="1" ht="22" customHeight="1" spans="1:36">
      <c r="A15" s="8" t="s">
        <v>37</v>
      </c>
      <c r="B15" s="8" t="str">
        <f>VLOOKUP(F15,[1]Sheet1!$B:$E,3,FALSE)</f>
        <v>王森</v>
      </c>
      <c r="C15" s="9" t="str">
        <f>VLOOKUP(F15,[1]Sheet1!$B:$E,4,FALSE)</f>
        <v>A</v>
      </c>
      <c r="D15" s="8" t="s">
        <v>62</v>
      </c>
      <c r="E15" s="8">
        <v>4.7</v>
      </c>
      <c r="F15" s="10">
        <v>532741</v>
      </c>
      <c r="G15" s="8">
        <v>2885</v>
      </c>
      <c r="H15" s="8">
        <v>3140.12</v>
      </c>
      <c r="I15" s="8">
        <v>59.02</v>
      </c>
      <c r="J15" s="8">
        <v>41.32</v>
      </c>
      <c r="K15" s="8">
        <v>3741.84</v>
      </c>
      <c r="L15" s="8">
        <v>4491</v>
      </c>
      <c r="M15" s="11">
        <v>0.1004</v>
      </c>
      <c r="N15" s="11">
        <v>0.1663</v>
      </c>
      <c r="O15" s="8">
        <v>76</v>
      </c>
      <c r="P15" s="8">
        <v>3031</v>
      </c>
      <c r="Q15" s="11">
        <v>0.098</v>
      </c>
      <c r="R15" s="11">
        <v>0.2492</v>
      </c>
      <c r="S15" s="8">
        <v>77</v>
      </c>
      <c r="T15" s="11">
        <v>0.1256</v>
      </c>
      <c r="U15" s="11">
        <v>0.2514</v>
      </c>
      <c r="V15" s="11">
        <v>0.215</v>
      </c>
      <c r="W15" s="11">
        <v>0.2814</v>
      </c>
      <c r="X15" s="8">
        <v>288.8</v>
      </c>
      <c r="Y15" s="8">
        <v>285</v>
      </c>
      <c r="Z15" s="8">
        <v>1.01</v>
      </c>
      <c r="AA15" s="8">
        <v>288.8</v>
      </c>
      <c r="AB15" s="8">
        <v>9.2</v>
      </c>
      <c r="AC15" s="8">
        <v>1.56</v>
      </c>
      <c r="AD15" s="8">
        <v>6</v>
      </c>
      <c r="AE15" s="8">
        <v>6</v>
      </c>
      <c r="AF15" s="11">
        <v>1</v>
      </c>
      <c r="AG15" s="8">
        <v>0</v>
      </c>
      <c r="AH15" s="8">
        <v>0</v>
      </c>
      <c r="AI15" s="11">
        <v>0</v>
      </c>
      <c r="AJ15" s="8" t="s">
        <v>63</v>
      </c>
    </row>
    <row r="16" customFormat="1" ht="22" customHeight="1" spans="1:36">
      <c r="A16" s="8" t="s">
        <v>37</v>
      </c>
      <c r="B16" s="8" t="str">
        <f>VLOOKUP(F16,[1]Sheet1!$B:$E,3,FALSE)</f>
        <v>徐从众</v>
      </c>
      <c r="C16" s="9" t="str">
        <f>VLOOKUP(F16,[1]Sheet1!$B:$E,4,FALSE)</f>
        <v>S</v>
      </c>
      <c r="D16" s="8" t="s">
        <v>64</v>
      </c>
      <c r="E16" s="8">
        <v>4.9</v>
      </c>
      <c r="F16" s="10">
        <v>6246326</v>
      </c>
      <c r="G16" s="8">
        <v>2071</v>
      </c>
      <c r="H16" s="8">
        <v>3138.92</v>
      </c>
      <c r="I16" s="8">
        <v>55.38</v>
      </c>
      <c r="J16" s="8">
        <v>40.24</v>
      </c>
      <c r="K16" s="8">
        <v>2444.85</v>
      </c>
      <c r="L16" s="8">
        <v>2742</v>
      </c>
      <c r="M16" s="11">
        <v>0.105</v>
      </c>
      <c r="N16" s="11">
        <v>0.2639</v>
      </c>
      <c r="O16" s="8">
        <v>78</v>
      </c>
      <c r="P16" s="8">
        <v>2572</v>
      </c>
      <c r="Q16" s="11">
        <v>0.0883</v>
      </c>
      <c r="R16" s="11">
        <v>0.2555</v>
      </c>
      <c r="S16" s="8">
        <v>61</v>
      </c>
      <c r="T16" s="11">
        <v>0.155</v>
      </c>
      <c r="U16" s="11">
        <v>0.3215</v>
      </c>
      <c r="V16" s="11">
        <v>0.2204</v>
      </c>
      <c r="W16" s="11">
        <v>0.2981</v>
      </c>
      <c r="X16" s="8">
        <v>50</v>
      </c>
      <c r="Y16" s="8">
        <v>100</v>
      </c>
      <c r="Z16" s="8">
        <v>0.5</v>
      </c>
      <c r="AA16" s="8">
        <v>50</v>
      </c>
      <c r="AB16" s="8">
        <v>1.59</v>
      </c>
      <c r="AC16" s="8">
        <v>1.32</v>
      </c>
      <c r="AD16" s="8">
        <v>6</v>
      </c>
      <c r="AE16" s="8">
        <v>6</v>
      </c>
      <c r="AF16" s="11">
        <v>1</v>
      </c>
      <c r="AG16" s="8">
        <v>0</v>
      </c>
      <c r="AH16" s="8">
        <v>0</v>
      </c>
      <c r="AI16" s="11">
        <v>0</v>
      </c>
      <c r="AJ16" s="8" t="s">
        <v>65</v>
      </c>
    </row>
    <row r="17" customFormat="1" ht="22" customHeight="1" spans="1:36">
      <c r="A17" s="8" t="s">
        <v>37</v>
      </c>
      <c r="B17" s="8" t="str">
        <f>VLOOKUP(F17,[1]Sheet1!$B:$E,3,FALSE)</f>
        <v>王森</v>
      </c>
      <c r="C17" s="9" t="str">
        <f>VLOOKUP(F17,[1]Sheet1!$B:$E,4,FALSE)</f>
        <v>A</v>
      </c>
      <c r="D17" s="8" t="s">
        <v>66</v>
      </c>
      <c r="E17" s="8">
        <v>4.7</v>
      </c>
      <c r="F17" s="10">
        <v>13841112</v>
      </c>
      <c r="G17" s="8">
        <v>996</v>
      </c>
      <c r="H17" s="8">
        <v>3058.28</v>
      </c>
      <c r="I17" s="8">
        <v>97.12</v>
      </c>
      <c r="J17" s="8">
        <v>78.42</v>
      </c>
      <c r="K17" s="8">
        <v>4737.69</v>
      </c>
      <c r="L17" s="8">
        <v>1604</v>
      </c>
      <c r="M17" s="11">
        <v>0.1378</v>
      </c>
      <c r="N17" s="11">
        <v>0.1765</v>
      </c>
      <c r="O17" s="8">
        <v>39</v>
      </c>
      <c r="P17" s="8">
        <v>3540</v>
      </c>
      <c r="Q17" s="11">
        <v>0.0992</v>
      </c>
      <c r="R17" s="11">
        <v>0.2251</v>
      </c>
      <c r="S17" s="8">
        <v>81</v>
      </c>
      <c r="T17" s="11">
        <v>0.1387</v>
      </c>
      <c r="U17" s="11">
        <v>0.2941</v>
      </c>
      <c r="V17" s="11">
        <v>0.2236</v>
      </c>
      <c r="W17" s="11">
        <v>0.3129</v>
      </c>
      <c r="X17" s="8">
        <v>49.88</v>
      </c>
      <c r="Y17" s="8">
        <v>60</v>
      </c>
      <c r="Z17" s="8">
        <v>0.83</v>
      </c>
      <c r="AA17" s="8">
        <v>49.88</v>
      </c>
      <c r="AB17" s="8">
        <v>1.63</v>
      </c>
      <c r="AC17" s="8">
        <v>1.61</v>
      </c>
      <c r="AD17" s="8">
        <v>2</v>
      </c>
      <c r="AE17" s="8">
        <v>2</v>
      </c>
      <c r="AF17" s="11">
        <v>1</v>
      </c>
      <c r="AG17" s="8">
        <v>0</v>
      </c>
      <c r="AH17" s="8">
        <v>0</v>
      </c>
      <c r="AI17" s="11">
        <v>0</v>
      </c>
      <c r="AJ17" s="8" t="s">
        <v>67</v>
      </c>
    </row>
    <row r="18" customFormat="1" ht="22" customHeight="1" spans="1:36">
      <c r="A18" s="8" t="s">
        <v>37</v>
      </c>
      <c r="B18" s="8" t="str">
        <f>VLOOKUP(F18,[1]Sheet1!$B:$E,3,FALSE)</f>
        <v>王森</v>
      </c>
      <c r="C18" s="9" t="str">
        <f>VLOOKUP(F18,[1]Sheet1!$B:$E,4,FALSE)</f>
        <v>A</v>
      </c>
      <c r="D18" s="8" t="s">
        <v>68</v>
      </c>
      <c r="E18" s="8">
        <v>4.8</v>
      </c>
      <c r="F18" s="10">
        <v>13743285</v>
      </c>
      <c r="G18" s="8">
        <v>2010</v>
      </c>
      <c r="H18" s="8">
        <v>3036.67</v>
      </c>
      <c r="I18" s="8">
        <v>73.25</v>
      </c>
      <c r="J18" s="8">
        <v>57.3</v>
      </c>
      <c r="K18" s="8">
        <v>1876.87</v>
      </c>
      <c r="L18" s="8">
        <v>3370</v>
      </c>
      <c r="M18" s="11">
        <v>0.0828</v>
      </c>
      <c r="N18" s="11">
        <v>0.19</v>
      </c>
      <c r="O18" s="8">
        <v>53</v>
      </c>
      <c r="P18" s="8">
        <v>2041</v>
      </c>
      <c r="Q18" s="11">
        <v>0.0823</v>
      </c>
      <c r="R18" s="11">
        <v>0.1726</v>
      </c>
      <c r="S18" s="8">
        <v>29</v>
      </c>
      <c r="T18" s="11">
        <v>0.0867</v>
      </c>
      <c r="U18" s="11">
        <v>0.2262</v>
      </c>
      <c r="V18" s="11">
        <v>0.1339</v>
      </c>
      <c r="W18" s="11">
        <v>0.1805</v>
      </c>
      <c r="X18" s="8">
        <v>260</v>
      </c>
      <c r="Y18" s="8">
        <v>229</v>
      </c>
      <c r="Z18" s="8">
        <v>1.14</v>
      </c>
      <c r="AA18" s="8">
        <v>260</v>
      </c>
      <c r="AB18" s="8">
        <v>8.56</v>
      </c>
      <c r="AC18" s="8">
        <v>1.68</v>
      </c>
      <c r="AD18" s="8">
        <v>2</v>
      </c>
      <c r="AE18" s="8">
        <v>1</v>
      </c>
      <c r="AF18" s="11">
        <v>0.5</v>
      </c>
      <c r="AG18" s="8">
        <v>0</v>
      </c>
      <c r="AH18" s="8">
        <v>1</v>
      </c>
      <c r="AI18" s="11">
        <v>0.5</v>
      </c>
      <c r="AJ18" s="8" t="s">
        <v>69</v>
      </c>
    </row>
    <row r="19" customFormat="1" ht="22" customHeight="1" spans="1:36">
      <c r="A19" s="8" t="s">
        <v>37</v>
      </c>
      <c r="B19" s="8" t="str">
        <f>VLOOKUP(F19,[1]Sheet1!$B:$E,3,FALSE)</f>
        <v>徐从众</v>
      </c>
      <c r="C19" s="9" t="str">
        <f>VLOOKUP(F19,[1]Sheet1!$B:$E,4,FALSE)</f>
        <v>S</v>
      </c>
      <c r="D19" s="8" t="s">
        <v>70</v>
      </c>
      <c r="E19" s="8">
        <v>4.9</v>
      </c>
      <c r="F19" s="10">
        <v>27144392</v>
      </c>
      <c r="G19" s="8">
        <v>3096</v>
      </c>
      <c r="H19" s="8">
        <v>2989</v>
      </c>
      <c r="I19" s="8">
        <v>33.67</v>
      </c>
      <c r="J19" s="8">
        <v>21.66</v>
      </c>
      <c r="K19" s="8">
        <v>6408.53</v>
      </c>
      <c r="L19" s="8">
        <v>3958</v>
      </c>
      <c r="M19" s="11">
        <v>0.0879</v>
      </c>
      <c r="N19" s="11">
        <v>0.3707</v>
      </c>
      <c r="O19" s="8">
        <v>138</v>
      </c>
      <c r="P19" s="8">
        <v>5787</v>
      </c>
      <c r="Q19" s="11">
        <v>0.1007</v>
      </c>
      <c r="R19" s="11">
        <v>0.2762</v>
      </c>
      <c r="S19" s="8">
        <v>166</v>
      </c>
      <c r="T19" s="11">
        <v>0.2294</v>
      </c>
      <c r="U19" s="11">
        <v>0.4375</v>
      </c>
      <c r="V19" s="11">
        <v>0.2096</v>
      </c>
      <c r="W19" s="11">
        <v>0.3062</v>
      </c>
      <c r="X19" s="8">
        <v>129.08</v>
      </c>
      <c r="Y19" s="8">
        <v>139</v>
      </c>
      <c r="Z19" s="8">
        <v>0.93</v>
      </c>
      <c r="AA19" s="8">
        <v>129.08</v>
      </c>
      <c r="AB19" s="8">
        <v>4.32</v>
      </c>
      <c r="AC19" s="8">
        <v>1.28</v>
      </c>
      <c r="AD19" s="8">
        <v>2</v>
      </c>
      <c r="AE19" s="8">
        <v>2</v>
      </c>
      <c r="AF19" s="11">
        <v>1</v>
      </c>
      <c r="AG19" s="8">
        <v>0</v>
      </c>
      <c r="AH19" s="8">
        <v>0</v>
      </c>
      <c r="AI19" s="11">
        <v>0</v>
      </c>
      <c r="AJ19" s="8" t="s">
        <v>71</v>
      </c>
    </row>
    <row r="20" customFormat="1" ht="22" customHeight="1" spans="1:36">
      <c r="A20" s="8" t="s">
        <v>37</v>
      </c>
      <c r="B20" s="8" t="str">
        <f>VLOOKUP(F20,[1]Sheet1!$B:$E,3,FALSE)</f>
        <v>王森</v>
      </c>
      <c r="C20" s="9" t="str">
        <f>VLOOKUP(F20,[1]Sheet1!$B:$E,4,FALSE)</f>
        <v>A</v>
      </c>
      <c r="D20" s="8" t="s">
        <v>72</v>
      </c>
      <c r="E20" s="8">
        <v>4.8</v>
      </c>
      <c r="F20" s="10">
        <v>28361054</v>
      </c>
      <c r="G20" s="8">
        <v>1436</v>
      </c>
      <c r="H20" s="8">
        <v>2951.8</v>
      </c>
      <c r="I20" s="8">
        <v>71.44</v>
      </c>
      <c r="J20" s="8">
        <v>59.04</v>
      </c>
      <c r="K20" s="8">
        <v>3516.19</v>
      </c>
      <c r="L20" s="8">
        <v>2567</v>
      </c>
      <c r="M20" s="11">
        <v>0.1141</v>
      </c>
      <c r="N20" s="11">
        <v>0.1604</v>
      </c>
      <c r="O20" s="8">
        <v>50</v>
      </c>
      <c r="P20" s="8">
        <v>2929</v>
      </c>
      <c r="Q20" s="11">
        <v>0.1011</v>
      </c>
      <c r="R20" s="11">
        <v>0.25</v>
      </c>
      <c r="S20" s="8">
        <v>76</v>
      </c>
      <c r="T20" s="11">
        <v>0.1549</v>
      </c>
      <c r="U20" s="11">
        <v>0.299</v>
      </c>
      <c r="V20" s="11">
        <v>0.2286</v>
      </c>
      <c r="W20" s="11">
        <v>0.2941</v>
      </c>
      <c r="X20" s="8">
        <v>98.52</v>
      </c>
      <c r="Y20" s="8">
        <v>132</v>
      </c>
      <c r="Z20" s="8">
        <v>0.75</v>
      </c>
      <c r="AA20" s="8">
        <v>98.52</v>
      </c>
      <c r="AB20" s="8">
        <v>3.34</v>
      </c>
      <c r="AC20" s="8">
        <v>1.79</v>
      </c>
      <c r="AD20" s="8">
        <v>3</v>
      </c>
      <c r="AE20" s="8">
        <v>3</v>
      </c>
      <c r="AF20" s="11">
        <v>1</v>
      </c>
      <c r="AG20" s="8">
        <v>0</v>
      </c>
      <c r="AH20" s="8">
        <v>0</v>
      </c>
      <c r="AI20" s="11">
        <v>0</v>
      </c>
      <c r="AJ20" s="8" t="s">
        <v>73</v>
      </c>
    </row>
    <row r="21" customFormat="1" ht="22" customHeight="1" spans="1:36">
      <c r="A21" s="8" t="s">
        <v>37</v>
      </c>
      <c r="B21" s="8" t="str">
        <f>VLOOKUP(F21,[1]Sheet1!$B:$E,3,FALSE)</f>
        <v>刘欢</v>
      </c>
      <c r="C21" s="9" t="str">
        <f>VLOOKUP(F21,[1]Sheet1!$B:$E,4,FALSE)</f>
        <v>S</v>
      </c>
      <c r="D21" s="8" t="s">
        <v>74</v>
      </c>
      <c r="E21" s="8">
        <v>4.8</v>
      </c>
      <c r="F21" s="10">
        <v>8762081</v>
      </c>
      <c r="G21" s="8">
        <v>2691</v>
      </c>
      <c r="H21" s="8">
        <v>2913.54</v>
      </c>
      <c r="I21" s="8">
        <v>54.55</v>
      </c>
      <c r="J21" s="8">
        <v>41.62</v>
      </c>
      <c r="K21" s="8">
        <v>3391.97</v>
      </c>
      <c r="L21" s="8">
        <v>3642</v>
      </c>
      <c r="M21" s="11">
        <v>0.0667</v>
      </c>
      <c r="N21" s="11">
        <v>0.2798</v>
      </c>
      <c r="O21" s="8">
        <v>70</v>
      </c>
      <c r="P21" s="8">
        <v>3648</v>
      </c>
      <c r="Q21" s="11">
        <v>0.0844</v>
      </c>
      <c r="R21" s="11">
        <v>0.3409</v>
      </c>
      <c r="S21" s="8">
        <v>108</v>
      </c>
      <c r="T21" s="11">
        <v>0.0868</v>
      </c>
      <c r="U21" s="11">
        <v>0.2494</v>
      </c>
      <c r="V21" s="11">
        <v>0.205</v>
      </c>
      <c r="W21" s="11">
        <v>0.2969</v>
      </c>
      <c r="X21" s="8">
        <v>227.54</v>
      </c>
      <c r="Y21" s="8">
        <v>178</v>
      </c>
      <c r="Z21" s="8">
        <v>1.28</v>
      </c>
      <c r="AA21" s="8">
        <v>227.54</v>
      </c>
      <c r="AB21" s="8">
        <v>7.81</v>
      </c>
      <c r="AC21" s="8">
        <v>1.35</v>
      </c>
      <c r="AD21" s="8">
        <v>2</v>
      </c>
      <c r="AE21" s="8">
        <v>2</v>
      </c>
      <c r="AF21" s="11">
        <v>1</v>
      </c>
      <c r="AG21" s="8">
        <v>0</v>
      </c>
      <c r="AH21" s="8">
        <v>0</v>
      </c>
      <c r="AI21" s="11">
        <v>0</v>
      </c>
      <c r="AJ21" s="8" t="s">
        <v>75</v>
      </c>
    </row>
    <row r="22" customFormat="1" ht="22" customHeight="1" spans="1:36">
      <c r="A22" s="8" t="s">
        <v>37</v>
      </c>
      <c r="B22" s="8" t="str">
        <f>VLOOKUP(F22,[1]Sheet1!$B:$E,3,FALSE)</f>
        <v>徐从众</v>
      </c>
      <c r="C22" s="9" t="str">
        <f>VLOOKUP(F22,[1]Sheet1!$B:$E,4,FALSE)</f>
        <v>A</v>
      </c>
      <c r="D22" s="8" t="s">
        <v>76</v>
      </c>
      <c r="E22" s="8">
        <v>4.9</v>
      </c>
      <c r="F22" s="10">
        <v>16557073</v>
      </c>
      <c r="G22" s="8">
        <v>2869</v>
      </c>
      <c r="H22" s="8">
        <v>2892.46</v>
      </c>
      <c r="I22" s="8">
        <v>28.49</v>
      </c>
      <c r="J22" s="8">
        <v>21.59</v>
      </c>
      <c r="K22" s="8">
        <v>2586.62</v>
      </c>
      <c r="L22" s="8">
        <v>2699</v>
      </c>
      <c r="M22" s="11">
        <v>0.0945</v>
      </c>
      <c r="N22" s="11">
        <v>0.5098</v>
      </c>
      <c r="O22" s="8">
        <v>134</v>
      </c>
      <c r="P22" s="8">
        <v>2492</v>
      </c>
      <c r="Q22" s="11">
        <v>0.0863</v>
      </c>
      <c r="R22" s="11">
        <v>0.3395</v>
      </c>
      <c r="S22" s="8">
        <v>75</v>
      </c>
      <c r="T22" s="11">
        <v>0.226</v>
      </c>
      <c r="U22" s="11">
        <v>0.4701</v>
      </c>
      <c r="V22" s="11">
        <v>0.2072</v>
      </c>
      <c r="W22" s="11">
        <v>0.2889</v>
      </c>
      <c r="X22" s="8">
        <v>92.43</v>
      </c>
      <c r="Y22" s="8">
        <v>77</v>
      </c>
      <c r="Z22" s="8">
        <v>1.2</v>
      </c>
      <c r="AA22" s="8">
        <v>92.43</v>
      </c>
      <c r="AB22" s="8">
        <v>3.2</v>
      </c>
      <c r="AC22" s="8">
        <v>0.94</v>
      </c>
      <c r="AD22" s="8">
        <v>2</v>
      </c>
      <c r="AE22" s="8">
        <v>2</v>
      </c>
      <c r="AF22" s="11">
        <v>1</v>
      </c>
      <c r="AG22" s="8">
        <v>0</v>
      </c>
      <c r="AH22" s="8">
        <v>0</v>
      </c>
      <c r="AI22" s="11">
        <v>0</v>
      </c>
      <c r="AJ22" s="8" t="s">
        <v>77</v>
      </c>
    </row>
    <row r="23" customFormat="1" ht="22" customHeight="1" spans="1:36">
      <c r="A23" s="8" t="s">
        <v>37</v>
      </c>
      <c r="B23" s="8" t="str">
        <f>VLOOKUP(F23,[1]Sheet1!$B:$E,3,FALSE)</f>
        <v>徐从众</v>
      </c>
      <c r="C23" s="9" t="str">
        <f>VLOOKUP(F23,[1]Sheet1!$B:$E,4,FALSE)</f>
        <v>A</v>
      </c>
      <c r="D23" s="8" t="s">
        <v>78</v>
      </c>
      <c r="E23" s="8">
        <v>4.8</v>
      </c>
      <c r="F23" s="10">
        <v>33907315</v>
      </c>
      <c r="G23" s="8">
        <v>1019</v>
      </c>
      <c r="H23" s="8">
        <v>2811.68</v>
      </c>
      <c r="I23" s="8">
        <v>90.63</v>
      </c>
      <c r="J23" s="8">
        <v>73.99</v>
      </c>
      <c r="K23" s="8">
        <v>5711.58</v>
      </c>
      <c r="L23" s="8">
        <v>1938</v>
      </c>
      <c r="M23" s="11">
        <v>0.13</v>
      </c>
      <c r="N23" s="11">
        <v>0.1468</v>
      </c>
      <c r="O23" s="8">
        <v>38</v>
      </c>
      <c r="P23" s="8">
        <v>4283</v>
      </c>
      <c r="Q23" s="11">
        <v>0.0838</v>
      </c>
      <c r="R23" s="11">
        <v>0.3036</v>
      </c>
      <c r="S23" s="8">
        <v>112</v>
      </c>
      <c r="T23" s="11">
        <v>0.2295</v>
      </c>
      <c r="U23" s="11">
        <v>0.2</v>
      </c>
      <c r="V23" s="11">
        <v>0.2138</v>
      </c>
      <c r="W23" s="11">
        <v>0.2746</v>
      </c>
      <c r="X23" s="8">
        <v>26.2</v>
      </c>
      <c r="Y23" s="8">
        <v>53</v>
      </c>
      <c r="Z23" s="8">
        <v>0.49</v>
      </c>
      <c r="AA23" s="8">
        <v>26.2</v>
      </c>
      <c r="AB23" s="8">
        <v>0.93</v>
      </c>
      <c r="AC23" s="8">
        <v>1.9</v>
      </c>
      <c r="AD23" s="8">
        <v>0</v>
      </c>
      <c r="AE23" s="8">
        <v>0</v>
      </c>
      <c r="AF23" s="11">
        <v>0</v>
      </c>
      <c r="AG23" s="8">
        <v>0</v>
      </c>
      <c r="AH23" s="8">
        <v>0</v>
      </c>
      <c r="AI23" s="11">
        <v>0</v>
      </c>
      <c r="AJ23" s="8" t="s">
        <v>79</v>
      </c>
    </row>
    <row r="24" customFormat="1" ht="22" customHeight="1" spans="1:36">
      <c r="A24" s="8" t="s">
        <v>37</v>
      </c>
      <c r="B24" s="8" t="str">
        <f>VLOOKUP(F24,[1]Sheet1!$B:$E,3,FALSE)</f>
        <v>岳贝贝</v>
      </c>
      <c r="C24" s="9" t="str">
        <f>VLOOKUP(F24,[1]Sheet1!$B:$E,4,FALSE)</f>
        <v>S</v>
      </c>
      <c r="D24" s="8" t="s">
        <v>80</v>
      </c>
      <c r="E24" s="8">
        <v>4.5</v>
      </c>
      <c r="F24" s="10">
        <v>28701468</v>
      </c>
      <c r="G24" s="8">
        <v>5257</v>
      </c>
      <c r="H24" s="8">
        <v>2798.59</v>
      </c>
      <c r="I24" s="8">
        <v>33.04</v>
      </c>
      <c r="J24" s="8">
        <v>26.16</v>
      </c>
      <c r="K24" s="8">
        <v>3568.57</v>
      </c>
      <c r="L24" s="8">
        <v>6171</v>
      </c>
      <c r="M24" s="11">
        <v>0.092</v>
      </c>
      <c r="N24" s="11">
        <v>0.1919</v>
      </c>
      <c r="O24" s="8">
        <v>107</v>
      </c>
      <c r="P24" s="8">
        <v>6277</v>
      </c>
      <c r="Q24" s="11">
        <v>0.0762</v>
      </c>
      <c r="R24" s="11">
        <v>0.3431</v>
      </c>
      <c r="S24" s="8">
        <v>166</v>
      </c>
      <c r="T24" s="11">
        <v>0.0794</v>
      </c>
      <c r="U24" s="11">
        <v>0.1344</v>
      </c>
      <c r="V24" s="11">
        <v>0.1816</v>
      </c>
      <c r="W24" s="11">
        <v>0.27</v>
      </c>
      <c r="X24" s="8">
        <v>33.94</v>
      </c>
      <c r="Y24" s="8">
        <v>65</v>
      </c>
      <c r="Z24" s="8">
        <v>0.52</v>
      </c>
      <c r="AA24" s="8">
        <v>33.94</v>
      </c>
      <c r="AB24" s="8">
        <v>1.21</v>
      </c>
      <c r="AC24" s="8">
        <v>1.17</v>
      </c>
      <c r="AD24" s="8">
        <v>2</v>
      </c>
      <c r="AE24" s="8">
        <v>2</v>
      </c>
      <c r="AF24" s="11">
        <v>1</v>
      </c>
      <c r="AG24" s="8">
        <v>0</v>
      </c>
      <c r="AH24" s="8">
        <v>0</v>
      </c>
      <c r="AI24" s="11">
        <v>0</v>
      </c>
      <c r="AJ24" s="8" t="s">
        <v>81</v>
      </c>
    </row>
    <row r="25" customFormat="1" ht="22" customHeight="1" spans="1:36">
      <c r="A25" s="8" t="s">
        <v>37</v>
      </c>
      <c r="B25" s="8" t="str">
        <f>VLOOKUP(F25,[1]Sheet1!$B:$E,3,FALSE)</f>
        <v>刘欢</v>
      </c>
      <c r="C25" s="9" t="str">
        <f>VLOOKUP(F25,[1]Sheet1!$B:$E,4,FALSE)</f>
        <v>A</v>
      </c>
      <c r="D25" s="8" t="s">
        <v>82</v>
      </c>
      <c r="E25" s="8">
        <v>4.8</v>
      </c>
      <c r="F25" s="10">
        <v>31088301</v>
      </c>
      <c r="G25" s="8">
        <v>2673</v>
      </c>
      <c r="H25" s="8">
        <v>2788.22</v>
      </c>
      <c r="I25" s="8">
        <v>47.35</v>
      </c>
      <c r="J25" s="8">
        <v>32.42</v>
      </c>
      <c r="K25" s="8">
        <v>3094.52</v>
      </c>
      <c r="L25" s="8">
        <v>4718</v>
      </c>
      <c r="M25" s="11">
        <v>0.0678</v>
      </c>
      <c r="N25" s="11">
        <v>0.2531</v>
      </c>
      <c r="O25" s="8">
        <v>86</v>
      </c>
      <c r="P25" s="8">
        <v>4039</v>
      </c>
      <c r="Q25" s="11">
        <v>0.078</v>
      </c>
      <c r="R25" s="11">
        <v>0.3365</v>
      </c>
      <c r="S25" s="8">
        <v>110</v>
      </c>
      <c r="T25" s="11">
        <v>0.1548</v>
      </c>
      <c r="U25" s="11">
        <v>0.3191</v>
      </c>
      <c r="V25" s="11">
        <v>0.1982</v>
      </c>
      <c r="W25" s="11">
        <v>0.2839</v>
      </c>
      <c r="X25" s="8">
        <v>248.52</v>
      </c>
      <c r="Y25" s="8">
        <v>192</v>
      </c>
      <c r="Z25" s="8">
        <v>1.29</v>
      </c>
      <c r="AA25" s="8">
        <v>248.52</v>
      </c>
      <c r="AB25" s="8">
        <v>8.91</v>
      </c>
      <c r="AC25" s="8">
        <v>1.77</v>
      </c>
      <c r="AD25" s="8">
        <v>5</v>
      </c>
      <c r="AE25" s="8">
        <v>4</v>
      </c>
      <c r="AF25" s="11">
        <v>0.8</v>
      </c>
      <c r="AG25" s="8">
        <v>0</v>
      </c>
      <c r="AH25" s="8">
        <v>1</v>
      </c>
      <c r="AI25" s="11">
        <v>0.2</v>
      </c>
      <c r="AJ25" s="8" t="s">
        <v>83</v>
      </c>
    </row>
    <row r="26" customFormat="1" ht="22" customHeight="1" spans="1:36">
      <c r="A26" s="8" t="s">
        <v>37</v>
      </c>
      <c r="B26" s="8" t="str">
        <f>VLOOKUP(F26,[1]Sheet1!$B:$E,3,FALSE)</f>
        <v>刘欢</v>
      </c>
      <c r="C26" s="9" t="str">
        <f>VLOOKUP(F26,[1]Sheet1!$B:$E,4,FALSE)</f>
        <v>A</v>
      </c>
      <c r="D26" s="8" t="s">
        <v>84</v>
      </c>
      <c r="E26" s="8">
        <v>4.9</v>
      </c>
      <c r="F26" s="10">
        <v>3491742</v>
      </c>
      <c r="G26" s="8">
        <v>1307</v>
      </c>
      <c r="H26" s="8">
        <v>2772.29</v>
      </c>
      <c r="I26" s="8">
        <v>63.13</v>
      </c>
      <c r="J26" s="8">
        <v>54.36</v>
      </c>
      <c r="K26" s="8">
        <v>3904.65</v>
      </c>
      <c r="L26" s="8">
        <v>2124</v>
      </c>
      <c r="M26" s="11">
        <v>0.0734</v>
      </c>
      <c r="N26" s="11">
        <v>0.3141</v>
      </c>
      <c r="O26" s="8">
        <v>51</v>
      </c>
      <c r="P26" s="8">
        <v>3825</v>
      </c>
      <c r="Q26" s="11">
        <v>0.0889</v>
      </c>
      <c r="R26" s="11">
        <v>0.3088</v>
      </c>
      <c r="S26" s="8">
        <v>110</v>
      </c>
      <c r="T26" s="11">
        <v>0.1169</v>
      </c>
      <c r="U26" s="11">
        <v>0.3235</v>
      </c>
      <c r="V26" s="11">
        <v>0.2415</v>
      </c>
      <c r="W26" s="11">
        <v>0.3157</v>
      </c>
      <c r="X26" s="8">
        <v>151.89</v>
      </c>
      <c r="Y26" s="8">
        <v>157</v>
      </c>
      <c r="Z26" s="8">
        <v>0.97</v>
      </c>
      <c r="AA26" s="8">
        <v>151.89</v>
      </c>
      <c r="AB26" s="8">
        <v>5.48</v>
      </c>
      <c r="AC26" s="8">
        <v>1.63</v>
      </c>
      <c r="AD26" s="8">
        <v>1</v>
      </c>
      <c r="AE26" s="8">
        <v>1</v>
      </c>
      <c r="AF26" s="11">
        <v>1</v>
      </c>
      <c r="AG26" s="8">
        <v>0</v>
      </c>
      <c r="AH26" s="8">
        <v>0</v>
      </c>
      <c r="AI26" s="11">
        <v>0</v>
      </c>
      <c r="AJ26" s="8" t="s">
        <v>85</v>
      </c>
    </row>
    <row r="27" customFormat="1" ht="22" customHeight="1" spans="1:36">
      <c r="A27" s="8" t="s">
        <v>37</v>
      </c>
      <c r="B27" s="8" t="str">
        <f>VLOOKUP(F27,[1]Sheet1!$B:$E,3,FALSE)</f>
        <v>王森</v>
      </c>
      <c r="C27" s="9" t="str">
        <f>VLOOKUP(F27,[1]Sheet1!$B:$E,4,FALSE)</f>
        <v>A</v>
      </c>
      <c r="D27" s="8" t="s">
        <v>86</v>
      </c>
      <c r="E27" s="8">
        <v>4.8</v>
      </c>
      <c r="F27" s="10">
        <v>20354499</v>
      </c>
      <c r="G27" s="8">
        <v>3080</v>
      </c>
      <c r="H27" s="8">
        <v>2536.88</v>
      </c>
      <c r="I27" s="8">
        <v>28.29</v>
      </c>
      <c r="J27" s="8">
        <v>20.63</v>
      </c>
      <c r="K27" s="8">
        <v>3098.35</v>
      </c>
      <c r="L27" s="8">
        <v>4505</v>
      </c>
      <c r="M27" s="11">
        <v>0.1079</v>
      </c>
      <c r="N27" s="11">
        <v>0.249</v>
      </c>
      <c r="O27" s="8">
        <v>123</v>
      </c>
      <c r="P27" s="8">
        <v>4499</v>
      </c>
      <c r="Q27" s="11">
        <v>0.0854</v>
      </c>
      <c r="R27" s="11">
        <v>0.2708</v>
      </c>
      <c r="S27" s="8">
        <v>106</v>
      </c>
      <c r="T27" s="11">
        <v>0.1994</v>
      </c>
      <c r="U27" s="11">
        <v>0.3118</v>
      </c>
      <c r="V27" s="11">
        <v>0.2076</v>
      </c>
      <c r="W27" s="11">
        <v>0.2668</v>
      </c>
      <c r="X27" s="8">
        <v>0</v>
      </c>
      <c r="Y27" s="8">
        <v>0</v>
      </c>
      <c r="Z27" s="8">
        <v>-0.01</v>
      </c>
      <c r="AA27" s="8">
        <v>0</v>
      </c>
      <c r="AB27" s="8">
        <v>0</v>
      </c>
      <c r="AC27" s="8">
        <v>1.46</v>
      </c>
      <c r="AD27" s="8">
        <v>7</v>
      </c>
      <c r="AE27" s="8">
        <v>7</v>
      </c>
      <c r="AF27" s="11">
        <v>1</v>
      </c>
      <c r="AG27" s="8">
        <v>0</v>
      </c>
      <c r="AH27" s="8">
        <v>0</v>
      </c>
      <c r="AI27" s="11">
        <v>0</v>
      </c>
      <c r="AJ27" s="8" t="s">
        <v>87</v>
      </c>
    </row>
    <row r="28" customFormat="1" ht="22" customHeight="1" spans="1:36">
      <c r="A28" s="8" t="s">
        <v>37</v>
      </c>
      <c r="B28" s="8" t="str">
        <f>VLOOKUP(F28,[1]Sheet1!$B:$E,3,FALSE)</f>
        <v>王森</v>
      </c>
      <c r="C28" s="9" t="str">
        <f>VLOOKUP(F28,[1]Sheet1!$B:$E,4,FALSE)</f>
        <v>A</v>
      </c>
      <c r="D28" s="8" t="s">
        <v>88</v>
      </c>
      <c r="E28" s="8">
        <v>4.6</v>
      </c>
      <c r="F28" s="10">
        <v>12821491</v>
      </c>
      <c r="G28" s="8">
        <v>1868</v>
      </c>
      <c r="H28" s="8">
        <v>2511.29</v>
      </c>
      <c r="I28" s="8">
        <v>69.21</v>
      </c>
      <c r="J28" s="8">
        <v>50.23</v>
      </c>
      <c r="K28" s="8">
        <v>5797.82</v>
      </c>
      <c r="L28" s="8">
        <v>3691</v>
      </c>
      <c r="M28" s="11">
        <v>0.0767</v>
      </c>
      <c r="N28" s="11">
        <v>0.1731</v>
      </c>
      <c r="O28" s="8">
        <v>50</v>
      </c>
      <c r="P28" s="8">
        <v>5663</v>
      </c>
      <c r="Q28" s="11">
        <v>0.0872</v>
      </c>
      <c r="R28" s="11">
        <v>0.2632</v>
      </c>
      <c r="S28" s="8">
        <v>134</v>
      </c>
      <c r="T28" s="11">
        <v>0.1213</v>
      </c>
      <c r="U28" s="11">
        <v>0.2872</v>
      </c>
      <c r="V28" s="11">
        <v>0.2118</v>
      </c>
      <c r="W28" s="11">
        <v>0.2854</v>
      </c>
      <c r="X28" s="8">
        <v>247.05</v>
      </c>
      <c r="Y28" s="8">
        <v>193</v>
      </c>
      <c r="Z28" s="8">
        <v>1.28</v>
      </c>
      <c r="AA28" s="8">
        <v>247.05</v>
      </c>
      <c r="AB28" s="8">
        <v>9.84</v>
      </c>
      <c r="AC28" s="8">
        <v>1.98</v>
      </c>
      <c r="AD28" s="8">
        <v>2</v>
      </c>
      <c r="AE28" s="8">
        <v>2</v>
      </c>
      <c r="AF28" s="11">
        <v>1</v>
      </c>
      <c r="AG28" s="8">
        <v>0</v>
      </c>
      <c r="AH28" s="8">
        <v>0</v>
      </c>
      <c r="AI28" s="11">
        <v>0</v>
      </c>
      <c r="AJ28" s="8" t="s">
        <v>89</v>
      </c>
    </row>
    <row r="29" customFormat="1" ht="22" customHeight="1" spans="1:36">
      <c r="A29" s="8" t="s">
        <v>37</v>
      </c>
      <c r="B29" s="8" t="str">
        <f>VLOOKUP(F29,[1]Sheet1!$B:$E,3,FALSE)</f>
        <v>徐从众</v>
      </c>
      <c r="C29" s="9" t="str">
        <f>VLOOKUP(F29,[1]Sheet1!$B:$E,4,FALSE)</f>
        <v>S</v>
      </c>
      <c r="D29" s="8" t="s">
        <v>90</v>
      </c>
      <c r="E29" s="8">
        <v>4.8</v>
      </c>
      <c r="F29" s="10">
        <v>30853465</v>
      </c>
      <c r="G29" s="8">
        <v>1379</v>
      </c>
      <c r="H29" s="8">
        <v>2401.28</v>
      </c>
      <c r="I29" s="8">
        <v>62.74</v>
      </c>
      <c r="J29" s="8">
        <v>48.03</v>
      </c>
      <c r="K29" s="8">
        <v>3914.15</v>
      </c>
      <c r="L29" s="8">
        <v>1594</v>
      </c>
      <c r="M29" s="11">
        <v>0.1136</v>
      </c>
      <c r="N29" s="11">
        <v>0.2762</v>
      </c>
      <c r="O29" s="8">
        <v>50</v>
      </c>
      <c r="P29" s="8">
        <v>4052</v>
      </c>
      <c r="Q29" s="11">
        <v>0.0842</v>
      </c>
      <c r="R29" s="11">
        <v>0.3343</v>
      </c>
      <c r="S29" s="8">
        <v>117</v>
      </c>
      <c r="T29" s="11">
        <v>0.2138</v>
      </c>
      <c r="U29" s="11">
        <v>0.3744</v>
      </c>
      <c r="V29" s="11">
        <v>0.2459</v>
      </c>
      <c r="W29" s="11">
        <v>0.3361</v>
      </c>
      <c r="X29" s="8">
        <v>78</v>
      </c>
      <c r="Y29" s="8">
        <v>67</v>
      </c>
      <c r="Z29" s="8">
        <v>1.16</v>
      </c>
      <c r="AA29" s="8">
        <v>78</v>
      </c>
      <c r="AB29" s="8">
        <v>3.25</v>
      </c>
      <c r="AC29" s="8">
        <v>1.16</v>
      </c>
      <c r="AD29" s="8">
        <v>0</v>
      </c>
      <c r="AE29" s="8">
        <v>0</v>
      </c>
      <c r="AF29" s="11">
        <v>0</v>
      </c>
      <c r="AG29" s="8">
        <v>0</v>
      </c>
      <c r="AH29" s="8">
        <v>0</v>
      </c>
      <c r="AI29" s="11">
        <v>0</v>
      </c>
      <c r="AJ29" s="8" t="s">
        <v>91</v>
      </c>
    </row>
    <row r="30" customFormat="1" ht="22" customHeight="1" spans="1:36">
      <c r="A30" s="8" t="s">
        <v>37</v>
      </c>
      <c r="B30" s="8" t="str">
        <f>VLOOKUP(F30,[1]Sheet1!$B:$E,3,FALSE)</f>
        <v>徐从众</v>
      </c>
      <c r="C30" s="9" t="str">
        <f>VLOOKUP(F30,[1]Sheet1!$B:$E,4,FALSE)</f>
        <v>S</v>
      </c>
      <c r="D30" s="8" t="s">
        <v>92</v>
      </c>
      <c r="E30" s="8">
        <v>5</v>
      </c>
      <c r="F30" s="10">
        <v>22347828</v>
      </c>
      <c r="G30" s="8">
        <v>4358</v>
      </c>
      <c r="H30" s="8">
        <v>2385.6</v>
      </c>
      <c r="I30" s="8">
        <v>27.98</v>
      </c>
      <c r="J30" s="8">
        <v>19.24</v>
      </c>
      <c r="K30" s="8">
        <v>4126.72</v>
      </c>
      <c r="L30" s="8">
        <v>3051</v>
      </c>
      <c r="M30" s="11">
        <v>0.0957</v>
      </c>
      <c r="N30" s="11">
        <v>0.411</v>
      </c>
      <c r="O30" s="8">
        <v>124</v>
      </c>
      <c r="P30" s="8">
        <v>4959</v>
      </c>
      <c r="Q30" s="11">
        <v>0.0831</v>
      </c>
      <c r="R30" s="11">
        <v>0.3689</v>
      </c>
      <c r="S30" s="8">
        <v>156</v>
      </c>
      <c r="T30" s="11">
        <v>0.2294</v>
      </c>
      <c r="U30" s="11">
        <v>0.4729</v>
      </c>
      <c r="V30" s="11">
        <v>0.22</v>
      </c>
      <c r="W30" s="11">
        <v>0.3291</v>
      </c>
      <c r="X30" s="8">
        <v>52.04</v>
      </c>
      <c r="Y30" s="8">
        <v>58</v>
      </c>
      <c r="Z30" s="8">
        <v>0.9</v>
      </c>
      <c r="AA30" s="8">
        <v>52.04</v>
      </c>
      <c r="AB30" s="8">
        <v>2.18</v>
      </c>
      <c r="AC30" s="8">
        <v>0.7</v>
      </c>
      <c r="AD30" s="8">
        <v>3</v>
      </c>
      <c r="AE30" s="8">
        <v>3</v>
      </c>
      <c r="AF30" s="11">
        <v>1</v>
      </c>
      <c r="AG30" s="8">
        <v>0</v>
      </c>
      <c r="AH30" s="8">
        <v>0</v>
      </c>
      <c r="AI30" s="11">
        <v>0</v>
      </c>
      <c r="AJ30" s="8" t="s">
        <v>93</v>
      </c>
    </row>
    <row r="31" customFormat="1" ht="22" customHeight="1" spans="1:36">
      <c r="A31" s="8" t="s">
        <v>37</v>
      </c>
      <c r="B31" s="8" t="str">
        <f>VLOOKUP(F31,[1]Sheet1!$B:$E,3,FALSE)</f>
        <v>刘欢</v>
      </c>
      <c r="C31" s="9" t="str">
        <f>VLOOKUP(F31,[1]Sheet1!$B:$E,4,FALSE)</f>
        <v>A</v>
      </c>
      <c r="D31" s="8" t="s">
        <v>94</v>
      </c>
      <c r="E31" s="8">
        <v>4.7</v>
      </c>
      <c r="F31" s="10">
        <v>30889980</v>
      </c>
      <c r="G31" s="8">
        <v>1234</v>
      </c>
      <c r="H31" s="8">
        <v>2374.85</v>
      </c>
      <c r="I31" s="8">
        <v>61.47</v>
      </c>
      <c r="J31" s="8">
        <v>46.57</v>
      </c>
      <c r="K31" s="8">
        <v>3420.32</v>
      </c>
      <c r="L31" s="8">
        <v>2147</v>
      </c>
      <c r="M31" s="11">
        <v>0.0801</v>
      </c>
      <c r="N31" s="11">
        <v>0.2907</v>
      </c>
      <c r="O31" s="8">
        <v>51</v>
      </c>
      <c r="P31" s="8">
        <v>3567</v>
      </c>
      <c r="Q31" s="11">
        <v>0.0805</v>
      </c>
      <c r="R31" s="11">
        <v>0.2334</v>
      </c>
      <c r="S31" s="8">
        <v>71</v>
      </c>
      <c r="T31" s="11">
        <v>0.108</v>
      </c>
      <c r="U31" s="11">
        <v>0.2462</v>
      </c>
      <c r="V31" s="11">
        <v>0.2147</v>
      </c>
      <c r="W31" s="11">
        <v>0.2658</v>
      </c>
      <c r="X31" s="8">
        <v>88.05</v>
      </c>
      <c r="Y31" s="8">
        <v>97</v>
      </c>
      <c r="Z31" s="8">
        <v>0.91</v>
      </c>
      <c r="AA31" s="8">
        <v>88.05</v>
      </c>
      <c r="AB31" s="8">
        <v>3.71</v>
      </c>
      <c r="AC31" s="8">
        <v>1.74</v>
      </c>
      <c r="AD31" s="8">
        <v>3</v>
      </c>
      <c r="AE31" s="8">
        <v>3</v>
      </c>
      <c r="AF31" s="11">
        <v>1</v>
      </c>
      <c r="AG31" s="8">
        <v>0</v>
      </c>
      <c r="AH31" s="8">
        <v>0</v>
      </c>
      <c r="AI31" s="11">
        <v>0</v>
      </c>
      <c r="AJ31" s="8" t="s">
        <v>95</v>
      </c>
    </row>
    <row r="32" customFormat="1" ht="22" customHeight="1" spans="1:36">
      <c r="A32" s="8" t="s">
        <v>37</v>
      </c>
      <c r="B32" s="8" t="str">
        <f>VLOOKUP(F32,[1]Sheet1!$B:$E,3,FALSE)</f>
        <v>刘欢</v>
      </c>
      <c r="C32" s="9" t="str">
        <f>VLOOKUP(F32,[1]Sheet1!$B:$E,4,FALSE)</f>
        <v>S</v>
      </c>
      <c r="D32" s="8" t="s">
        <v>96</v>
      </c>
      <c r="E32" s="8">
        <v>4.5</v>
      </c>
      <c r="F32" s="10">
        <v>6688430</v>
      </c>
      <c r="G32" s="8">
        <v>2236</v>
      </c>
      <c r="H32" s="8">
        <v>2349.32</v>
      </c>
      <c r="I32" s="8">
        <v>45.97</v>
      </c>
      <c r="J32" s="8">
        <v>36.14</v>
      </c>
      <c r="K32" s="8">
        <v>3957.41</v>
      </c>
      <c r="L32" s="8">
        <v>3951</v>
      </c>
      <c r="M32" s="11">
        <v>0.0633</v>
      </c>
      <c r="N32" s="11">
        <v>0.26</v>
      </c>
      <c r="O32" s="8">
        <v>65</v>
      </c>
      <c r="P32" s="8">
        <v>5562</v>
      </c>
      <c r="Q32" s="11">
        <v>0.0759</v>
      </c>
      <c r="R32" s="11">
        <v>0.3768</v>
      </c>
      <c r="S32" s="8">
        <v>165</v>
      </c>
      <c r="T32" s="11">
        <v>0.0945</v>
      </c>
      <c r="U32" s="11">
        <v>0.2067</v>
      </c>
      <c r="V32" s="11">
        <v>0.2086</v>
      </c>
      <c r="W32" s="11">
        <v>0.312</v>
      </c>
      <c r="X32" s="8">
        <v>192.07</v>
      </c>
      <c r="Y32" s="8">
        <v>163</v>
      </c>
      <c r="Z32" s="8">
        <v>1.18</v>
      </c>
      <c r="AA32" s="8">
        <v>192.07</v>
      </c>
      <c r="AB32" s="8">
        <v>8.18</v>
      </c>
      <c r="AC32" s="8">
        <v>1.77</v>
      </c>
      <c r="AD32" s="8">
        <v>4</v>
      </c>
      <c r="AE32" s="8">
        <v>4</v>
      </c>
      <c r="AF32" s="11">
        <v>1</v>
      </c>
      <c r="AG32" s="8">
        <v>0</v>
      </c>
      <c r="AH32" s="8">
        <v>0</v>
      </c>
      <c r="AI32" s="11">
        <v>0</v>
      </c>
      <c r="AJ32" s="8" t="s">
        <v>97</v>
      </c>
    </row>
    <row r="33" customFormat="1" ht="22" customHeight="1" spans="1:36">
      <c r="A33" s="8" t="s">
        <v>37</v>
      </c>
      <c r="B33" s="8" t="str">
        <f>VLOOKUP(F33,[1]Sheet1!$B:$E,3,FALSE)</f>
        <v>王森</v>
      </c>
      <c r="C33" s="8" t="str">
        <f>VLOOKUP(F33,[1]Sheet1!$B:$E,4,FALSE)</f>
        <v>B</v>
      </c>
      <c r="D33" s="8" t="s">
        <v>98</v>
      </c>
      <c r="E33" s="8">
        <v>4.8</v>
      </c>
      <c r="F33" s="10">
        <v>9774111</v>
      </c>
      <c r="G33" s="8">
        <v>2356</v>
      </c>
      <c r="H33" s="8">
        <v>2348.83</v>
      </c>
      <c r="I33" s="8">
        <v>37.69</v>
      </c>
      <c r="J33" s="8">
        <v>30.5</v>
      </c>
      <c r="K33" s="8">
        <v>2545.41</v>
      </c>
      <c r="L33" s="8">
        <v>2332</v>
      </c>
      <c r="M33" s="11">
        <v>0.0999</v>
      </c>
      <c r="N33" s="11">
        <v>0.3262</v>
      </c>
      <c r="O33" s="8">
        <v>77</v>
      </c>
      <c r="P33" s="8">
        <v>4293</v>
      </c>
      <c r="Q33" s="11">
        <v>0.0773</v>
      </c>
      <c r="R33" s="11">
        <v>0.238</v>
      </c>
      <c r="S33" s="8">
        <v>81</v>
      </c>
      <c r="T33" s="11">
        <v>0.1575</v>
      </c>
      <c r="U33" s="11">
        <v>0.2625</v>
      </c>
      <c r="V33" s="11">
        <v>0.2072</v>
      </c>
      <c r="W33" s="11">
        <v>0.3237</v>
      </c>
      <c r="X33" s="8">
        <v>0</v>
      </c>
      <c r="Y33" s="8">
        <v>0</v>
      </c>
      <c r="Z33" s="8">
        <v>-0.01</v>
      </c>
      <c r="AA33" s="8">
        <v>0</v>
      </c>
      <c r="AB33" s="8">
        <v>0</v>
      </c>
      <c r="AC33" s="8">
        <v>0.99</v>
      </c>
      <c r="AD33" s="8">
        <v>1</v>
      </c>
      <c r="AE33" s="8">
        <v>1</v>
      </c>
      <c r="AF33" s="11">
        <v>1</v>
      </c>
      <c r="AG33" s="8">
        <v>0</v>
      </c>
      <c r="AH33" s="8">
        <v>0</v>
      </c>
      <c r="AI33" s="11">
        <v>0</v>
      </c>
      <c r="AJ33" s="8" t="s">
        <v>99</v>
      </c>
    </row>
    <row r="34" customFormat="1" ht="22" customHeight="1" spans="1:36">
      <c r="A34" s="8" t="s">
        <v>37</v>
      </c>
      <c r="B34" s="8" t="str">
        <f>VLOOKUP(F34,[1]Sheet1!$B:$E,3,FALSE)</f>
        <v>徐从众</v>
      </c>
      <c r="C34" s="9" t="str">
        <f>VLOOKUP(F34,[1]Sheet1!$B:$E,4,FALSE)</f>
        <v>S</v>
      </c>
      <c r="D34" s="8" t="s">
        <v>100</v>
      </c>
      <c r="E34" s="8">
        <v>4.8</v>
      </c>
      <c r="F34" s="10">
        <v>17412743</v>
      </c>
      <c r="G34" s="8">
        <v>2203</v>
      </c>
      <c r="H34" s="8">
        <v>2342.31</v>
      </c>
      <c r="I34" s="8">
        <v>43.34</v>
      </c>
      <c r="J34" s="8">
        <v>33.46</v>
      </c>
      <c r="K34" s="8">
        <v>3486.53</v>
      </c>
      <c r="L34" s="8">
        <v>1722</v>
      </c>
      <c r="M34" s="11">
        <v>0.1132</v>
      </c>
      <c r="N34" s="11">
        <v>0.3538</v>
      </c>
      <c r="O34" s="8">
        <v>70</v>
      </c>
      <c r="P34" s="8">
        <v>5197</v>
      </c>
      <c r="Q34" s="11">
        <v>0.0824</v>
      </c>
      <c r="R34" s="11">
        <v>0.2407</v>
      </c>
      <c r="S34" s="8">
        <v>107</v>
      </c>
      <c r="T34" s="11">
        <v>0.1846</v>
      </c>
      <c r="U34" s="11">
        <v>0.3658</v>
      </c>
      <c r="V34" s="11">
        <v>0.1911</v>
      </c>
      <c r="W34" s="11">
        <v>0.3063</v>
      </c>
      <c r="X34" s="8">
        <v>0</v>
      </c>
      <c r="Y34" s="8">
        <v>0</v>
      </c>
      <c r="Z34" s="8">
        <v>-0.01</v>
      </c>
      <c r="AA34" s="8">
        <v>0</v>
      </c>
      <c r="AB34" s="8">
        <v>0</v>
      </c>
      <c r="AC34" s="8">
        <v>0.78</v>
      </c>
      <c r="AD34" s="8">
        <v>1</v>
      </c>
      <c r="AE34" s="8">
        <v>1</v>
      </c>
      <c r="AF34" s="11">
        <v>1</v>
      </c>
      <c r="AG34" s="8">
        <v>0</v>
      </c>
      <c r="AH34" s="8">
        <v>0</v>
      </c>
      <c r="AI34" s="11">
        <v>0</v>
      </c>
      <c r="AJ34" s="8" t="s">
        <v>101</v>
      </c>
    </row>
    <row r="35" customFormat="1" ht="22" customHeight="1" spans="1:36">
      <c r="A35" s="8" t="s">
        <v>37</v>
      </c>
      <c r="B35" s="8" t="str">
        <f>VLOOKUP(F35,[1]Sheet1!$B:$E,3,FALSE)</f>
        <v>刘欢</v>
      </c>
      <c r="C35" s="9" t="str">
        <f>VLOOKUP(F35,[1]Sheet1!$B:$E,4,FALSE)</f>
        <v>A</v>
      </c>
      <c r="D35" s="8" t="s">
        <v>102</v>
      </c>
      <c r="E35" s="8">
        <v>4.6</v>
      </c>
      <c r="F35" s="10">
        <v>25750637</v>
      </c>
      <c r="G35" s="8">
        <v>1550</v>
      </c>
      <c r="H35" s="8">
        <v>2320.81</v>
      </c>
      <c r="I35" s="8">
        <v>70.82</v>
      </c>
      <c r="J35" s="8">
        <v>53.97</v>
      </c>
      <c r="K35" s="8">
        <v>3050.71</v>
      </c>
      <c r="L35" s="8">
        <v>2041</v>
      </c>
      <c r="M35" s="11">
        <v>0.0691</v>
      </c>
      <c r="N35" s="11">
        <v>0.2979</v>
      </c>
      <c r="O35" s="8">
        <v>43</v>
      </c>
      <c r="P35" s="8">
        <v>2404</v>
      </c>
      <c r="Q35" s="11">
        <v>0.0819</v>
      </c>
      <c r="R35" s="11">
        <v>0.2487</v>
      </c>
      <c r="S35" s="8">
        <v>52</v>
      </c>
      <c r="T35" s="11">
        <v>0.1322</v>
      </c>
      <c r="U35" s="11">
        <v>0.3095</v>
      </c>
      <c r="V35" s="11">
        <v>0.1956</v>
      </c>
      <c r="W35" s="11">
        <v>0.2618</v>
      </c>
      <c r="X35" s="8">
        <v>68.36</v>
      </c>
      <c r="Y35" s="8">
        <v>72</v>
      </c>
      <c r="Z35" s="8">
        <v>0.95</v>
      </c>
      <c r="AA35" s="8">
        <v>68.36</v>
      </c>
      <c r="AB35" s="8">
        <v>2.95</v>
      </c>
      <c r="AC35" s="8">
        <v>1.32</v>
      </c>
      <c r="AD35" s="8">
        <v>6</v>
      </c>
      <c r="AE35" s="8">
        <v>6</v>
      </c>
      <c r="AF35" s="11">
        <v>1</v>
      </c>
      <c r="AG35" s="8">
        <v>0</v>
      </c>
      <c r="AH35" s="8">
        <v>0</v>
      </c>
      <c r="AI35" s="11">
        <v>0</v>
      </c>
      <c r="AJ35" s="8" t="s">
        <v>43</v>
      </c>
    </row>
    <row r="36" customFormat="1" ht="22" customHeight="1" spans="1:36">
      <c r="A36" s="8" t="s">
        <v>37</v>
      </c>
      <c r="B36" s="8" t="str">
        <f>VLOOKUP(F36,[1]Sheet1!$B:$E,3,FALSE)</f>
        <v>徐从众</v>
      </c>
      <c r="C36" s="9" t="str">
        <f>VLOOKUP(F36,[1]Sheet1!$B:$E,4,FALSE)</f>
        <v>S</v>
      </c>
      <c r="D36" s="8" t="s">
        <v>103</v>
      </c>
      <c r="E36" s="8">
        <v>4.9</v>
      </c>
      <c r="F36" s="10">
        <v>32495606</v>
      </c>
      <c r="G36" s="8">
        <v>1493</v>
      </c>
      <c r="H36" s="8">
        <v>2277.68</v>
      </c>
      <c r="I36" s="8">
        <v>55.09</v>
      </c>
      <c r="J36" s="8">
        <v>42.98</v>
      </c>
      <c r="K36" s="8">
        <v>4129.68</v>
      </c>
      <c r="L36" s="8">
        <v>2004</v>
      </c>
      <c r="M36" s="11">
        <v>0.0719</v>
      </c>
      <c r="N36" s="11">
        <v>0.3611</v>
      </c>
      <c r="O36" s="8">
        <v>53</v>
      </c>
      <c r="P36" s="8">
        <v>4644</v>
      </c>
      <c r="Q36" s="11">
        <v>0.0816</v>
      </c>
      <c r="R36" s="11">
        <v>0.3852</v>
      </c>
      <c r="S36" s="8">
        <v>149</v>
      </c>
      <c r="T36" s="11">
        <v>0.2275</v>
      </c>
      <c r="U36" s="11">
        <v>0.4677</v>
      </c>
      <c r="V36" s="11">
        <v>0.2433</v>
      </c>
      <c r="W36" s="11">
        <v>0.3318</v>
      </c>
      <c r="X36" s="8">
        <v>68</v>
      </c>
      <c r="Y36" s="8">
        <v>62</v>
      </c>
      <c r="Z36" s="8">
        <v>1.1</v>
      </c>
      <c r="AA36" s="8">
        <v>68</v>
      </c>
      <c r="AB36" s="8">
        <v>2.99</v>
      </c>
      <c r="AC36" s="8">
        <v>1.34</v>
      </c>
      <c r="AD36" s="8">
        <v>1</v>
      </c>
      <c r="AE36" s="8">
        <v>1</v>
      </c>
      <c r="AF36" s="11">
        <v>1</v>
      </c>
      <c r="AG36" s="8">
        <v>0</v>
      </c>
      <c r="AH36" s="8">
        <v>0</v>
      </c>
      <c r="AI36" s="11">
        <v>0</v>
      </c>
      <c r="AJ36" s="8" t="s">
        <v>104</v>
      </c>
    </row>
    <row r="37" customFormat="1" ht="22" customHeight="1" spans="1:36">
      <c r="A37" s="8" t="s">
        <v>37</v>
      </c>
      <c r="B37" s="8" t="str">
        <f>VLOOKUP(F37,[1]Sheet1!$B:$E,3,FALSE)</f>
        <v>徐从众</v>
      </c>
      <c r="C37" s="9" t="str">
        <f>VLOOKUP(F37,[1]Sheet1!$B:$E,4,FALSE)</f>
        <v>S</v>
      </c>
      <c r="D37" s="8" t="s">
        <v>105</v>
      </c>
      <c r="E37" s="8">
        <v>4.7</v>
      </c>
      <c r="F37" s="10">
        <v>33461146</v>
      </c>
      <c r="G37" s="8">
        <v>2186</v>
      </c>
      <c r="H37" s="8">
        <v>2256.39</v>
      </c>
      <c r="I37" s="8">
        <v>41.14</v>
      </c>
      <c r="J37" s="8">
        <v>31.78</v>
      </c>
      <c r="K37" s="8">
        <v>4033.16</v>
      </c>
      <c r="L37" s="8">
        <v>3275</v>
      </c>
      <c r="M37" s="11">
        <v>0.0922</v>
      </c>
      <c r="N37" s="11">
        <v>0.2185</v>
      </c>
      <c r="O37" s="8">
        <v>71</v>
      </c>
      <c r="P37" s="8">
        <v>5745</v>
      </c>
      <c r="Q37" s="11">
        <v>0.0816</v>
      </c>
      <c r="R37" s="11">
        <v>0.2623</v>
      </c>
      <c r="S37" s="8">
        <v>125</v>
      </c>
      <c r="T37" s="11">
        <v>0.2146</v>
      </c>
      <c r="U37" s="11">
        <v>0.4789</v>
      </c>
      <c r="V37" s="11">
        <v>0.2139</v>
      </c>
      <c r="W37" s="11">
        <v>0.3081</v>
      </c>
      <c r="X37" s="8">
        <v>154.79</v>
      </c>
      <c r="Y37" s="8">
        <v>158</v>
      </c>
      <c r="Z37" s="8">
        <v>0.98</v>
      </c>
      <c r="AA37" s="8">
        <v>154.79</v>
      </c>
      <c r="AB37" s="8">
        <v>6.86</v>
      </c>
      <c r="AC37" s="8">
        <v>1.5</v>
      </c>
      <c r="AD37" s="8">
        <v>0</v>
      </c>
      <c r="AE37" s="8">
        <v>0</v>
      </c>
      <c r="AF37" s="11">
        <v>0</v>
      </c>
      <c r="AG37" s="8">
        <v>0</v>
      </c>
      <c r="AH37" s="8">
        <v>0</v>
      </c>
      <c r="AI37" s="11">
        <v>0</v>
      </c>
      <c r="AJ37" s="8" t="s">
        <v>106</v>
      </c>
    </row>
    <row r="38" customFormat="1" ht="22" customHeight="1" spans="1:36">
      <c r="A38" s="8" t="s">
        <v>37</v>
      </c>
      <c r="B38" s="8" t="str">
        <f>VLOOKUP(F38,[1]Sheet1!$B:$E,3,FALSE)</f>
        <v>岳贝贝</v>
      </c>
      <c r="C38" s="9" t="str">
        <f>VLOOKUP(F38,[1]Sheet1!$B:$E,4,FALSE)</f>
        <v>A</v>
      </c>
      <c r="D38" s="8" t="s">
        <v>107</v>
      </c>
      <c r="E38" s="8">
        <v>4.5</v>
      </c>
      <c r="F38" s="10">
        <v>16486858</v>
      </c>
      <c r="G38" s="8">
        <v>403</v>
      </c>
      <c r="H38" s="8">
        <v>2210.11</v>
      </c>
      <c r="I38" s="8">
        <v>235.63</v>
      </c>
      <c r="J38" s="8">
        <v>200.92</v>
      </c>
      <c r="K38" s="8">
        <v>3420.32</v>
      </c>
      <c r="L38" s="8">
        <v>517</v>
      </c>
      <c r="M38" s="11">
        <v>0.0754</v>
      </c>
      <c r="N38" s="11">
        <v>0.2821</v>
      </c>
      <c r="O38" s="8">
        <v>11</v>
      </c>
      <c r="P38" s="8">
        <v>3567</v>
      </c>
      <c r="Q38" s="11">
        <v>0.0805</v>
      </c>
      <c r="R38" s="11">
        <v>0.2334</v>
      </c>
      <c r="S38" s="8">
        <v>71</v>
      </c>
      <c r="T38" s="11">
        <v>0.1204</v>
      </c>
      <c r="U38" s="11">
        <v>0.2211</v>
      </c>
      <c r="V38" s="11">
        <v>0.2147</v>
      </c>
      <c r="W38" s="11">
        <v>0.2658</v>
      </c>
      <c r="X38" s="8">
        <v>0</v>
      </c>
      <c r="Y38" s="8">
        <v>0</v>
      </c>
      <c r="Z38" s="8">
        <v>-0.01</v>
      </c>
      <c r="AA38" s="8">
        <v>0</v>
      </c>
      <c r="AB38" s="8">
        <v>0</v>
      </c>
      <c r="AC38" s="8">
        <v>1.28</v>
      </c>
      <c r="AD38" s="8">
        <v>0</v>
      </c>
      <c r="AE38" s="8">
        <v>0</v>
      </c>
      <c r="AF38" s="11">
        <v>0</v>
      </c>
      <c r="AG38" s="8">
        <v>0</v>
      </c>
      <c r="AH38" s="8">
        <v>0</v>
      </c>
      <c r="AI38" s="11">
        <v>0</v>
      </c>
      <c r="AJ38" s="8" t="s">
        <v>108</v>
      </c>
    </row>
    <row r="39" customFormat="1" ht="22" customHeight="1" spans="1:36">
      <c r="A39" s="8" t="s">
        <v>37</v>
      </c>
      <c r="B39" s="8" t="str">
        <f>VLOOKUP(F39,[1]Sheet1!$B:$E,3,FALSE)</f>
        <v>刘欢</v>
      </c>
      <c r="C39" s="9" t="str">
        <f>VLOOKUP(F39,[1]Sheet1!$B:$E,4,FALSE)</f>
        <v>A</v>
      </c>
      <c r="D39" s="8" t="s">
        <v>109</v>
      </c>
      <c r="E39" s="8">
        <v>4.6</v>
      </c>
      <c r="F39" s="10">
        <v>1862112</v>
      </c>
      <c r="G39" s="8">
        <v>2374</v>
      </c>
      <c r="H39" s="8">
        <v>2199.1</v>
      </c>
      <c r="I39" s="8">
        <v>46</v>
      </c>
      <c r="J39" s="8">
        <v>34.36</v>
      </c>
      <c r="K39" s="8">
        <v>3000.87</v>
      </c>
      <c r="L39" s="8">
        <v>3419</v>
      </c>
      <c r="M39" s="11">
        <v>0.0711</v>
      </c>
      <c r="N39" s="11">
        <v>0.2593</v>
      </c>
      <c r="O39" s="8">
        <v>64</v>
      </c>
      <c r="P39" s="8">
        <v>3699</v>
      </c>
      <c r="Q39" s="11">
        <v>0.0754</v>
      </c>
      <c r="R39" s="11">
        <v>0.3477</v>
      </c>
      <c r="S39" s="8">
        <v>99</v>
      </c>
      <c r="T39" s="11">
        <v>0.1161</v>
      </c>
      <c r="U39" s="11">
        <v>0.2434</v>
      </c>
      <c r="V39" s="11">
        <v>0.2119</v>
      </c>
      <c r="W39" s="11">
        <v>0.2809</v>
      </c>
      <c r="X39" s="8">
        <v>233.99</v>
      </c>
      <c r="Y39" s="8">
        <v>192</v>
      </c>
      <c r="Z39" s="8">
        <v>1.22</v>
      </c>
      <c r="AA39" s="8">
        <v>233.99</v>
      </c>
      <c r="AB39" s="8">
        <v>10.64</v>
      </c>
      <c r="AC39" s="8">
        <v>1.44</v>
      </c>
      <c r="AD39" s="8">
        <v>4</v>
      </c>
      <c r="AE39" s="8">
        <v>4</v>
      </c>
      <c r="AF39" s="11">
        <v>1</v>
      </c>
      <c r="AG39" s="8">
        <v>0</v>
      </c>
      <c r="AH39" s="8">
        <v>0</v>
      </c>
      <c r="AI39" s="11">
        <v>0</v>
      </c>
      <c r="AJ39" s="8" t="s">
        <v>110</v>
      </c>
    </row>
    <row r="40" customFormat="1" ht="22" customHeight="1" spans="1:36">
      <c r="A40" s="8" t="s">
        <v>37</v>
      </c>
      <c r="B40" s="8" t="e">
        <f>VLOOKUP(F40,[1]Sheet1!$B:$E,3,FALSE)</f>
        <v>#N/A</v>
      </c>
      <c r="C40" s="8" t="e">
        <f>VLOOKUP(F40,[1]Sheet1!$B:$E,4,FALSE)</f>
        <v>#N/A</v>
      </c>
      <c r="D40" s="8" t="s">
        <v>111</v>
      </c>
      <c r="E40" s="8">
        <v>4.5</v>
      </c>
      <c r="F40" s="10">
        <v>34213253</v>
      </c>
      <c r="G40" s="8">
        <v>491</v>
      </c>
      <c r="H40" s="8">
        <v>2192.87</v>
      </c>
      <c r="I40" s="8">
        <v>43.79</v>
      </c>
      <c r="J40" s="8">
        <v>32.73</v>
      </c>
      <c r="K40" s="8">
        <v>2986.84</v>
      </c>
      <c r="L40" s="8">
        <v>3991</v>
      </c>
      <c r="M40" s="11">
        <v>0.0817</v>
      </c>
      <c r="N40" s="11">
        <v>0.1871</v>
      </c>
      <c r="O40" s="8">
        <v>67</v>
      </c>
      <c r="P40" s="8">
        <v>4647</v>
      </c>
      <c r="Q40" s="11">
        <v>0.0809</v>
      </c>
      <c r="R40" s="11">
        <v>0.2633</v>
      </c>
      <c r="S40" s="8">
        <v>106</v>
      </c>
      <c r="T40" s="11">
        <v>0.1816</v>
      </c>
      <c r="U40" s="11">
        <v>1</v>
      </c>
      <c r="V40" s="11">
        <v>0.2125</v>
      </c>
      <c r="W40" s="11">
        <v>0.4368</v>
      </c>
      <c r="X40" s="8">
        <v>193.6</v>
      </c>
      <c r="Y40" s="8">
        <v>183</v>
      </c>
      <c r="Z40" s="8">
        <v>1.06</v>
      </c>
      <c r="AA40" s="8">
        <v>193.6</v>
      </c>
      <c r="AB40" s="8">
        <v>8.83</v>
      </c>
      <c r="AC40" s="8">
        <v>8.13</v>
      </c>
      <c r="AD40" s="8">
        <v>1</v>
      </c>
      <c r="AE40" s="8">
        <v>1</v>
      </c>
      <c r="AF40" s="11">
        <v>1</v>
      </c>
      <c r="AG40" s="8">
        <v>0</v>
      </c>
      <c r="AH40" s="8">
        <v>0</v>
      </c>
      <c r="AI40" s="11">
        <v>0</v>
      </c>
      <c r="AJ40" s="8" t="s">
        <v>112</v>
      </c>
    </row>
    <row r="41" customFormat="1" ht="22" customHeight="1" spans="1:36">
      <c r="A41" s="8" t="s">
        <v>37</v>
      </c>
      <c r="B41" s="8" t="str">
        <f>VLOOKUP(F41,[1]Sheet1!$B:$E,3,FALSE)</f>
        <v>刘欢</v>
      </c>
      <c r="C41" s="9" t="str">
        <f>VLOOKUP(F41,[1]Sheet1!$B:$E,4,FALSE)</f>
        <v>A</v>
      </c>
      <c r="D41" s="8" t="s">
        <v>113</v>
      </c>
      <c r="E41" s="8">
        <v>4.6</v>
      </c>
      <c r="F41" s="10">
        <v>1826706</v>
      </c>
      <c r="G41" s="8">
        <v>2600</v>
      </c>
      <c r="H41" s="8">
        <v>2184.34</v>
      </c>
      <c r="I41" s="8">
        <v>42.41</v>
      </c>
      <c r="J41" s="8">
        <v>33.61</v>
      </c>
      <c r="K41" s="8">
        <v>3699.8</v>
      </c>
      <c r="L41" s="8">
        <v>3433</v>
      </c>
      <c r="M41" s="11">
        <v>0.0664</v>
      </c>
      <c r="N41" s="11">
        <v>0.2763</v>
      </c>
      <c r="O41" s="8">
        <v>65</v>
      </c>
      <c r="P41" s="8">
        <v>6809</v>
      </c>
      <c r="Q41" s="11">
        <v>0.0715</v>
      </c>
      <c r="R41" s="11">
        <v>0.3224</v>
      </c>
      <c r="S41" s="8">
        <v>161</v>
      </c>
      <c r="T41" s="11">
        <v>0.1009</v>
      </c>
      <c r="U41" s="11">
        <v>0.2277</v>
      </c>
      <c r="V41" s="11">
        <v>0.2131</v>
      </c>
      <c r="W41" s="11">
        <v>0.3067</v>
      </c>
      <c r="X41" s="8">
        <v>111.08</v>
      </c>
      <c r="Y41" s="8">
        <v>102</v>
      </c>
      <c r="Z41" s="8">
        <v>1.09</v>
      </c>
      <c r="AA41" s="8">
        <v>111.08</v>
      </c>
      <c r="AB41" s="8">
        <v>5.09</v>
      </c>
      <c r="AC41" s="8">
        <v>1.32</v>
      </c>
      <c r="AD41" s="8">
        <v>3</v>
      </c>
      <c r="AE41" s="8">
        <v>3</v>
      </c>
      <c r="AF41" s="11">
        <v>1</v>
      </c>
      <c r="AG41" s="8">
        <v>0</v>
      </c>
      <c r="AH41" s="8">
        <v>0</v>
      </c>
      <c r="AI41" s="11">
        <v>0</v>
      </c>
      <c r="AJ41" s="8" t="s">
        <v>114</v>
      </c>
    </row>
    <row r="42" customFormat="1" ht="22" customHeight="1" spans="1:36">
      <c r="A42" s="8" t="s">
        <v>37</v>
      </c>
      <c r="B42" s="8" t="str">
        <f>VLOOKUP(F42,[1]Sheet1!$B:$E,3,FALSE)</f>
        <v>徐从众</v>
      </c>
      <c r="C42" s="9" t="str">
        <f>VLOOKUP(F42,[1]Sheet1!$B:$E,4,FALSE)</f>
        <v>S</v>
      </c>
      <c r="D42" s="8" t="s">
        <v>115</v>
      </c>
      <c r="E42" s="8">
        <v>4.6</v>
      </c>
      <c r="F42" s="10">
        <v>9987710</v>
      </c>
      <c r="G42" s="8">
        <v>1152</v>
      </c>
      <c r="H42" s="8">
        <v>2158.14</v>
      </c>
      <c r="I42" s="8">
        <v>66</v>
      </c>
      <c r="J42" s="8">
        <v>51.38</v>
      </c>
      <c r="K42" s="8">
        <v>4158.48</v>
      </c>
      <c r="L42" s="8">
        <v>1477</v>
      </c>
      <c r="M42" s="11">
        <v>0.0995</v>
      </c>
      <c r="N42" s="11">
        <v>0.2857</v>
      </c>
      <c r="O42" s="8">
        <v>42</v>
      </c>
      <c r="P42" s="8">
        <v>4808</v>
      </c>
      <c r="Q42" s="11">
        <v>0.0749</v>
      </c>
      <c r="R42" s="11">
        <v>0.2583</v>
      </c>
      <c r="S42" s="8">
        <v>97</v>
      </c>
      <c r="T42" s="11">
        <v>0.1321</v>
      </c>
      <c r="U42" s="11">
        <v>0.2939</v>
      </c>
      <c r="V42" s="11">
        <v>0.203</v>
      </c>
      <c r="W42" s="11">
        <v>0.3939</v>
      </c>
      <c r="X42" s="8">
        <v>78</v>
      </c>
      <c r="Y42" s="8">
        <v>70</v>
      </c>
      <c r="Z42" s="8">
        <v>1.11</v>
      </c>
      <c r="AA42" s="8">
        <v>78</v>
      </c>
      <c r="AB42" s="8">
        <v>3.61</v>
      </c>
      <c r="AC42" s="8">
        <v>1.28</v>
      </c>
      <c r="AD42" s="8">
        <v>1</v>
      </c>
      <c r="AE42" s="8">
        <v>1</v>
      </c>
      <c r="AF42" s="11">
        <v>1</v>
      </c>
      <c r="AG42" s="8">
        <v>0</v>
      </c>
      <c r="AH42" s="8">
        <v>0</v>
      </c>
      <c r="AI42" s="11">
        <v>0</v>
      </c>
      <c r="AJ42" s="8" t="s">
        <v>116</v>
      </c>
    </row>
    <row r="43" customFormat="1" ht="22" customHeight="1" spans="1:36">
      <c r="A43" s="8" t="s">
        <v>37</v>
      </c>
      <c r="B43" s="8" t="str">
        <f>VLOOKUP(F43,[1]Sheet1!$B:$E,3,FALSE)</f>
        <v>王森</v>
      </c>
      <c r="C43" s="9" t="str">
        <f>VLOOKUP(F43,[1]Sheet1!$B:$E,4,FALSE)</f>
        <v>A</v>
      </c>
      <c r="D43" s="8" t="s">
        <v>117</v>
      </c>
      <c r="E43" s="8">
        <v>4.7</v>
      </c>
      <c r="F43" s="10">
        <v>19034814</v>
      </c>
      <c r="G43" s="8">
        <v>1206</v>
      </c>
      <c r="H43" s="8">
        <v>2114.38</v>
      </c>
      <c r="I43" s="8">
        <v>79.2</v>
      </c>
      <c r="J43" s="8">
        <v>66.07</v>
      </c>
      <c r="K43" s="8">
        <v>4841.26</v>
      </c>
      <c r="L43" s="8">
        <v>2328</v>
      </c>
      <c r="M43" s="11">
        <v>0.0902</v>
      </c>
      <c r="N43" s="11">
        <v>0.1429</v>
      </c>
      <c r="O43" s="8">
        <v>32</v>
      </c>
      <c r="P43" s="8">
        <v>3927</v>
      </c>
      <c r="Q43" s="11">
        <v>0.0914</v>
      </c>
      <c r="R43" s="11">
        <v>0.2813</v>
      </c>
      <c r="S43" s="8">
        <v>107</v>
      </c>
      <c r="T43" s="11">
        <v>0.1341</v>
      </c>
      <c r="U43" s="11">
        <v>0.2615</v>
      </c>
      <c r="V43" s="11">
        <v>0.2377</v>
      </c>
      <c r="W43" s="11">
        <v>0.2998</v>
      </c>
      <c r="X43" s="8">
        <v>120</v>
      </c>
      <c r="Y43" s="8">
        <v>121</v>
      </c>
      <c r="Z43" s="8">
        <v>0.99</v>
      </c>
      <c r="AA43" s="8">
        <v>120</v>
      </c>
      <c r="AB43" s="8">
        <v>5.68</v>
      </c>
      <c r="AC43" s="8">
        <v>1.93</v>
      </c>
      <c r="AD43" s="8">
        <v>1</v>
      </c>
      <c r="AE43" s="8">
        <v>0</v>
      </c>
      <c r="AF43" s="11">
        <v>0</v>
      </c>
      <c r="AG43" s="8">
        <v>0</v>
      </c>
      <c r="AH43" s="8">
        <v>1</v>
      </c>
      <c r="AI43" s="11">
        <v>1</v>
      </c>
      <c r="AJ43" s="8" t="s">
        <v>118</v>
      </c>
    </row>
    <row r="44" customFormat="1" ht="22" customHeight="1" spans="1:36">
      <c r="A44" s="8" t="s">
        <v>37</v>
      </c>
      <c r="B44" s="8" t="str">
        <f>VLOOKUP(F44,[1]Sheet1!$B:$E,3,FALSE)</f>
        <v>徐从众</v>
      </c>
      <c r="C44" s="9" t="str">
        <f>VLOOKUP(F44,[1]Sheet1!$B:$E,4,FALSE)</f>
        <v>A</v>
      </c>
      <c r="D44" s="8" t="s">
        <v>119</v>
      </c>
      <c r="E44" s="8">
        <v>4.8</v>
      </c>
      <c r="F44" s="10">
        <v>8405487</v>
      </c>
      <c r="G44" s="8">
        <v>5420</v>
      </c>
      <c r="H44" s="8">
        <v>2113.79</v>
      </c>
      <c r="I44" s="8">
        <v>23.01</v>
      </c>
      <c r="J44" s="8">
        <v>12.66</v>
      </c>
      <c r="K44" s="8">
        <v>3772.2</v>
      </c>
      <c r="L44" s="8">
        <v>7794</v>
      </c>
      <c r="M44" s="11">
        <v>0.0591</v>
      </c>
      <c r="N44" s="11">
        <v>0.3362</v>
      </c>
      <c r="O44" s="8">
        <v>167</v>
      </c>
      <c r="P44" s="8">
        <v>8857</v>
      </c>
      <c r="Q44" s="11">
        <v>0.0683</v>
      </c>
      <c r="R44" s="11">
        <v>0.3372</v>
      </c>
      <c r="S44" s="8">
        <v>212</v>
      </c>
      <c r="T44" s="11">
        <v>0.1788</v>
      </c>
      <c r="U44" s="11">
        <v>0.3327</v>
      </c>
      <c r="V44" s="11">
        <v>0.2673</v>
      </c>
      <c r="W44" s="11">
        <v>0.3674</v>
      </c>
      <c r="X44" s="8">
        <v>236</v>
      </c>
      <c r="Y44" s="8">
        <v>120</v>
      </c>
      <c r="Z44" s="8">
        <v>1.97</v>
      </c>
      <c r="AA44" s="8">
        <v>236</v>
      </c>
      <c r="AB44" s="8">
        <v>11.16</v>
      </c>
      <c r="AC44" s="8">
        <v>1.44</v>
      </c>
      <c r="AD44" s="8">
        <v>2</v>
      </c>
      <c r="AE44" s="8">
        <v>2</v>
      </c>
      <c r="AF44" s="11">
        <v>1</v>
      </c>
      <c r="AG44" s="8">
        <v>0</v>
      </c>
      <c r="AH44" s="8">
        <v>0</v>
      </c>
      <c r="AI44" s="11">
        <v>0</v>
      </c>
      <c r="AJ44" s="8" t="s">
        <v>120</v>
      </c>
    </row>
    <row r="45" customFormat="1" ht="22" customHeight="1" spans="1:36">
      <c r="A45" s="8" t="s">
        <v>37</v>
      </c>
      <c r="B45" s="8" t="str">
        <f>VLOOKUP(F45,[1]Sheet1!$B:$E,3,FALSE)</f>
        <v>王森</v>
      </c>
      <c r="C45" s="9" t="str">
        <f>VLOOKUP(F45,[1]Sheet1!$B:$E,4,FALSE)</f>
        <v>A</v>
      </c>
      <c r="D45" s="8" t="s">
        <v>121</v>
      </c>
      <c r="E45" s="8">
        <v>4.9</v>
      </c>
      <c r="F45" s="10">
        <v>3211755</v>
      </c>
      <c r="G45" s="8">
        <v>1499</v>
      </c>
      <c r="H45" s="8">
        <v>2105.62</v>
      </c>
      <c r="I45" s="8">
        <v>48.89</v>
      </c>
      <c r="J45" s="8">
        <v>39.73</v>
      </c>
      <c r="K45" s="8">
        <v>2788.91</v>
      </c>
      <c r="L45" s="8">
        <v>2648</v>
      </c>
      <c r="M45" s="11">
        <v>0.094</v>
      </c>
      <c r="N45" s="11">
        <v>0.2129</v>
      </c>
      <c r="O45" s="8">
        <v>53</v>
      </c>
      <c r="P45" s="8">
        <v>3190</v>
      </c>
      <c r="Q45" s="11">
        <v>0.0947</v>
      </c>
      <c r="R45" s="11">
        <v>0.2583</v>
      </c>
      <c r="S45" s="8">
        <v>80</v>
      </c>
      <c r="T45" s="11">
        <v>0.1636</v>
      </c>
      <c r="U45" s="11">
        <v>0.3152</v>
      </c>
      <c r="V45" s="11">
        <v>0.258</v>
      </c>
      <c r="W45" s="11">
        <v>0.3431</v>
      </c>
      <c r="X45" s="8">
        <v>79.31</v>
      </c>
      <c r="Y45" s="8">
        <v>115</v>
      </c>
      <c r="Z45" s="8">
        <v>0.69</v>
      </c>
      <c r="AA45" s="8">
        <v>79.31</v>
      </c>
      <c r="AB45" s="8">
        <v>3.77</v>
      </c>
      <c r="AC45" s="8">
        <v>1.77</v>
      </c>
      <c r="AD45" s="8">
        <v>3</v>
      </c>
      <c r="AE45" s="8">
        <v>2</v>
      </c>
      <c r="AF45" s="11">
        <v>0.6667</v>
      </c>
      <c r="AG45" s="8">
        <v>0</v>
      </c>
      <c r="AH45" s="8">
        <v>1</v>
      </c>
      <c r="AI45" s="11">
        <v>0.3333</v>
      </c>
      <c r="AJ45" s="8" t="s">
        <v>122</v>
      </c>
    </row>
    <row r="46" customFormat="1" ht="22" customHeight="1" spans="1:36">
      <c r="A46" s="8" t="s">
        <v>37</v>
      </c>
      <c r="B46" s="8" t="str">
        <f>VLOOKUP(F46,[1]Sheet1!$B:$E,3,FALSE)</f>
        <v>岳贝贝</v>
      </c>
      <c r="C46" s="9" t="str">
        <f>VLOOKUP(F46,[1]Sheet1!$B:$E,4,FALSE)</f>
        <v>A</v>
      </c>
      <c r="D46" s="8" t="s">
        <v>123</v>
      </c>
      <c r="E46" s="8">
        <v>4.8</v>
      </c>
      <c r="F46" s="10">
        <v>34037024</v>
      </c>
      <c r="G46" s="8">
        <v>119</v>
      </c>
      <c r="H46" s="8">
        <v>2078.12</v>
      </c>
      <c r="I46" s="8">
        <v>109.69</v>
      </c>
      <c r="J46" s="8">
        <v>86.59</v>
      </c>
      <c r="K46" s="8">
        <v>3733.69</v>
      </c>
      <c r="L46" s="8">
        <v>1827</v>
      </c>
      <c r="M46" s="11">
        <v>0.1078</v>
      </c>
      <c r="N46" s="11">
        <v>0.1218</v>
      </c>
      <c r="O46" s="8">
        <v>24</v>
      </c>
      <c r="P46" s="8">
        <v>3984</v>
      </c>
      <c r="Q46" s="11">
        <v>0.0949</v>
      </c>
      <c r="R46" s="11">
        <v>0.3228</v>
      </c>
      <c r="S46" s="8">
        <v>125</v>
      </c>
      <c r="T46" s="11">
        <v>0.1275</v>
      </c>
      <c r="U46" s="11">
        <v>0</v>
      </c>
      <c r="V46" s="11">
        <v>0.2392</v>
      </c>
      <c r="W46" s="11">
        <v>0.3288</v>
      </c>
      <c r="X46" s="8">
        <v>90.75</v>
      </c>
      <c r="Y46" s="8">
        <v>99</v>
      </c>
      <c r="Z46" s="8">
        <v>0.92</v>
      </c>
      <c r="AA46" s="8">
        <v>90.75</v>
      </c>
      <c r="AB46" s="8">
        <v>4.37</v>
      </c>
      <c r="AC46" s="8">
        <v>15.35</v>
      </c>
      <c r="AD46" s="8">
        <v>3</v>
      </c>
      <c r="AE46" s="8">
        <v>3</v>
      </c>
      <c r="AF46" s="11">
        <v>1</v>
      </c>
      <c r="AG46" s="8">
        <v>0</v>
      </c>
      <c r="AH46" s="8">
        <v>0</v>
      </c>
      <c r="AI46" s="11">
        <v>0</v>
      </c>
      <c r="AJ46" s="8" t="s">
        <v>124</v>
      </c>
    </row>
    <row r="47" customFormat="1" ht="22" customHeight="1" spans="1:36">
      <c r="A47" s="8" t="s">
        <v>37</v>
      </c>
      <c r="B47" s="8" t="e">
        <f>VLOOKUP(F47,[1]Sheet1!$B:$E,3,FALSE)</f>
        <v>#N/A</v>
      </c>
      <c r="C47" s="8" t="e">
        <f>VLOOKUP(F47,[1]Sheet1!$B:$E,4,FALSE)</f>
        <v>#N/A</v>
      </c>
      <c r="D47" s="8" t="s">
        <v>125</v>
      </c>
      <c r="E47" s="8">
        <v>4.8</v>
      </c>
      <c r="F47" s="10">
        <v>33928848</v>
      </c>
      <c r="G47" s="8">
        <v>1195</v>
      </c>
      <c r="H47" s="8">
        <v>2076.27</v>
      </c>
      <c r="I47" s="8">
        <v>82.49</v>
      </c>
      <c r="J47" s="8">
        <v>61.07</v>
      </c>
      <c r="K47" s="8">
        <v>3257</v>
      </c>
      <c r="L47" s="8">
        <v>2592</v>
      </c>
      <c r="M47" s="11">
        <v>0.0737</v>
      </c>
      <c r="N47" s="11">
        <v>0.1623</v>
      </c>
      <c r="O47" s="8">
        <v>34</v>
      </c>
      <c r="P47" s="8">
        <v>2846</v>
      </c>
      <c r="Q47" s="11">
        <v>0.098</v>
      </c>
      <c r="R47" s="11">
        <v>0.2186</v>
      </c>
      <c r="S47" s="8">
        <v>64</v>
      </c>
      <c r="T47" s="11">
        <v>0.2135</v>
      </c>
      <c r="U47" s="11">
        <v>0.425</v>
      </c>
      <c r="V47" s="11">
        <v>0.2093</v>
      </c>
      <c r="W47" s="11">
        <v>0.3029</v>
      </c>
      <c r="X47" s="8">
        <v>57.64</v>
      </c>
      <c r="Y47" s="8">
        <v>63</v>
      </c>
      <c r="Z47" s="8">
        <v>0.91</v>
      </c>
      <c r="AA47" s="8">
        <v>57.64</v>
      </c>
      <c r="AB47" s="8">
        <v>2.78</v>
      </c>
      <c r="AC47" s="8">
        <v>2.17</v>
      </c>
      <c r="AD47" s="8">
        <v>0</v>
      </c>
      <c r="AE47" s="8">
        <v>0</v>
      </c>
      <c r="AF47" s="11">
        <v>0</v>
      </c>
      <c r="AG47" s="8">
        <v>0</v>
      </c>
      <c r="AH47" s="8">
        <v>0</v>
      </c>
      <c r="AI47" s="11">
        <v>0</v>
      </c>
      <c r="AJ47" s="8" t="s">
        <v>126</v>
      </c>
    </row>
    <row r="48" customFormat="1" ht="22" customHeight="1" spans="1:36">
      <c r="A48" s="8" t="s">
        <v>37</v>
      </c>
      <c r="B48" s="8" t="str">
        <f>VLOOKUP(F48,[1]Sheet1!$B:$E,3,FALSE)</f>
        <v>王森</v>
      </c>
      <c r="C48" s="9" t="str">
        <f>VLOOKUP(F48,[1]Sheet1!$B:$E,4,FALSE)</f>
        <v>A</v>
      </c>
      <c r="D48" s="8" t="s">
        <v>127</v>
      </c>
      <c r="E48" s="8">
        <v>4.7</v>
      </c>
      <c r="F48" s="10">
        <v>3211794</v>
      </c>
      <c r="G48" s="8">
        <v>1290</v>
      </c>
      <c r="H48" s="8">
        <v>2045.75</v>
      </c>
      <c r="I48" s="8">
        <v>61.24</v>
      </c>
      <c r="J48" s="8">
        <v>49.9</v>
      </c>
      <c r="K48" s="8">
        <v>3304.7</v>
      </c>
      <c r="L48" s="8">
        <v>2574</v>
      </c>
      <c r="M48" s="11">
        <v>0.0932</v>
      </c>
      <c r="N48" s="11">
        <v>0.1583</v>
      </c>
      <c r="O48" s="8">
        <v>41</v>
      </c>
      <c r="P48" s="8">
        <v>3819</v>
      </c>
      <c r="Q48" s="11">
        <v>0.0791</v>
      </c>
      <c r="R48" s="11">
        <v>0.245</v>
      </c>
      <c r="S48" s="8">
        <v>76</v>
      </c>
      <c r="T48" s="11">
        <v>0.1284</v>
      </c>
      <c r="U48" s="11">
        <v>0.2715</v>
      </c>
      <c r="V48" s="11">
        <v>0.1953</v>
      </c>
      <c r="W48" s="11">
        <v>0.2721</v>
      </c>
      <c r="X48" s="8">
        <v>85.78</v>
      </c>
      <c r="Y48" s="8">
        <v>108</v>
      </c>
      <c r="Z48" s="8">
        <v>0.79</v>
      </c>
      <c r="AA48" s="8">
        <v>85.78</v>
      </c>
      <c r="AB48" s="8">
        <v>4.19</v>
      </c>
      <c r="AC48" s="8">
        <v>2</v>
      </c>
      <c r="AD48" s="8">
        <v>0</v>
      </c>
      <c r="AE48" s="8">
        <v>0</v>
      </c>
      <c r="AF48" s="11">
        <v>0</v>
      </c>
      <c r="AG48" s="8">
        <v>0</v>
      </c>
      <c r="AH48" s="8">
        <v>0</v>
      </c>
      <c r="AI48" s="11">
        <v>0</v>
      </c>
      <c r="AJ48" s="8" t="s">
        <v>128</v>
      </c>
    </row>
    <row r="49" customFormat="1" ht="22" customHeight="1" spans="1:36">
      <c r="A49" s="8" t="s">
        <v>37</v>
      </c>
      <c r="B49" s="8" t="str">
        <f>VLOOKUP(F49,[1]Sheet1!$B:$E,3,FALSE)</f>
        <v>徐从众</v>
      </c>
      <c r="C49" s="9" t="str">
        <f>VLOOKUP(F49,[1]Sheet1!$B:$E,4,FALSE)</f>
        <v>S</v>
      </c>
      <c r="D49" s="8" t="s">
        <v>129</v>
      </c>
      <c r="E49" s="8">
        <v>4.7</v>
      </c>
      <c r="F49" s="10">
        <v>7138977</v>
      </c>
      <c r="G49" s="8">
        <v>2001</v>
      </c>
      <c r="H49" s="8">
        <v>2026.77</v>
      </c>
      <c r="I49" s="8">
        <v>47.35</v>
      </c>
      <c r="J49" s="8">
        <v>35.56</v>
      </c>
      <c r="K49" s="8">
        <v>6985.63</v>
      </c>
      <c r="L49" s="8">
        <v>2347</v>
      </c>
      <c r="M49" s="11">
        <v>0.1129</v>
      </c>
      <c r="N49" s="11">
        <v>0.2189</v>
      </c>
      <c r="O49" s="8">
        <v>57</v>
      </c>
      <c r="P49" s="8">
        <v>7931</v>
      </c>
      <c r="Q49" s="11">
        <v>0.0821</v>
      </c>
      <c r="R49" s="11">
        <v>0.2473</v>
      </c>
      <c r="S49" s="8">
        <v>167</v>
      </c>
      <c r="T49" s="11">
        <v>0.1575</v>
      </c>
      <c r="U49" s="11">
        <v>0.3404</v>
      </c>
      <c r="V49" s="11">
        <v>0.228</v>
      </c>
      <c r="W49" s="11">
        <v>0.3342</v>
      </c>
      <c r="X49" s="8">
        <v>150</v>
      </c>
      <c r="Y49" s="8">
        <v>167</v>
      </c>
      <c r="Z49" s="8">
        <v>0.9</v>
      </c>
      <c r="AA49" s="8">
        <v>150</v>
      </c>
      <c r="AB49" s="8">
        <v>7.4</v>
      </c>
      <c r="AC49" s="8">
        <v>1.17</v>
      </c>
      <c r="AD49" s="8">
        <v>3</v>
      </c>
      <c r="AE49" s="8">
        <v>1</v>
      </c>
      <c r="AF49" s="11">
        <v>0.3333</v>
      </c>
      <c r="AG49" s="8">
        <v>1</v>
      </c>
      <c r="AH49" s="8">
        <v>1</v>
      </c>
      <c r="AI49" s="11">
        <v>0.3333</v>
      </c>
      <c r="AJ49" s="8" t="s">
        <v>130</v>
      </c>
    </row>
    <row r="50" customFormat="1" ht="22" customHeight="1" spans="1:36">
      <c r="A50" s="8" t="s">
        <v>37</v>
      </c>
      <c r="B50" s="8" t="str">
        <f>VLOOKUP(F50,[1]Sheet1!$B:$E,3,FALSE)</f>
        <v>刘欢</v>
      </c>
      <c r="C50" s="9" t="str">
        <f>VLOOKUP(F50,[1]Sheet1!$B:$E,4,FALSE)</f>
        <v>S</v>
      </c>
      <c r="D50" s="8" t="s">
        <v>131</v>
      </c>
      <c r="E50" s="8">
        <v>4.6</v>
      </c>
      <c r="F50" s="10">
        <v>33610959</v>
      </c>
      <c r="G50" s="8">
        <v>1483</v>
      </c>
      <c r="H50" s="8">
        <v>2012.93</v>
      </c>
      <c r="I50" s="8">
        <v>35.73</v>
      </c>
      <c r="J50" s="8">
        <v>29.17</v>
      </c>
      <c r="K50" s="8">
        <v>2274.04</v>
      </c>
      <c r="L50" s="8">
        <v>3240</v>
      </c>
      <c r="M50" s="11">
        <v>0.0673</v>
      </c>
      <c r="N50" s="11">
        <v>0.3119</v>
      </c>
      <c r="O50" s="8">
        <v>69</v>
      </c>
      <c r="P50" s="8">
        <v>2974</v>
      </c>
      <c r="Q50" s="11">
        <v>0.0797</v>
      </c>
      <c r="R50" s="11">
        <v>0.3207</v>
      </c>
      <c r="S50" s="8">
        <v>77</v>
      </c>
      <c r="T50" s="11">
        <v>0.1049</v>
      </c>
      <c r="U50" s="11">
        <v>0.3264</v>
      </c>
      <c r="V50" s="11">
        <v>0.2077</v>
      </c>
      <c r="W50" s="11">
        <v>0.3026</v>
      </c>
      <c r="X50" s="8">
        <v>144.38</v>
      </c>
      <c r="Y50" s="8">
        <v>137</v>
      </c>
      <c r="Z50" s="8">
        <v>1.05</v>
      </c>
      <c r="AA50" s="8">
        <v>144.38</v>
      </c>
      <c r="AB50" s="8">
        <v>7.17</v>
      </c>
      <c r="AC50" s="8">
        <v>2.18</v>
      </c>
      <c r="AD50" s="8">
        <v>2</v>
      </c>
      <c r="AE50" s="8">
        <v>2</v>
      </c>
      <c r="AF50" s="11">
        <v>1</v>
      </c>
      <c r="AG50" s="8">
        <v>0</v>
      </c>
      <c r="AH50" s="8">
        <v>0</v>
      </c>
      <c r="AI50" s="11">
        <v>0</v>
      </c>
      <c r="AJ50" s="8" t="s">
        <v>132</v>
      </c>
    </row>
    <row r="51" customFormat="1" ht="22" customHeight="1" spans="1:36">
      <c r="A51" s="8" t="s">
        <v>37</v>
      </c>
      <c r="B51" s="8" t="str">
        <f>VLOOKUP(F51,[1]Sheet1!$B:$E,3,FALSE)</f>
        <v>岳贝贝</v>
      </c>
      <c r="C51" s="9" t="str">
        <f>VLOOKUP(F51,[1]Sheet1!$B:$E,4,FALSE)</f>
        <v>A</v>
      </c>
      <c r="D51" s="8" t="s">
        <v>133</v>
      </c>
      <c r="E51" s="8">
        <v>4.6</v>
      </c>
      <c r="F51" s="10">
        <v>31183271</v>
      </c>
      <c r="G51" s="8">
        <v>795</v>
      </c>
      <c r="H51" s="8">
        <v>2006.27</v>
      </c>
      <c r="I51" s="8">
        <v>51.2</v>
      </c>
      <c r="J51" s="8">
        <v>42.69</v>
      </c>
      <c r="K51" s="8">
        <v>4857.13</v>
      </c>
      <c r="L51" s="8">
        <v>3687</v>
      </c>
      <c r="M51" s="11">
        <v>0.1031</v>
      </c>
      <c r="N51" s="11">
        <v>0.1211</v>
      </c>
      <c r="O51" s="8">
        <v>47</v>
      </c>
      <c r="P51" s="8">
        <v>4999</v>
      </c>
      <c r="Q51" s="11">
        <v>0.0874</v>
      </c>
      <c r="R51" s="11">
        <v>0.3547</v>
      </c>
      <c r="S51" s="8">
        <v>159</v>
      </c>
      <c r="T51" s="11">
        <v>0.1201</v>
      </c>
      <c r="U51" s="11">
        <v>0.2135</v>
      </c>
      <c r="V51" s="11">
        <v>0.227</v>
      </c>
      <c r="W51" s="11">
        <v>0.3536</v>
      </c>
      <c r="X51" s="8">
        <v>0</v>
      </c>
      <c r="Y51" s="8">
        <v>0</v>
      </c>
      <c r="Z51" s="8">
        <v>-0.01</v>
      </c>
      <c r="AA51" s="8">
        <v>0</v>
      </c>
      <c r="AB51" s="8">
        <v>0</v>
      </c>
      <c r="AC51" s="8">
        <v>4.64</v>
      </c>
      <c r="AD51" s="8">
        <v>0</v>
      </c>
      <c r="AE51" s="8">
        <v>0</v>
      </c>
      <c r="AF51" s="11">
        <v>0</v>
      </c>
      <c r="AG51" s="8">
        <v>0</v>
      </c>
      <c r="AH51" s="8">
        <v>0</v>
      </c>
      <c r="AI51" s="11">
        <v>0</v>
      </c>
      <c r="AJ51" s="8" t="s">
        <v>134</v>
      </c>
    </row>
    <row r="52" customFormat="1" ht="22" customHeight="1" spans="1:36">
      <c r="A52" s="8" t="s">
        <v>37</v>
      </c>
      <c r="B52" s="8" t="str">
        <f>VLOOKUP(F52,[1]Sheet1!$B:$E,3,FALSE)</f>
        <v>王森</v>
      </c>
      <c r="C52" s="9" t="str">
        <f>VLOOKUP(F52,[1]Sheet1!$B:$E,4,FALSE)</f>
        <v>A</v>
      </c>
      <c r="D52" s="8" t="s">
        <v>135</v>
      </c>
      <c r="E52" s="8">
        <v>4.6</v>
      </c>
      <c r="F52" s="10">
        <v>26196296</v>
      </c>
      <c r="G52" s="8">
        <v>2034</v>
      </c>
      <c r="H52" s="8">
        <v>2003.01</v>
      </c>
      <c r="I52" s="8">
        <v>47.81</v>
      </c>
      <c r="J52" s="8">
        <v>32.84</v>
      </c>
      <c r="K52" s="8">
        <v>4548.31</v>
      </c>
      <c r="L52" s="8">
        <v>3857</v>
      </c>
      <c r="M52" s="11">
        <v>0.0998</v>
      </c>
      <c r="N52" s="11">
        <v>0.1506</v>
      </c>
      <c r="O52" s="8">
        <v>61</v>
      </c>
      <c r="P52" s="8">
        <v>3757</v>
      </c>
      <c r="Q52" s="11">
        <v>0.0894</v>
      </c>
      <c r="R52" s="11">
        <v>0.256</v>
      </c>
      <c r="S52" s="8">
        <v>88</v>
      </c>
      <c r="T52" s="11">
        <v>0.1354</v>
      </c>
      <c r="U52" s="11">
        <v>0.2774</v>
      </c>
      <c r="V52" s="11">
        <v>0.206</v>
      </c>
      <c r="W52" s="11">
        <v>0.2825</v>
      </c>
      <c r="X52" s="8">
        <v>292.81</v>
      </c>
      <c r="Y52" s="8">
        <v>265</v>
      </c>
      <c r="Z52" s="8">
        <v>1.1</v>
      </c>
      <c r="AA52" s="8">
        <v>292.81</v>
      </c>
      <c r="AB52" s="8">
        <v>14.62</v>
      </c>
      <c r="AC52" s="8">
        <v>1.9</v>
      </c>
      <c r="AD52" s="8">
        <v>1</v>
      </c>
      <c r="AE52" s="8">
        <v>1</v>
      </c>
      <c r="AF52" s="11">
        <v>1</v>
      </c>
      <c r="AG52" s="8">
        <v>0</v>
      </c>
      <c r="AH52" s="8">
        <v>0</v>
      </c>
      <c r="AI52" s="11">
        <v>0</v>
      </c>
      <c r="AJ52" s="8" t="s">
        <v>136</v>
      </c>
    </row>
    <row r="53" customFormat="1" ht="22" customHeight="1" spans="1:36">
      <c r="A53" s="8" t="s">
        <v>37</v>
      </c>
      <c r="B53" s="8" t="str">
        <f>VLOOKUP(F53,[1]Sheet1!$B:$E,3,FALSE)</f>
        <v>徐从众</v>
      </c>
      <c r="C53" s="9" t="str">
        <f>VLOOKUP(F53,[1]Sheet1!$B:$E,4,FALSE)</f>
        <v>A</v>
      </c>
      <c r="D53" s="8" t="s">
        <v>137</v>
      </c>
      <c r="E53" s="8">
        <v>4.5</v>
      </c>
      <c r="F53" s="10">
        <v>30815249</v>
      </c>
      <c r="G53" s="8">
        <v>1927</v>
      </c>
      <c r="H53" s="8">
        <v>1997.86</v>
      </c>
      <c r="I53" s="8">
        <v>41.19</v>
      </c>
      <c r="J53" s="8">
        <v>28.14</v>
      </c>
      <c r="K53" s="8">
        <v>3420.32</v>
      </c>
      <c r="L53" s="8">
        <v>2696</v>
      </c>
      <c r="M53" s="11">
        <v>0.0849</v>
      </c>
      <c r="N53" s="11">
        <v>0.3013</v>
      </c>
      <c r="O53" s="8">
        <v>71</v>
      </c>
      <c r="P53" s="8">
        <v>3567</v>
      </c>
      <c r="Q53" s="11">
        <v>0.0805</v>
      </c>
      <c r="R53" s="11">
        <v>0.2334</v>
      </c>
      <c r="S53" s="8">
        <v>71</v>
      </c>
      <c r="T53" s="11">
        <v>0.1707</v>
      </c>
      <c r="U53" s="11">
        <v>0.3782</v>
      </c>
      <c r="V53" s="11">
        <v>0.2147</v>
      </c>
      <c r="W53" s="11">
        <v>0.2658</v>
      </c>
      <c r="X53" s="8">
        <v>135.62</v>
      </c>
      <c r="Y53" s="8">
        <v>99</v>
      </c>
      <c r="Z53" s="8">
        <v>1.37</v>
      </c>
      <c r="AA53" s="8">
        <v>135.62</v>
      </c>
      <c r="AB53" s="8">
        <v>6.79</v>
      </c>
      <c r="AC53" s="8">
        <v>1.4</v>
      </c>
      <c r="AD53" s="8">
        <v>0</v>
      </c>
      <c r="AE53" s="8">
        <v>0</v>
      </c>
      <c r="AF53" s="11">
        <v>0</v>
      </c>
      <c r="AG53" s="8">
        <v>0</v>
      </c>
      <c r="AH53" s="8">
        <v>0</v>
      </c>
      <c r="AI53" s="11">
        <v>0</v>
      </c>
      <c r="AJ53" s="8" t="s">
        <v>138</v>
      </c>
    </row>
    <row r="54" customFormat="1" ht="22" customHeight="1" spans="1:36">
      <c r="A54" s="8" t="s">
        <v>37</v>
      </c>
      <c r="B54" s="8" t="str">
        <f>VLOOKUP(F54,[1]Sheet1!$B:$E,3,FALSE)</f>
        <v>徐从众</v>
      </c>
      <c r="C54" s="9" t="str">
        <f>VLOOKUP(F54,[1]Sheet1!$B:$E,4,FALSE)</f>
        <v>S</v>
      </c>
      <c r="D54" s="8" t="s">
        <v>139</v>
      </c>
      <c r="E54" s="8">
        <v>4.7</v>
      </c>
      <c r="F54" s="10">
        <v>31256267</v>
      </c>
      <c r="G54" s="8">
        <v>1566</v>
      </c>
      <c r="H54" s="8">
        <v>1977.65</v>
      </c>
      <c r="I54" s="8">
        <v>36.78</v>
      </c>
      <c r="J54" s="8">
        <v>27.85</v>
      </c>
      <c r="K54" s="8">
        <v>3788.23</v>
      </c>
      <c r="L54" s="8">
        <v>2926</v>
      </c>
      <c r="M54" s="11">
        <v>0.0954</v>
      </c>
      <c r="N54" s="11">
        <v>0.233</v>
      </c>
      <c r="O54" s="8">
        <v>71</v>
      </c>
      <c r="P54" s="8">
        <v>3830</v>
      </c>
      <c r="Q54" s="11">
        <v>0.0987</v>
      </c>
      <c r="R54" s="11">
        <v>0.2566</v>
      </c>
      <c r="S54" s="8">
        <v>99</v>
      </c>
      <c r="T54" s="11">
        <v>0.1306</v>
      </c>
      <c r="U54" s="11">
        <v>0.3208</v>
      </c>
      <c r="V54" s="11">
        <v>0.2226</v>
      </c>
      <c r="W54" s="11">
        <v>0.315</v>
      </c>
      <c r="X54" s="8">
        <v>200</v>
      </c>
      <c r="Y54" s="8">
        <v>161</v>
      </c>
      <c r="Z54" s="8">
        <v>1.24</v>
      </c>
      <c r="AA54" s="8">
        <v>200</v>
      </c>
      <c r="AB54" s="8">
        <v>10.11</v>
      </c>
      <c r="AC54" s="8">
        <v>1.87</v>
      </c>
      <c r="AD54" s="8">
        <v>0</v>
      </c>
      <c r="AE54" s="8">
        <v>0</v>
      </c>
      <c r="AF54" s="11">
        <v>0</v>
      </c>
      <c r="AG54" s="8">
        <v>0</v>
      </c>
      <c r="AH54" s="8">
        <v>0</v>
      </c>
      <c r="AI54" s="11">
        <v>0</v>
      </c>
      <c r="AJ54" s="8" t="s">
        <v>140</v>
      </c>
    </row>
    <row r="55" customFormat="1" ht="22" customHeight="1" spans="1:36">
      <c r="A55" s="8" t="s">
        <v>37</v>
      </c>
      <c r="B55" s="8" t="str">
        <f>VLOOKUP(F55,[1]Sheet1!$B:$E,3,FALSE)</f>
        <v>王森</v>
      </c>
      <c r="C55" s="9" t="str">
        <f>VLOOKUP(F55,[1]Sheet1!$B:$E,4,FALSE)</f>
        <v>A</v>
      </c>
      <c r="D55" s="8" t="s">
        <v>141</v>
      </c>
      <c r="E55" s="8">
        <v>4.5</v>
      </c>
      <c r="F55" s="10">
        <v>11641860</v>
      </c>
      <c r="G55" s="8">
        <v>999</v>
      </c>
      <c r="H55" s="8">
        <v>1966.27</v>
      </c>
      <c r="I55" s="8">
        <v>76.79</v>
      </c>
      <c r="J55" s="8">
        <v>63.43</v>
      </c>
      <c r="K55" s="8">
        <v>3655.05</v>
      </c>
      <c r="L55" s="8">
        <v>1375</v>
      </c>
      <c r="M55" s="11">
        <v>0.1127</v>
      </c>
      <c r="N55" s="11">
        <v>0.2</v>
      </c>
      <c r="O55" s="8">
        <v>31</v>
      </c>
      <c r="P55" s="8">
        <v>2880</v>
      </c>
      <c r="Q55" s="11">
        <v>0.0882</v>
      </c>
      <c r="R55" s="11">
        <v>0.252</v>
      </c>
      <c r="S55" s="8">
        <v>65</v>
      </c>
      <c r="T55" s="11">
        <v>0.1313</v>
      </c>
      <c r="U55" s="11">
        <v>0.2684</v>
      </c>
      <c r="V55" s="11">
        <v>0.1936</v>
      </c>
      <c r="W55" s="11">
        <v>0.2653</v>
      </c>
      <c r="X55" s="8">
        <v>22.63</v>
      </c>
      <c r="Y55" s="8">
        <v>29</v>
      </c>
      <c r="Z55" s="8">
        <v>0.78</v>
      </c>
      <c r="AA55" s="8">
        <v>22.63</v>
      </c>
      <c r="AB55" s="8">
        <v>1.15</v>
      </c>
      <c r="AC55" s="8">
        <v>1.38</v>
      </c>
      <c r="AD55" s="8">
        <v>2</v>
      </c>
      <c r="AE55" s="8">
        <v>2</v>
      </c>
      <c r="AF55" s="11">
        <v>1</v>
      </c>
      <c r="AG55" s="8">
        <v>0</v>
      </c>
      <c r="AH55" s="8">
        <v>0</v>
      </c>
      <c r="AI55" s="11">
        <v>0</v>
      </c>
      <c r="AJ55" s="8" t="s">
        <v>142</v>
      </c>
    </row>
    <row r="56" customFormat="1" ht="22" customHeight="1" spans="1:36">
      <c r="A56" s="8" t="s">
        <v>37</v>
      </c>
      <c r="B56" s="8" t="str">
        <f>VLOOKUP(F56,[1]Sheet1!$B:$E,3,FALSE)</f>
        <v>徐从众</v>
      </c>
      <c r="C56" s="9" t="str">
        <f>VLOOKUP(F56,[1]Sheet1!$B:$E,4,FALSE)</f>
        <v>S</v>
      </c>
      <c r="D56" s="8" t="s">
        <v>143</v>
      </c>
      <c r="E56" s="8">
        <v>4.8</v>
      </c>
      <c r="F56" s="10">
        <v>26657915</v>
      </c>
      <c r="G56" s="8">
        <v>2813</v>
      </c>
      <c r="H56" s="8">
        <v>1922.6</v>
      </c>
      <c r="I56" s="8">
        <v>27</v>
      </c>
      <c r="J56" s="8">
        <v>17.48</v>
      </c>
      <c r="K56" s="8">
        <v>3811</v>
      </c>
      <c r="L56" s="8">
        <v>2732</v>
      </c>
      <c r="M56" s="11">
        <v>0.0889</v>
      </c>
      <c r="N56" s="11">
        <v>0.4321</v>
      </c>
      <c r="O56" s="8">
        <v>110</v>
      </c>
      <c r="P56" s="8">
        <v>3037</v>
      </c>
      <c r="Q56" s="11">
        <v>0.1041</v>
      </c>
      <c r="R56" s="11">
        <v>0.3323</v>
      </c>
      <c r="S56" s="8">
        <v>107</v>
      </c>
      <c r="T56" s="11">
        <v>0.2453</v>
      </c>
      <c r="U56" s="11">
        <v>0.4382</v>
      </c>
      <c r="V56" s="11">
        <v>0.2405</v>
      </c>
      <c r="W56" s="11">
        <v>0.3151</v>
      </c>
      <c r="X56" s="8">
        <v>158</v>
      </c>
      <c r="Y56" s="8">
        <v>161</v>
      </c>
      <c r="Z56" s="8">
        <v>0.98</v>
      </c>
      <c r="AA56" s="8">
        <v>158</v>
      </c>
      <c r="AB56" s="8">
        <v>8.22</v>
      </c>
      <c r="AC56" s="8">
        <v>0.97</v>
      </c>
      <c r="AD56" s="8">
        <v>0</v>
      </c>
      <c r="AE56" s="8">
        <v>0</v>
      </c>
      <c r="AF56" s="11">
        <v>0</v>
      </c>
      <c r="AG56" s="8">
        <v>0</v>
      </c>
      <c r="AH56" s="8">
        <v>0</v>
      </c>
      <c r="AI56" s="11">
        <v>0</v>
      </c>
      <c r="AJ56" s="8" t="s">
        <v>144</v>
      </c>
    </row>
    <row r="57" customFormat="1" ht="22" customHeight="1" spans="1:36">
      <c r="A57" s="8" t="s">
        <v>37</v>
      </c>
      <c r="B57" s="8" t="str">
        <f>VLOOKUP(F57,[1]Sheet1!$B:$E,3,FALSE)</f>
        <v>王森</v>
      </c>
      <c r="C57" s="9" t="str">
        <f>VLOOKUP(F57,[1]Sheet1!$B:$E,4,FALSE)</f>
        <v>S</v>
      </c>
      <c r="D57" s="8" t="s">
        <v>145</v>
      </c>
      <c r="E57" s="8">
        <v>4.8</v>
      </c>
      <c r="F57" s="10">
        <v>8356389</v>
      </c>
      <c r="G57" s="8">
        <v>3841</v>
      </c>
      <c r="H57" s="8">
        <v>1907.64</v>
      </c>
      <c r="I57" s="8">
        <v>19.53</v>
      </c>
      <c r="J57" s="8">
        <v>13.25</v>
      </c>
      <c r="K57" s="8">
        <v>2698.26</v>
      </c>
      <c r="L57" s="8">
        <v>4117</v>
      </c>
      <c r="M57" s="11">
        <v>0.0806</v>
      </c>
      <c r="N57" s="11">
        <v>0.2771</v>
      </c>
      <c r="O57" s="8">
        <v>144</v>
      </c>
      <c r="P57" s="8">
        <v>3354</v>
      </c>
      <c r="Q57" s="11">
        <v>0.0829</v>
      </c>
      <c r="R57" s="11">
        <v>0.2842</v>
      </c>
      <c r="S57" s="8">
        <v>88</v>
      </c>
      <c r="T57" s="11">
        <v>0.1919</v>
      </c>
      <c r="U57" s="11">
        <v>0.4033</v>
      </c>
      <c r="V57" s="11">
        <v>0.2199</v>
      </c>
      <c r="W57" s="11">
        <v>0.2967</v>
      </c>
      <c r="X57" s="8">
        <v>185.55</v>
      </c>
      <c r="Y57" s="8">
        <v>172</v>
      </c>
      <c r="Z57" s="8">
        <v>1.08</v>
      </c>
      <c r="AA57" s="8">
        <v>185.55</v>
      </c>
      <c r="AB57" s="8">
        <v>9.73</v>
      </c>
      <c r="AC57" s="8">
        <v>1.07</v>
      </c>
      <c r="AD57" s="8">
        <v>1</v>
      </c>
      <c r="AE57" s="8">
        <v>1</v>
      </c>
      <c r="AF57" s="11">
        <v>1</v>
      </c>
      <c r="AG57" s="8">
        <v>0</v>
      </c>
      <c r="AH57" s="8">
        <v>0</v>
      </c>
      <c r="AI57" s="11">
        <v>0</v>
      </c>
      <c r="AJ57" s="8" t="s">
        <v>53</v>
      </c>
    </row>
    <row r="58" customFormat="1" ht="22" customHeight="1" spans="1:36">
      <c r="A58" s="8" t="s">
        <v>37</v>
      </c>
      <c r="B58" s="8" t="str">
        <f>VLOOKUP(F58,[1]Sheet1!$B:$E,3,FALSE)</f>
        <v>徐从众</v>
      </c>
      <c r="C58" s="9" t="str">
        <f>VLOOKUP(F58,[1]Sheet1!$B:$E,4,FALSE)</f>
        <v>S</v>
      </c>
      <c r="D58" s="8" t="s">
        <v>146</v>
      </c>
      <c r="E58" s="8">
        <v>4.6</v>
      </c>
      <c r="F58" s="10">
        <v>4349747</v>
      </c>
      <c r="G58" s="8">
        <v>1439</v>
      </c>
      <c r="H58" s="8">
        <v>1903.67</v>
      </c>
      <c r="I58" s="8">
        <v>52.07</v>
      </c>
      <c r="J58" s="8">
        <v>38.07</v>
      </c>
      <c r="K58" s="8">
        <v>3574.99</v>
      </c>
      <c r="L58" s="8">
        <v>3886</v>
      </c>
      <c r="M58" s="11">
        <v>0.0525</v>
      </c>
      <c r="N58" s="11">
        <v>0.2402</v>
      </c>
      <c r="O58" s="8">
        <v>50</v>
      </c>
      <c r="P58" s="8">
        <v>4763</v>
      </c>
      <c r="Q58" s="11">
        <v>0.0787</v>
      </c>
      <c r="R58" s="11">
        <v>0.2107</v>
      </c>
      <c r="S58" s="8">
        <v>81</v>
      </c>
      <c r="T58" s="11">
        <v>0.1181</v>
      </c>
      <c r="U58" s="11">
        <v>0.279</v>
      </c>
      <c r="V58" s="11">
        <v>0.1838</v>
      </c>
      <c r="W58" s="11">
        <v>0.2824</v>
      </c>
      <c r="X58" s="8">
        <v>145</v>
      </c>
      <c r="Y58" s="8">
        <v>141</v>
      </c>
      <c r="Z58" s="8">
        <v>1.03</v>
      </c>
      <c r="AA58" s="8">
        <v>145</v>
      </c>
      <c r="AB58" s="8">
        <v>7.62</v>
      </c>
      <c r="AC58" s="8">
        <v>2.7</v>
      </c>
      <c r="AD58" s="8">
        <v>6</v>
      </c>
      <c r="AE58" s="8">
        <v>5</v>
      </c>
      <c r="AF58" s="11">
        <v>0.8333</v>
      </c>
      <c r="AG58" s="8">
        <v>0</v>
      </c>
      <c r="AH58" s="8">
        <v>1</v>
      </c>
      <c r="AI58" s="11">
        <v>0.1667</v>
      </c>
      <c r="AJ58" s="8" t="s">
        <v>147</v>
      </c>
    </row>
    <row r="59" customFormat="1" ht="22" customHeight="1" spans="1:36">
      <c r="A59" s="8" t="s">
        <v>37</v>
      </c>
      <c r="B59" s="8" t="str">
        <f>VLOOKUP(F59,[1]Sheet1!$B:$E,3,FALSE)</f>
        <v>刘欢</v>
      </c>
      <c r="C59" s="9" t="str">
        <f>VLOOKUP(F59,[1]Sheet1!$B:$E,4,FALSE)</f>
        <v>A</v>
      </c>
      <c r="D59" s="8" t="s">
        <v>148</v>
      </c>
      <c r="E59" s="8">
        <v>4.8</v>
      </c>
      <c r="F59" s="10">
        <v>1819666</v>
      </c>
      <c r="G59" s="8">
        <v>2127</v>
      </c>
      <c r="H59" s="8">
        <v>1895.46</v>
      </c>
      <c r="I59" s="8">
        <v>48.07</v>
      </c>
      <c r="J59" s="8">
        <v>36.45</v>
      </c>
      <c r="K59" s="8">
        <v>2819.91</v>
      </c>
      <c r="L59" s="8">
        <v>2780</v>
      </c>
      <c r="M59" s="11">
        <v>0.0748</v>
      </c>
      <c r="N59" s="11">
        <v>0.25</v>
      </c>
      <c r="O59" s="8">
        <v>52</v>
      </c>
      <c r="P59" s="8">
        <v>3469</v>
      </c>
      <c r="Q59" s="11">
        <v>0.0897</v>
      </c>
      <c r="R59" s="11">
        <v>0.3408</v>
      </c>
      <c r="S59" s="8">
        <v>109</v>
      </c>
      <c r="T59" s="11">
        <v>0.1414</v>
      </c>
      <c r="U59" s="11">
        <v>0.2582</v>
      </c>
      <c r="V59" s="11">
        <v>0.239</v>
      </c>
      <c r="W59" s="11">
        <v>0.3403</v>
      </c>
      <c r="X59" s="8">
        <v>0</v>
      </c>
      <c r="Y59" s="8">
        <v>0</v>
      </c>
      <c r="Z59" s="8">
        <v>-0.01</v>
      </c>
      <c r="AA59" s="8">
        <v>0</v>
      </c>
      <c r="AB59" s="8">
        <v>0</v>
      </c>
      <c r="AC59" s="8">
        <v>1.31</v>
      </c>
      <c r="AD59" s="8">
        <v>0</v>
      </c>
      <c r="AE59" s="8">
        <v>0</v>
      </c>
      <c r="AF59" s="11">
        <v>0</v>
      </c>
      <c r="AG59" s="8">
        <v>0</v>
      </c>
      <c r="AH59" s="8">
        <v>0</v>
      </c>
      <c r="AI59" s="11">
        <v>0</v>
      </c>
      <c r="AJ59" s="8" t="s">
        <v>149</v>
      </c>
    </row>
    <row r="60" customFormat="1" ht="22" customHeight="1" spans="1:36">
      <c r="A60" s="8" t="s">
        <v>37</v>
      </c>
      <c r="B60" s="8" t="str">
        <f>VLOOKUP(F60,[1]Sheet1!$B:$E,3,FALSE)</f>
        <v>王森</v>
      </c>
      <c r="C60" s="9" t="str">
        <f>VLOOKUP(F60,[1]Sheet1!$B:$E,4,FALSE)</f>
        <v>A</v>
      </c>
      <c r="D60" s="8" t="s">
        <v>150</v>
      </c>
      <c r="E60" s="8">
        <v>4.6</v>
      </c>
      <c r="F60" s="10">
        <v>30540756</v>
      </c>
      <c r="G60" s="8">
        <v>2170</v>
      </c>
      <c r="H60" s="8">
        <v>1878.85</v>
      </c>
      <c r="I60" s="8">
        <v>24.32</v>
      </c>
      <c r="J60" s="8">
        <v>19.57</v>
      </c>
      <c r="K60" s="8">
        <v>3741.84</v>
      </c>
      <c r="L60" s="8">
        <v>3216</v>
      </c>
      <c r="M60" s="11">
        <v>0.1001</v>
      </c>
      <c r="N60" s="11">
        <v>0.2795</v>
      </c>
      <c r="O60" s="8">
        <v>96</v>
      </c>
      <c r="P60" s="8">
        <v>3031</v>
      </c>
      <c r="Q60" s="11">
        <v>0.098</v>
      </c>
      <c r="R60" s="11">
        <v>0.2492</v>
      </c>
      <c r="S60" s="8">
        <v>77</v>
      </c>
      <c r="T60" s="11">
        <v>0.1485</v>
      </c>
      <c r="U60" s="11">
        <v>0.2805</v>
      </c>
      <c r="V60" s="11">
        <v>0.215</v>
      </c>
      <c r="W60" s="11">
        <v>0.2814</v>
      </c>
      <c r="X60" s="8">
        <v>117.87</v>
      </c>
      <c r="Y60" s="8">
        <v>107</v>
      </c>
      <c r="Z60" s="8">
        <v>1.1</v>
      </c>
      <c r="AA60" s="8">
        <v>117.87</v>
      </c>
      <c r="AB60" s="8">
        <v>6.27</v>
      </c>
      <c r="AC60" s="8">
        <v>1.48</v>
      </c>
      <c r="AD60" s="8">
        <v>3</v>
      </c>
      <c r="AE60" s="8">
        <v>3</v>
      </c>
      <c r="AF60" s="11">
        <v>1</v>
      </c>
      <c r="AG60" s="8">
        <v>0</v>
      </c>
      <c r="AH60" s="8">
        <v>0</v>
      </c>
      <c r="AI60" s="11">
        <v>0</v>
      </c>
      <c r="AJ60" s="8" t="s">
        <v>151</v>
      </c>
    </row>
    <row r="61" customFormat="1" ht="22" customHeight="1" spans="1:36">
      <c r="A61" s="8" t="s">
        <v>37</v>
      </c>
      <c r="B61" s="8" t="str">
        <f>VLOOKUP(F61,[1]Sheet1!$B:$E,3,FALSE)</f>
        <v>王森</v>
      </c>
      <c r="C61" s="9" t="str">
        <f>VLOOKUP(F61,[1]Sheet1!$B:$E,4,FALSE)</f>
        <v>A</v>
      </c>
      <c r="D61" s="8" t="s">
        <v>152</v>
      </c>
      <c r="E61" s="8">
        <v>4.5</v>
      </c>
      <c r="F61" s="10">
        <v>9553140</v>
      </c>
      <c r="G61" s="8">
        <v>1761</v>
      </c>
      <c r="H61" s="8">
        <v>1864.47</v>
      </c>
      <c r="I61" s="8">
        <v>52.37</v>
      </c>
      <c r="J61" s="8">
        <v>35.86</v>
      </c>
      <c r="K61" s="8">
        <v>3574.99</v>
      </c>
      <c r="L61" s="8">
        <v>3092</v>
      </c>
      <c r="M61" s="11">
        <v>0.0951</v>
      </c>
      <c r="N61" s="11">
        <v>0.1803</v>
      </c>
      <c r="O61" s="8">
        <v>52</v>
      </c>
      <c r="P61" s="8">
        <v>4763</v>
      </c>
      <c r="Q61" s="11">
        <v>0.0787</v>
      </c>
      <c r="R61" s="11">
        <v>0.2107</v>
      </c>
      <c r="S61" s="8">
        <v>81</v>
      </c>
      <c r="T61" s="11">
        <v>0.105</v>
      </c>
      <c r="U61" s="11">
        <v>0.2475</v>
      </c>
      <c r="V61" s="11">
        <v>0.1838</v>
      </c>
      <c r="W61" s="11">
        <v>0.2824</v>
      </c>
      <c r="X61" s="8">
        <v>228.36</v>
      </c>
      <c r="Y61" s="8">
        <v>185</v>
      </c>
      <c r="Z61" s="8">
        <v>1.23</v>
      </c>
      <c r="AA61" s="8">
        <v>228.36</v>
      </c>
      <c r="AB61" s="8">
        <v>12.25</v>
      </c>
      <c r="AC61" s="8">
        <v>1.76</v>
      </c>
      <c r="AD61" s="8">
        <v>4</v>
      </c>
      <c r="AE61" s="8">
        <v>4</v>
      </c>
      <c r="AF61" s="11">
        <v>1</v>
      </c>
      <c r="AG61" s="8">
        <v>0</v>
      </c>
      <c r="AH61" s="8">
        <v>0</v>
      </c>
      <c r="AI61" s="11">
        <v>0</v>
      </c>
      <c r="AJ61" s="8" t="s">
        <v>153</v>
      </c>
    </row>
    <row r="62" customFormat="1" ht="22" customHeight="1" spans="1:36">
      <c r="A62" s="8" t="s">
        <v>37</v>
      </c>
      <c r="B62" s="8" t="str">
        <f>VLOOKUP(F62,[1]Sheet1!$B:$E,3,FALSE)</f>
        <v>徐从众</v>
      </c>
      <c r="C62" s="9" t="str">
        <f>VLOOKUP(F62,[1]Sheet1!$B:$E,4,FALSE)</f>
        <v>A</v>
      </c>
      <c r="D62" s="8" t="s">
        <v>154</v>
      </c>
      <c r="E62" s="8">
        <v>4.8</v>
      </c>
      <c r="F62" s="10">
        <v>10658471</v>
      </c>
      <c r="G62" s="8">
        <v>1444</v>
      </c>
      <c r="H62" s="8">
        <v>1843.25</v>
      </c>
      <c r="I62" s="8">
        <v>37.56</v>
      </c>
      <c r="J62" s="8">
        <v>28.8</v>
      </c>
      <c r="K62" s="8">
        <v>2841.92</v>
      </c>
      <c r="L62" s="8">
        <v>2946</v>
      </c>
      <c r="M62" s="11">
        <v>0.0981</v>
      </c>
      <c r="N62" s="11">
        <v>0.2042</v>
      </c>
      <c r="O62" s="8">
        <v>64</v>
      </c>
      <c r="P62" s="8">
        <v>3503</v>
      </c>
      <c r="Q62" s="11">
        <v>0.0862</v>
      </c>
      <c r="R62" s="11">
        <v>0.2417</v>
      </c>
      <c r="S62" s="8">
        <v>74</v>
      </c>
      <c r="T62" s="11">
        <v>0.1596</v>
      </c>
      <c r="U62" s="11">
        <v>0.3541</v>
      </c>
      <c r="V62" s="11">
        <v>0.1917</v>
      </c>
      <c r="W62" s="11">
        <v>0.2695</v>
      </c>
      <c r="X62" s="8">
        <v>118</v>
      </c>
      <c r="Y62" s="8">
        <v>133</v>
      </c>
      <c r="Z62" s="8">
        <v>0.89</v>
      </c>
      <c r="AA62" s="8">
        <v>118</v>
      </c>
      <c r="AB62" s="8">
        <v>6.4</v>
      </c>
      <c r="AC62" s="8">
        <v>2.04</v>
      </c>
      <c r="AD62" s="8">
        <v>0</v>
      </c>
      <c r="AE62" s="8">
        <v>0</v>
      </c>
      <c r="AF62" s="11">
        <v>0</v>
      </c>
      <c r="AG62" s="8">
        <v>0</v>
      </c>
      <c r="AH62" s="8">
        <v>0</v>
      </c>
      <c r="AI62" s="11">
        <v>0</v>
      </c>
      <c r="AJ62" s="8" t="s">
        <v>155</v>
      </c>
    </row>
    <row r="63" customFormat="1" ht="22" customHeight="1" spans="1:36">
      <c r="A63" s="8" t="s">
        <v>37</v>
      </c>
      <c r="B63" s="8" t="str">
        <f>VLOOKUP(F63,[1]Sheet1!$B:$E,3,FALSE)</f>
        <v>刘欢</v>
      </c>
      <c r="C63" s="9" t="str">
        <f>VLOOKUP(F63,[1]Sheet1!$B:$E,4,FALSE)</f>
        <v>A</v>
      </c>
      <c r="D63" s="8" t="s">
        <v>156</v>
      </c>
      <c r="E63" s="8">
        <v>4.5</v>
      </c>
      <c r="F63" s="10">
        <v>8490789</v>
      </c>
      <c r="G63" s="8">
        <v>1526</v>
      </c>
      <c r="H63" s="8">
        <v>1833.29</v>
      </c>
      <c r="I63" s="8">
        <v>46.93</v>
      </c>
      <c r="J63" s="8">
        <v>35.95</v>
      </c>
      <c r="K63" s="8">
        <v>3449.89</v>
      </c>
      <c r="L63" s="8">
        <v>2129</v>
      </c>
      <c r="M63" s="11">
        <v>0.0658</v>
      </c>
      <c r="N63" s="11">
        <v>0.3571</v>
      </c>
      <c r="O63" s="8">
        <v>51</v>
      </c>
      <c r="P63" s="8">
        <v>5363</v>
      </c>
      <c r="Q63" s="11">
        <v>0.0757</v>
      </c>
      <c r="R63" s="11">
        <v>0.3448</v>
      </c>
      <c r="S63" s="8">
        <v>144</v>
      </c>
      <c r="T63" s="11">
        <v>0.0771</v>
      </c>
      <c r="U63" s="11">
        <v>0.2003</v>
      </c>
      <c r="V63" s="11">
        <v>0.2388</v>
      </c>
      <c r="W63" s="11">
        <v>0.3346</v>
      </c>
      <c r="X63" s="8">
        <v>129.36</v>
      </c>
      <c r="Y63" s="8">
        <v>92</v>
      </c>
      <c r="Z63" s="8">
        <v>1.41</v>
      </c>
      <c r="AA63" s="8">
        <v>129.36</v>
      </c>
      <c r="AB63" s="8">
        <v>7.06</v>
      </c>
      <c r="AC63" s="8">
        <v>1.4</v>
      </c>
      <c r="AD63" s="8">
        <v>2</v>
      </c>
      <c r="AE63" s="8">
        <v>2</v>
      </c>
      <c r="AF63" s="11">
        <v>1</v>
      </c>
      <c r="AG63" s="8">
        <v>0</v>
      </c>
      <c r="AH63" s="8">
        <v>0</v>
      </c>
      <c r="AI63" s="11">
        <v>0</v>
      </c>
      <c r="AJ63" s="8" t="s">
        <v>157</v>
      </c>
    </row>
    <row r="64" customFormat="1" ht="22" customHeight="1" spans="1:36">
      <c r="A64" s="8" t="s">
        <v>37</v>
      </c>
      <c r="B64" s="8" t="str">
        <f>VLOOKUP(F64,[1]Sheet1!$B:$E,3,FALSE)</f>
        <v>岳贝贝</v>
      </c>
      <c r="C64" s="9" t="str">
        <f>VLOOKUP(F64,[1]Sheet1!$B:$E,4,FALSE)</f>
        <v>A</v>
      </c>
      <c r="D64" s="12" t="s">
        <v>158</v>
      </c>
      <c r="E64" s="12">
        <v>4.3</v>
      </c>
      <c r="F64" s="13">
        <v>24388057</v>
      </c>
      <c r="G64" s="8">
        <v>2387</v>
      </c>
      <c r="H64" s="8">
        <v>1832.19</v>
      </c>
      <c r="I64" s="8">
        <v>31.14</v>
      </c>
      <c r="J64" s="8">
        <v>23.19</v>
      </c>
      <c r="K64" s="8">
        <v>7251.32</v>
      </c>
      <c r="L64" s="8">
        <v>3573</v>
      </c>
      <c r="M64" s="11">
        <v>0.0778</v>
      </c>
      <c r="N64" s="11">
        <v>0.2806</v>
      </c>
      <c r="O64" s="8">
        <v>79</v>
      </c>
      <c r="P64" s="8">
        <v>9214</v>
      </c>
      <c r="Q64" s="11">
        <v>0.083</v>
      </c>
      <c r="R64" s="11">
        <v>0.3294</v>
      </c>
      <c r="S64" s="8">
        <v>256</v>
      </c>
      <c r="T64" s="11">
        <v>0.1404</v>
      </c>
      <c r="U64" s="11">
        <v>0.2082</v>
      </c>
      <c r="V64" s="11">
        <v>0.2377</v>
      </c>
      <c r="W64" s="11">
        <v>0.3177</v>
      </c>
      <c r="X64" s="8">
        <v>0</v>
      </c>
      <c r="Y64" s="8">
        <v>0</v>
      </c>
      <c r="Z64" s="8">
        <v>-0.01</v>
      </c>
      <c r="AA64" s="8">
        <v>0</v>
      </c>
      <c r="AB64" s="8">
        <v>0</v>
      </c>
      <c r="AC64" s="8">
        <v>1.5</v>
      </c>
      <c r="AD64" s="8">
        <v>0</v>
      </c>
      <c r="AE64" s="8">
        <v>0</v>
      </c>
      <c r="AF64" s="11">
        <v>0</v>
      </c>
      <c r="AG64" s="8">
        <v>0</v>
      </c>
      <c r="AH64" s="8">
        <v>0</v>
      </c>
      <c r="AI64" s="11">
        <v>0</v>
      </c>
      <c r="AJ64" s="8" t="s">
        <v>159</v>
      </c>
    </row>
    <row r="65" customFormat="1" ht="22" customHeight="1" spans="1:36">
      <c r="A65" s="8" t="s">
        <v>37</v>
      </c>
      <c r="B65" s="8" t="str">
        <f>VLOOKUP(F65,[1]Sheet1!$B:$E,3,FALSE)</f>
        <v>刘欢</v>
      </c>
      <c r="C65" s="9" t="str">
        <f>VLOOKUP(F65,[1]Sheet1!$B:$E,4,FALSE)</f>
        <v>A</v>
      </c>
      <c r="D65" s="8" t="s">
        <v>160</v>
      </c>
      <c r="E65" s="8">
        <v>4.7</v>
      </c>
      <c r="F65" s="10">
        <v>8166304</v>
      </c>
      <c r="G65" s="8">
        <v>1575</v>
      </c>
      <c r="H65" s="8">
        <v>1829.17</v>
      </c>
      <c r="I65" s="8">
        <v>55.07</v>
      </c>
      <c r="J65" s="8">
        <v>42.54</v>
      </c>
      <c r="K65" s="8">
        <v>4236.9</v>
      </c>
      <c r="L65" s="8">
        <v>1692</v>
      </c>
      <c r="M65" s="11">
        <v>0.0804</v>
      </c>
      <c r="N65" s="11">
        <v>0.3162</v>
      </c>
      <c r="O65" s="8">
        <v>43</v>
      </c>
      <c r="P65" s="8">
        <v>3218</v>
      </c>
      <c r="Q65" s="11">
        <v>0.1134</v>
      </c>
      <c r="R65" s="11">
        <v>0.3233</v>
      </c>
      <c r="S65" s="8">
        <v>121</v>
      </c>
      <c r="T65" s="11">
        <v>0.0923</v>
      </c>
      <c r="U65" s="11">
        <v>0.2406</v>
      </c>
      <c r="V65" s="11">
        <v>0.2331</v>
      </c>
      <c r="W65" s="11">
        <v>0.3009</v>
      </c>
      <c r="X65" s="8">
        <v>0</v>
      </c>
      <c r="Y65" s="8">
        <v>0</v>
      </c>
      <c r="Z65" s="8">
        <v>-0.01</v>
      </c>
      <c r="AA65" s="8">
        <v>0</v>
      </c>
      <c r="AB65" s="8">
        <v>0</v>
      </c>
      <c r="AC65" s="8">
        <v>1.07</v>
      </c>
      <c r="AD65" s="8">
        <v>1</v>
      </c>
      <c r="AE65" s="8">
        <v>1</v>
      </c>
      <c r="AF65" s="11">
        <v>1</v>
      </c>
      <c r="AG65" s="8">
        <v>0</v>
      </c>
      <c r="AH65" s="8">
        <v>0</v>
      </c>
      <c r="AI65" s="11">
        <v>0</v>
      </c>
      <c r="AJ65" s="8" t="s">
        <v>161</v>
      </c>
    </row>
    <row r="66" customFormat="1" ht="22" customHeight="1" spans="1:36">
      <c r="A66" s="8" t="s">
        <v>37</v>
      </c>
      <c r="B66" s="8" t="e">
        <f>VLOOKUP(F66,[1]Sheet1!$B:$E,3,FALSE)</f>
        <v>#N/A</v>
      </c>
      <c r="C66" s="8" t="e">
        <f>VLOOKUP(F66,[1]Sheet1!$B:$E,4,FALSE)</f>
        <v>#N/A</v>
      </c>
      <c r="D66" s="8" t="s">
        <v>162</v>
      </c>
      <c r="E66" s="8">
        <v>4.8</v>
      </c>
      <c r="F66" s="10">
        <v>32889743</v>
      </c>
      <c r="G66" s="8">
        <v>3667</v>
      </c>
      <c r="H66" s="8">
        <v>1817.86</v>
      </c>
      <c r="I66" s="8">
        <v>19.15</v>
      </c>
      <c r="J66" s="8">
        <v>13.27</v>
      </c>
      <c r="K66" s="8">
        <v>2478.84</v>
      </c>
      <c r="L66" s="8">
        <v>4864</v>
      </c>
      <c r="M66" s="11">
        <v>0.0748</v>
      </c>
      <c r="N66" s="11">
        <v>0.3764</v>
      </c>
      <c r="O66" s="8">
        <v>137</v>
      </c>
      <c r="P66" s="8">
        <v>4151</v>
      </c>
      <c r="Q66" s="11">
        <v>0.0715</v>
      </c>
      <c r="R66" s="11">
        <v>0.2088</v>
      </c>
      <c r="S66" s="8">
        <v>62</v>
      </c>
      <c r="T66" s="11">
        <v>0.2057</v>
      </c>
      <c r="U66" s="11">
        <v>0.3897</v>
      </c>
      <c r="V66" s="11">
        <v>0.1348</v>
      </c>
      <c r="W66" s="11">
        <v>0.2212</v>
      </c>
      <c r="X66" s="8">
        <v>74.65</v>
      </c>
      <c r="Y66" s="8">
        <v>80</v>
      </c>
      <c r="Z66" s="8">
        <v>0.93</v>
      </c>
      <c r="AA66" s="8">
        <v>74.65</v>
      </c>
      <c r="AB66" s="8">
        <v>4.11</v>
      </c>
      <c r="AC66" s="8">
        <v>1.33</v>
      </c>
      <c r="AD66" s="8">
        <v>1</v>
      </c>
      <c r="AE66" s="8">
        <v>1</v>
      </c>
      <c r="AF66" s="11">
        <v>1</v>
      </c>
      <c r="AG66" s="8">
        <v>0</v>
      </c>
      <c r="AH66" s="8">
        <v>0</v>
      </c>
      <c r="AI66" s="11">
        <v>0</v>
      </c>
      <c r="AJ66" s="8" t="s">
        <v>163</v>
      </c>
    </row>
    <row r="67" customFormat="1" ht="22" customHeight="1" spans="1:36">
      <c r="A67" s="8" t="s">
        <v>37</v>
      </c>
      <c r="B67" s="8" t="str">
        <f>VLOOKUP(F67,[1]Sheet1!$B:$E,3,FALSE)</f>
        <v>徐从众</v>
      </c>
      <c r="C67" s="9" t="str">
        <f>VLOOKUP(F67,[1]Sheet1!$B:$E,4,FALSE)</f>
        <v>S</v>
      </c>
      <c r="D67" s="8" t="s">
        <v>164</v>
      </c>
      <c r="E67" s="8">
        <v>4.5</v>
      </c>
      <c r="F67" s="10">
        <v>33327462</v>
      </c>
      <c r="G67" s="8">
        <v>1895</v>
      </c>
      <c r="H67" s="8">
        <v>1808.62</v>
      </c>
      <c r="I67" s="8">
        <v>46.86</v>
      </c>
      <c r="J67" s="8">
        <v>36.17</v>
      </c>
      <c r="K67" s="8">
        <v>2444.85</v>
      </c>
      <c r="L67" s="8">
        <v>1986</v>
      </c>
      <c r="M67" s="11">
        <v>0.1022</v>
      </c>
      <c r="N67" s="11">
        <v>0.2365</v>
      </c>
      <c r="O67" s="8">
        <v>50</v>
      </c>
      <c r="P67" s="8">
        <v>2572</v>
      </c>
      <c r="Q67" s="11">
        <v>0.0883</v>
      </c>
      <c r="R67" s="11">
        <v>0.2555</v>
      </c>
      <c r="S67" s="8">
        <v>61</v>
      </c>
      <c r="T67" s="11">
        <v>0.2325</v>
      </c>
      <c r="U67" s="11">
        <v>0.4411</v>
      </c>
      <c r="V67" s="11">
        <v>0.2204</v>
      </c>
      <c r="W67" s="11">
        <v>0.2981</v>
      </c>
      <c r="X67" s="8">
        <v>55.82</v>
      </c>
      <c r="Y67" s="8">
        <v>62</v>
      </c>
      <c r="Z67" s="8">
        <v>0.9</v>
      </c>
      <c r="AA67" s="8">
        <v>55.82</v>
      </c>
      <c r="AB67" s="8">
        <v>3.09</v>
      </c>
      <c r="AC67" s="8">
        <v>1.05</v>
      </c>
      <c r="AD67" s="8">
        <v>1</v>
      </c>
      <c r="AE67" s="8">
        <v>1</v>
      </c>
      <c r="AF67" s="11">
        <v>1</v>
      </c>
      <c r="AG67" s="8">
        <v>0</v>
      </c>
      <c r="AH67" s="8">
        <v>0</v>
      </c>
      <c r="AI67" s="11">
        <v>0</v>
      </c>
      <c r="AJ67" s="8" t="s">
        <v>165</v>
      </c>
    </row>
    <row r="68" customFormat="1" ht="22" customHeight="1" spans="1:36">
      <c r="A68" s="8" t="s">
        <v>37</v>
      </c>
      <c r="B68" s="8" t="str">
        <f>VLOOKUP(F68,[1]Sheet1!$B:$E,3,FALSE)</f>
        <v>王森</v>
      </c>
      <c r="C68" s="8" t="str">
        <f>VLOOKUP(F68,[1]Sheet1!$B:$E,4,FALSE)</f>
        <v>B</v>
      </c>
      <c r="D68" s="8" t="s">
        <v>166</v>
      </c>
      <c r="E68" s="8">
        <v>4.7</v>
      </c>
      <c r="F68" s="10">
        <v>13172009</v>
      </c>
      <c r="G68" s="8">
        <v>1078</v>
      </c>
      <c r="H68" s="8">
        <v>1796.65</v>
      </c>
      <c r="I68" s="8">
        <v>47.85</v>
      </c>
      <c r="J68" s="8">
        <v>33.9</v>
      </c>
      <c r="K68" s="8">
        <v>4371.91</v>
      </c>
      <c r="L68" s="8">
        <v>2185</v>
      </c>
      <c r="M68" s="11">
        <v>0.1108</v>
      </c>
      <c r="N68" s="11">
        <v>0.2025</v>
      </c>
      <c r="O68" s="8">
        <v>53</v>
      </c>
      <c r="P68" s="8">
        <v>4289</v>
      </c>
      <c r="Q68" s="11">
        <v>0.079</v>
      </c>
      <c r="R68" s="11">
        <v>0.2094</v>
      </c>
      <c r="S68" s="8">
        <v>73</v>
      </c>
      <c r="T68" s="11">
        <v>0.1509</v>
      </c>
      <c r="U68" s="11">
        <v>0.3693</v>
      </c>
      <c r="V68" s="11">
        <v>0.193</v>
      </c>
      <c r="W68" s="11">
        <v>0.2515</v>
      </c>
      <c r="X68" s="8">
        <v>50</v>
      </c>
      <c r="Y68" s="8">
        <v>40</v>
      </c>
      <c r="Z68" s="8">
        <v>1.25</v>
      </c>
      <c r="AA68" s="8">
        <v>50</v>
      </c>
      <c r="AB68" s="8">
        <v>2.78</v>
      </c>
      <c r="AC68" s="8">
        <v>2.03</v>
      </c>
      <c r="AD68" s="8">
        <v>1</v>
      </c>
      <c r="AE68" s="8">
        <v>1</v>
      </c>
      <c r="AF68" s="11">
        <v>1</v>
      </c>
      <c r="AG68" s="8">
        <v>0</v>
      </c>
      <c r="AH68" s="8">
        <v>0</v>
      </c>
      <c r="AI68" s="11">
        <v>0</v>
      </c>
      <c r="AJ68" s="8" t="s">
        <v>167</v>
      </c>
    </row>
    <row r="69" customFormat="1" ht="22" customHeight="1" spans="1:36">
      <c r="A69" s="8" t="s">
        <v>37</v>
      </c>
      <c r="B69" s="8" t="e">
        <f>VLOOKUP(F69,[1]Sheet1!$B:$E,3,FALSE)</f>
        <v>#N/A</v>
      </c>
      <c r="C69" s="8" t="e">
        <f>VLOOKUP(F69,[1]Sheet1!$B:$E,4,FALSE)</f>
        <v>#N/A</v>
      </c>
      <c r="D69" s="8" t="s">
        <v>168</v>
      </c>
      <c r="E69" s="8">
        <v>4.6</v>
      </c>
      <c r="F69" s="10">
        <v>26572988</v>
      </c>
      <c r="G69" s="8">
        <v>1860</v>
      </c>
      <c r="H69" s="8">
        <v>1796.14</v>
      </c>
      <c r="I69" s="8">
        <v>30.61</v>
      </c>
      <c r="J69" s="8">
        <v>23.95</v>
      </c>
      <c r="K69" s="8">
        <v>3152</v>
      </c>
      <c r="L69" s="8">
        <v>2757</v>
      </c>
      <c r="M69" s="11">
        <v>0.0711</v>
      </c>
      <c r="N69" s="11">
        <v>0.3776</v>
      </c>
      <c r="O69" s="8">
        <v>75</v>
      </c>
      <c r="P69" s="8">
        <v>3187</v>
      </c>
      <c r="Q69" s="11">
        <v>0.091</v>
      </c>
      <c r="R69" s="11">
        <v>0.3724</v>
      </c>
      <c r="S69" s="8">
        <v>110</v>
      </c>
      <c r="T69" s="11">
        <v>0.1302</v>
      </c>
      <c r="U69" s="11">
        <v>0.2829</v>
      </c>
      <c r="V69" s="11">
        <v>0.2268</v>
      </c>
      <c r="W69" s="11">
        <v>0.3001</v>
      </c>
      <c r="X69" s="8">
        <v>80</v>
      </c>
      <c r="Y69" s="8">
        <v>72</v>
      </c>
      <c r="Z69" s="8">
        <v>1.11</v>
      </c>
      <c r="AA69" s="8">
        <v>80</v>
      </c>
      <c r="AB69" s="8">
        <v>4.45</v>
      </c>
      <c r="AC69" s="8">
        <v>1.48</v>
      </c>
      <c r="AD69" s="8">
        <v>0</v>
      </c>
      <c r="AE69" s="8">
        <v>0</v>
      </c>
      <c r="AF69" s="11">
        <v>0</v>
      </c>
      <c r="AG69" s="8">
        <v>0</v>
      </c>
      <c r="AH69" s="8">
        <v>0</v>
      </c>
      <c r="AI69" s="11">
        <v>0</v>
      </c>
      <c r="AJ69" s="8" t="s">
        <v>169</v>
      </c>
    </row>
    <row r="70" customFormat="1" ht="22" customHeight="1" spans="1:36">
      <c r="A70" s="8" t="s">
        <v>37</v>
      </c>
      <c r="B70" s="8" t="str">
        <f>VLOOKUP(F70,[1]Sheet1!$B:$E,3,FALSE)</f>
        <v>王森</v>
      </c>
      <c r="C70" s="8">
        <f>VLOOKUP(F70,[1]Sheet1!$B:$E,4,FALSE)</f>
        <v>0</v>
      </c>
      <c r="D70" s="8" t="s">
        <v>170</v>
      </c>
      <c r="E70" s="8">
        <v>4.8</v>
      </c>
      <c r="F70" s="10">
        <v>25802748</v>
      </c>
      <c r="G70" s="8">
        <v>914</v>
      </c>
      <c r="H70" s="8">
        <v>1770.11</v>
      </c>
      <c r="I70" s="8">
        <v>73.34</v>
      </c>
      <c r="J70" s="8">
        <v>57.1</v>
      </c>
      <c r="K70" s="8">
        <v>2214.21</v>
      </c>
      <c r="L70" s="8">
        <v>2320</v>
      </c>
      <c r="M70" s="11">
        <v>0.0832</v>
      </c>
      <c r="N70" s="11">
        <v>0.1554</v>
      </c>
      <c r="O70" s="8">
        <v>31</v>
      </c>
      <c r="P70" s="8">
        <v>4689</v>
      </c>
      <c r="Q70" s="11">
        <v>0.0604</v>
      </c>
      <c r="R70" s="11">
        <v>0.2827</v>
      </c>
      <c r="S70" s="8">
        <v>82</v>
      </c>
      <c r="T70" s="11">
        <v>0.1624</v>
      </c>
      <c r="U70" s="11">
        <v>0.279</v>
      </c>
      <c r="V70" s="11">
        <v>0.2014</v>
      </c>
      <c r="W70" s="11">
        <v>0.3129</v>
      </c>
      <c r="X70" s="8">
        <v>150</v>
      </c>
      <c r="Y70" s="8">
        <v>109</v>
      </c>
      <c r="Z70" s="8">
        <v>1.38</v>
      </c>
      <c r="AA70" s="8">
        <v>150</v>
      </c>
      <c r="AB70" s="8">
        <v>8.47</v>
      </c>
      <c r="AC70" s="8">
        <v>2.54</v>
      </c>
      <c r="AD70" s="8">
        <v>2</v>
      </c>
      <c r="AE70" s="8">
        <v>2</v>
      </c>
      <c r="AF70" s="11">
        <v>1</v>
      </c>
      <c r="AG70" s="8">
        <v>0</v>
      </c>
      <c r="AH70" s="8">
        <v>0</v>
      </c>
      <c r="AI70" s="11">
        <v>0</v>
      </c>
      <c r="AJ70" s="8" t="s">
        <v>171</v>
      </c>
    </row>
    <row r="71" customFormat="1" ht="22" customHeight="1" spans="1:36">
      <c r="A71" s="8" t="s">
        <v>37</v>
      </c>
      <c r="B71" s="8" t="str">
        <f>VLOOKUP(F71,[1]Sheet1!$B:$E,3,FALSE)</f>
        <v>徐从众</v>
      </c>
      <c r="C71" s="9" t="str">
        <f>VLOOKUP(F71,[1]Sheet1!$B:$E,4,FALSE)</f>
        <v>A</v>
      </c>
      <c r="D71" s="8" t="s">
        <v>172</v>
      </c>
      <c r="E71" s="8">
        <v>4.7</v>
      </c>
      <c r="F71" s="10">
        <v>16079755</v>
      </c>
      <c r="G71" s="8">
        <v>1006</v>
      </c>
      <c r="H71" s="8">
        <v>1766.6</v>
      </c>
      <c r="I71" s="8">
        <v>82.15</v>
      </c>
      <c r="J71" s="8">
        <v>65.43</v>
      </c>
      <c r="K71" s="8">
        <v>3578.84</v>
      </c>
      <c r="L71" s="8">
        <v>2934</v>
      </c>
      <c r="M71" s="11">
        <v>0.075</v>
      </c>
      <c r="N71" s="11">
        <v>0.0955</v>
      </c>
      <c r="O71" s="8">
        <v>27</v>
      </c>
      <c r="P71" s="8">
        <v>3923</v>
      </c>
      <c r="Q71" s="11">
        <v>0.0785</v>
      </c>
      <c r="R71" s="11">
        <v>0.2597</v>
      </c>
      <c r="S71" s="8">
        <v>83</v>
      </c>
      <c r="T71" s="11">
        <v>0.1168</v>
      </c>
      <c r="U71" s="11">
        <v>0.2909</v>
      </c>
      <c r="V71" s="11">
        <v>0.1898</v>
      </c>
      <c r="W71" s="11">
        <v>0.2766</v>
      </c>
      <c r="X71" s="8">
        <v>166</v>
      </c>
      <c r="Y71" s="8">
        <v>194</v>
      </c>
      <c r="Z71" s="8">
        <v>0.86</v>
      </c>
      <c r="AA71" s="8">
        <v>166</v>
      </c>
      <c r="AB71" s="8">
        <v>9.4</v>
      </c>
      <c r="AC71" s="8">
        <v>2.92</v>
      </c>
      <c r="AD71" s="8">
        <v>0</v>
      </c>
      <c r="AE71" s="8">
        <v>0</v>
      </c>
      <c r="AF71" s="11">
        <v>0</v>
      </c>
      <c r="AG71" s="8">
        <v>0</v>
      </c>
      <c r="AH71" s="8">
        <v>0</v>
      </c>
      <c r="AI71" s="11">
        <v>0</v>
      </c>
      <c r="AJ71" s="8" t="s">
        <v>173</v>
      </c>
    </row>
    <row r="72" customFormat="1" ht="22" customHeight="1" spans="1:36">
      <c r="A72" s="8" t="s">
        <v>37</v>
      </c>
      <c r="B72" s="8" t="str">
        <f>VLOOKUP(F72,[1]Sheet1!$B:$E,3,FALSE)</f>
        <v>王森</v>
      </c>
      <c r="C72" s="9" t="str">
        <f>VLOOKUP(F72,[1]Sheet1!$B:$E,4,FALSE)</f>
        <v>A</v>
      </c>
      <c r="D72" s="8" t="s">
        <v>174</v>
      </c>
      <c r="E72" s="8">
        <v>4.4</v>
      </c>
      <c r="F72" s="10">
        <v>30261719</v>
      </c>
      <c r="G72" s="8">
        <v>2153</v>
      </c>
      <c r="H72" s="8">
        <v>1735.56</v>
      </c>
      <c r="I72" s="8">
        <v>25.98</v>
      </c>
      <c r="J72" s="8">
        <v>20.42</v>
      </c>
      <c r="K72" s="8">
        <v>3538.71</v>
      </c>
      <c r="L72" s="8">
        <v>3337</v>
      </c>
      <c r="M72" s="11">
        <v>0.0887</v>
      </c>
      <c r="N72" s="11">
        <v>0.2804</v>
      </c>
      <c r="O72" s="8">
        <v>85</v>
      </c>
      <c r="P72" s="8">
        <v>4052</v>
      </c>
      <c r="Q72" s="11">
        <v>0.0908</v>
      </c>
      <c r="R72" s="11">
        <v>0.2717</v>
      </c>
      <c r="S72" s="8">
        <v>102</v>
      </c>
      <c r="T72" s="11">
        <v>0.1712</v>
      </c>
      <c r="U72" s="11">
        <v>0.3274</v>
      </c>
      <c r="V72" s="11">
        <v>0.2268</v>
      </c>
      <c r="W72" s="11">
        <v>0.3037</v>
      </c>
      <c r="X72" s="8">
        <v>0</v>
      </c>
      <c r="Y72" s="8">
        <v>0</v>
      </c>
      <c r="Z72" s="8">
        <v>-0.01</v>
      </c>
      <c r="AA72" s="8">
        <v>0</v>
      </c>
      <c r="AB72" s="8">
        <v>0</v>
      </c>
      <c r="AC72" s="8">
        <v>1.55</v>
      </c>
      <c r="AD72" s="8">
        <v>4</v>
      </c>
      <c r="AE72" s="8">
        <v>4</v>
      </c>
      <c r="AF72" s="11">
        <v>1</v>
      </c>
      <c r="AG72" s="8">
        <v>0</v>
      </c>
      <c r="AH72" s="8">
        <v>0</v>
      </c>
      <c r="AI72" s="11">
        <v>0</v>
      </c>
      <c r="AJ72" s="8" t="s">
        <v>175</v>
      </c>
    </row>
    <row r="73" customFormat="1" ht="22" customHeight="1" spans="1:36">
      <c r="A73" s="8" t="s">
        <v>37</v>
      </c>
      <c r="B73" s="8" t="str">
        <f>VLOOKUP(F73,[1]Sheet1!$B:$E,3,FALSE)</f>
        <v>王森</v>
      </c>
      <c r="C73" s="9" t="str">
        <f>VLOOKUP(F73,[1]Sheet1!$B:$E,4,FALSE)</f>
        <v>A</v>
      </c>
      <c r="D73" s="8" t="s">
        <v>176</v>
      </c>
      <c r="E73" s="8">
        <v>4.4</v>
      </c>
      <c r="F73" s="10">
        <v>15906808</v>
      </c>
      <c r="G73" s="8">
        <v>707</v>
      </c>
      <c r="H73" s="8">
        <v>1730.67</v>
      </c>
      <c r="I73" s="8">
        <v>64.38</v>
      </c>
      <c r="J73" s="8">
        <v>50.9</v>
      </c>
      <c r="K73" s="8">
        <v>4092.34</v>
      </c>
      <c r="L73" s="8">
        <v>1222</v>
      </c>
      <c r="M73" s="11">
        <v>0.1277</v>
      </c>
      <c r="N73" s="11">
        <v>0.2179</v>
      </c>
      <c r="O73" s="8">
        <v>34</v>
      </c>
      <c r="P73" s="8">
        <v>4095</v>
      </c>
      <c r="Q73" s="11">
        <v>0.0884</v>
      </c>
      <c r="R73" s="11">
        <v>0.2928</v>
      </c>
      <c r="S73" s="8">
        <v>110</v>
      </c>
      <c r="T73" s="11">
        <v>0.108</v>
      </c>
      <c r="U73" s="11">
        <v>0.2572</v>
      </c>
      <c r="V73" s="11">
        <v>0.2397</v>
      </c>
      <c r="W73" s="11">
        <v>0.3384</v>
      </c>
      <c r="X73" s="8">
        <v>49.91</v>
      </c>
      <c r="Y73" s="8">
        <v>63</v>
      </c>
      <c r="Z73" s="8">
        <v>0.79</v>
      </c>
      <c r="AA73" s="8">
        <v>49.91</v>
      </c>
      <c r="AB73" s="8">
        <v>2.88</v>
      </c>
      <c r="AC73" s="8">
        <v>1.73</v>
      </c>
      <c r="AD73" s="8">
        <v>0</v>
      </c>
      <c r="AE73" s="8">
        <v>0</v>
      </c>
      <c r="AF73" s="11">
        <v>0</v>
      </c>
      <c r="AG73" s="8">
        <v>0</v>
      </c>
      <c r="AH73" s="8">
        <v>0</v>
      </c>
      <c r="AI73" s="11">
        <v>0</v>
      </c>
      <c r="AJ73" s="8" t="s">
        <v>177</v>
      </c>
    </row>
    <row r="74" customFormat="1" ht="22" customHeight="1" spans="1:36">
      <c r="A74" s="8" t="s">
        <v>37</v>
      </c>
      <c r="B74" s="8" t="str">
        <f>VLOOKUP(F74,[1]Sheet1!$B:$E,3,FALSE)</f>
        <v>徐从众</v>
      </c>
      <c r="C74" s="9" t="str">
        <f>VLOOKUP(F74,[1]Sheet1!$B:$E,4,FALSE)</f>
        <v>A</v>
      </c>
      <c r="D74" s="8" t="s">
        <v>178</v>
      </c>
      <c r="E74" s="8">
        <v>4.8</v>
      </c>
      <c r="F74" s="10">
        <v>25459247</v>
      </c>
      <c r="G74" s="8">
        <v>1951</v>
      </c>
      <c r="H74" s="8">
        <v>1724.68</v>
      </c>
      <c r="I74" s="8">
        <v>30.7</v>
      </c>
      <c r="J74" s="8">
        <v>24.29</v>
      </c>
      <c r="K74" s="8">
        <v>2128.37</v>
      </c>
      <c r="L74" s="8">
        <v>2348</v>
      </c>
      <c r="M74" s="11">
        <v>0.0916</v>
      </c>
      <c r="N74" s="11">
        <v>0.3256</v>
      </c>
      <c r="O74" s="8">
        <v>71</v>
      </c>
      <c r="P74" s="8">
        <v>3760</v>
      </c>
      <c r="Q74" s="11">
        <v>0.0691</v>
      </c>
      <c r="R74" s="11">
        <v>0.3038</v>
      </c>
      <c r="S74" s="8">
        <v>80</v>
      </c>
      <c r="T74" s="11">
        <v>0.1681</v>
      </c>
      <c r="U74" s="11">
        <v>0.3911</v>
      </c>
      <c r="V74" s="11">
        <v>0.2022</v>
      </c>
      <c r="W74" s="11">
        <v>0.314</v>
      </c>
      <c r="X74" s="8">
        <v>48.9</v>
      </c>
      <c r="Y74" s="8">
        <v>79</v>
      </c>
      <c r="Z74" s="8">
        <v>0.62</v>
      </c>
      <c r="AA74" s="8">
        <v>48.9</v>
      </c>
      <c r="AB74" s="8">
        <v>2.84</v>
      </c>
      <c r="AC74" s="8">
        <v>1.2</v>
      </c>
      <c r="AD74" s="8">
        <v>7</v>
      </c>
      <c r="AE74" s="8">
        <v>7</v>
      </c>
      <c r="AF74" s="11">
        <v>1</v>
      </c>
      <c r="AG74" s="8">
        <v>0</v>
      </c>
      <c r="AH74" s="8">
        <v>0</v>
      </c>
      <c r="AI74" s="11">
        <v>0</v>
      </c>
      <c r="AJ74" s="8" t="s">
        <v>179</v>
      </c>
    </row>
    <row r="75" customFormat="1" ht="22" customHeight="1" spans="1:36">
      <c r="A75" s="8" t="s">
        <v>37</v>
      </c>
      <c r="B75" s="8" t="e">
        <f>VLOOKUP(F75,[1]Sheet1!$B:$E,3,FALSE)</f>
        <v>#N/A</v>
      </c>
      <c r="C75" s="8" t="e">
        <f>VLOOKUP(F75,[1]Sheet1!$B:$E,4,FALSE)</f>
        <v>#N/A</v>
      </c>
      <c r="D75" s="8" t="s">
        <v>180</v>
      </c>
      <c r="E75" s="8">
        <v>4.8</v>
      </c>
      <c r="F75" s="10">
        <v>34170842</v>
      </c>
      <c r="G75" s="8">
        <v>192</v>
      </c>
      <c r="H75" s="8">
        <v>1721.98</v>
      </c>
      <c r="I75" s="8">
        <v>48.53</v>
      </c>
      <c r="J75" s="8">
        <v>37.43</v>
      </c>
      <c r="K75" s="8">
        <v>3904.65</v>
      </c>
      <c r="L75" s="8">
        <v>2647</v>
      </c>
      <c r="M75" s="11">
        <v>0.0744</v>
      </c>
      <c r="N75" s="11">
        <v>0.2284</v>
      </c>
      <c r="O75" s="8">
        <v>46</v>
      </c>
      <c r="P75" s="8">
        <v>3825</v>
      </c>
      <c r="Q75" s="11">
        <v>0.0889</v>
      </c>
      <c r="R75" s="11">
        <v>0.3088</v>
      </c>
      <c r="S75" s="8">
        <v>110</v>
      </c>
      <c r="T75" s="11">
        <v>0.1307</v>
      </c>
      <c r="U75" s="11">
        <v>0</v>
      </c>
      <c r="V75" s="11">
        <v>0.2415</v>
      </c>
      <c r="W75" s="11">
        <v>0.3157</v>
      </c>
      <c r="X75" s="8">
        <v>100</v>
      </c>
      <c r="Y75" s="8">
        <v>104</v>
      </c>
      <c r="Z75" s="8">
        <v>0.96</v>
      </c>
      <c r="AA75" s="8">
        <v>100</v>
      </c>
      <c r="AB75" s="8">
        <v>5.81</v>
      </c>
      <c r="AC75" s="8">
        <v>13.79</v>
      </c>
      <c r="AD75" s="8">
        <v>6</v>
      </c>
      <c r="AE75" s="8">
        <v>6</v>
      </c>
      <c r="AF75" s="11">
        <v>1</v>
      </c>
      <c r="AG75" s="8">
        <v>0</v>
      </c>
      <c r="AH75" s="8">
        <v>0</v>
      </c>
      <c r="AI75" s="11">
        <v>0</v>
      </c>
      <c r="AJ75" s="8" t="s">
        <v>181</v>
      </c>
    </row>
    <row r="76" customFormat="1" ht="22" customHeight="1" spans="1:36">
      <c r="A76" s="8" t="s">
        <v>37</v>
      </c>
      <c r="B76" s="8" t="str">
        <f>VLOOKUP(F76,[1]Sheet1!$B:$E,3,FALSE)</f>
        <v>刘欢</v>
      </c>
      <c r="C76" s="9" t="str">
        <f>VLOOKUP(F76,[1]Sheet1!$B:$E,4,FALSE)</f>
        <v>A</v>
      </c>
      <c r="D76" s="8" t="s">
        <v>182</v>
      </c>
      <c r="E76" s="8">
        <v>4.4</v>
      </c>
      <c r="F76" s="10">
        <v>3506749</v>
      </c>
      <c r="G76" s="8">
        <v>1746</v>
      </c>
      <c r="H76" s="8">
        <v>1710.5</v>
      </c>
      <c r="I76" s="8">
        <v>50.83</v>
      </c>
      <c r="J76" s="8">
        <v>38.88</v>
      </c>
      <c r="K76" s="8">
        <v>3235.15</v>
      </c>
      <c r="L76" s="8">
        <v>3175</v>
      </c>
      <c r="M76" s="11">
        <v>0.0529</v>
      </c>
      <c r="N76" s="11">
        <v>0.256</v>
      </c>
      <c r="O76" s="8">
        <v>44</v>
      </c>
      <c r="P76" s="8">
        <v>3299</v>
      </c>
      <c r="Q76" s="11">
        <v>0.0858</v>
      </c>
      <c r="R76" s="11">
        <v>0.3498</v>
      </c>
      <c r="S76" s="8">
        <v>101</v>
      </c>
      <c r="T76" s="11">
        <v>0.0889</v>
      </c>
      <c r="U76" s="11">
        <v>0.2037</v>
      </c>
      <c r="V76" s="11">
        <v>0.2112</v>
      </c>
      <c r="W76" s="11">
        <v>0.3001</v>
      </c>
      <c r="X76" s="8">
        <v>150</v>
      </c>
      <c r="Y76" s="8">
        <v>124</v>
      </c>
      <c r="Z76" s="8">
        <v>1.21</v>
      </c>
      <c r="AA76" s="8">
        <v>150</v>
      </c>
      <c r="AB76" s="8">
        <v>8.77</v>
      </c>
      <c r="AC76" s="8">
        <v>1.82</v>
      </c>
      <c r="AD76" s="8">
        <v>2</v>
      </c>
      <c r="AE76" s="8">
        <v>2</v>
      </c>
      <c r="AF76" s="11">
        <v>1</v>
      </c>
      <c r="AG76" s="8">
        <v>0</v>
      </c>
      <c r="AH76" s="8">
        <v>0</v>
      </c>
      <c r="AI76" s="11">
        <v>0</v>
      </c>
      <c r="AJ76" s="8" t="s">
        <v>183</v>
      </c>
    </row>
    <row r="77" customFormat="1" ht="22" customHeight="1" spans="1:36">
      <c r="A77" s="8" t="s">
        <v>37</v>
      </c>
      <c r="B77" s="8" t="str">
        <f>VLOOKUP(F77,[1]Sheet1!$B:$E,3,FALSE)</f>
        <v>徐从众</v>
      </c>
      <c r="C77" s="9" t="str">
        <f>VLOOKUP(F77,[1]Sheet1!$B:$E,4,FALSE)</f>
        <v>A</v>
      </c>
      <c r="D77" s="8" t="s">
        <v>184</v>
      </c>
      <c r="E77" s="8">
        <v>4.6</v>
      </c>
      <c r="F77" s="10">
        <v>32943240</v>
      </c>
      <c r="G77" s="8">
        <v>1237</v>
      </c>
      <c r="H77" s="8">
        <v>1706.6</v>
      </c>
      <c r="I77" s="8">
        <v>42.64</v>
      </c>
      <c r="J77" s="8">
        <v>33.46</v>
      </c>
      <c r="K77" s="8">
        <v>5180.97</v>
      </c>
      <c r="L77" s="8">
        <v>2801</v>
      </c>
      <c r="M77" s="11">
        <v>0.1078</v>
      </c>
      <c r="N77" s="11">
        <v>0.1623</v>
      </c>
      <c r="O77" s="8">
        <v>51</v>
      </c>
      <c r="P77" s="8">
        <v>3153</v>
      </c>
      <c r="Q77" s="11">
        <v>0.0872</v>
      </c>
      <c r="R77" s="11">
        <v>0.2364</v>
      </c>
      <c r="S77" s="8">
        <v>68</v>
      </c>
      <c r="T77" s="11">
        <v>0.1533</v>
      </c>
      <c r="U77" s="11">
        <v>0.2889</v>
      </c>
      <c r="V77" s="11">
        <v>0.2183</v>
      </c>
      <c r="W77" s="11">
        <v>0.2828</v>
      </c>
      <c r="X77" s="8">
        <v>194.56</v>
      </c>
      <c r="Y77" s="8">
        <v>188</v>
      </c>
      <c r="Z77" s="8">
        <v>1.03</v>
      </c>
      <c r="AA77" s="8">
        <v>194.56</v>
      </c>
      <c r="AB77" s="8">
        <v>11.4</v>
      </c>
      <c r="AC77" s="8">
        <v>2.26</v>
      </c>
      <c r="AD77" s="8">
        <v>0</v>
      </c>
      <c r="AE77" s="8">
        <v>0</v>
      </c>
      <c r="AF77" s="11">
        <v>0</v>
      </c>
      <c r="AG77" s="8">
        <v>0</v>
      </c>
      <c r="AH77" s="8">
        <v>0</v>
      </c>
      <c r="AI77" s="11">
        <v>0</v>
      </c>
      <c r="AJ77" s="8" t="s">
        <v>185</v>
      </c>
    </row>
    <row r="78" customFormat="1" ht="22" customHeight="1" spans="1:36">
      <c r="A78" s="8" t="s">
        <v>37</v>
      </c>
      <c r="B78" s="8" t="str">
        <f>VLOOKUP(F78,[1]Sheet1!$B:$E,3,FALSE)</f>
        <v>徐从众</v>
      </c>
      <c r="C78" s="9" t="str">
        <f>VLOOKUP(F78,[1]Sheet1!$B:$E,4,FALSE)</f>
        <v>A</v>
      </c>
      <c r="D78" s="8" t="s">
        <v>186</v>
      </c>
      <c r="E78" s="8">
        <v>4.7</v>
      </c>
      <c r="F78" s="10">
        <v>523227</v>
      </c>
      <c r="G78" s="8">
        <v>708</v>
      </c>
      <c r="H78" s="8">
        <v>1696.61</v>
      </c>
      <c r="I78" s="8">
        <v>94.21</v>
      </c>
      <c r="J78" s="8">
        <v>77.12</v>
      </c>
      <c r="K78" s="8">
        <v>4069.41</v>
      </c>
      <c r="L78" s="8">
        <v>643</v>
      </c>
      <c r="M78" s="11">
        <v>0.1198</v>
      </c>
      <c r="N78" s="11">
        <v>0.2857</v>
      </c>
      <c r="O78" s="8">
        <v>22</v>
      </c>
      <c r="P78" s="8">
        <v>4389</v>
      </c>
      <c r="Q78" s="11">
        <v>0.0841</v>
      </c>
      <c r="R78" s="11">
        <v>0.2249</v>
      </c>
      <c r="S78" s="8">
        <v>85</v>
      </c>
      <c r="T78" s="11">
        <v>0.0988</v>
      </c>
      <c r="U78" s="11">
        <v>0.2238</v>
      </c>
      <c r="V78" s="11">
        <v>0.1945</v>
      </c>
      <c r="W78" s="11">
        <v>0.279</v>
      </c>
      <c r="X78" s="8">
        <v>0</v>
      </c>
      <c r="Y78" s="8">
        <v>0</v>
      </c>
      <c r="Z78" s="8">
        <v>-0.01</v>
      </c>
      <c r="AA78" s="8">
        <v>0</v>
      </c>
      <c r="AB78" s="8">
        <v>0</v>
      </c>
      <c r="AC78" s="8">
        <v>0.91</v>
      </c>
      <c r="AD78" s="8">
        <v>0</v>
      </c>
      <c r="AE78" s="8">
        <v>0</v>
      </c>
      <c r="AF78" s="11">
        <v>0</v>
      </c>
      <c r="AG78" s="8">
        <v>0</v>
      </c>
      <c r="AH78" s="8">
        <v>0</v>
      </c>
      <c r="AI78" s="11">
        <v>0</v>
      </c>
      <c r="AJ78" s="8" t="s">
        <v>187</v>
      </c>
    </row>
    <row r="79" customFormat="1" ht="22" customHeight="1" spans="1:36">
      <c r="A79" s="8" t="s">
        <v>37</v>
      </c>
      <c r="B79" s="8" t="str">
        <f>VLOOKUP(F79,[1]Sheet1!$B:$E,3,FALSE)</f>
        <v>徐从众</v>
      </c>
      <c r="C79" s="9" t="str">
        <f>VLOOKUP(F79,[1]Sheet1!$B:$E,4,FALSE)</f>
        <v>S</v>
      </c>
      <c r="D79" s="8" t="s">
        <v>188</v>
      </c>
      <c r="E79" s="8">
        <v>4.9</v>
      </c>
      <c r="F79" s="10">
        <v>29295748</v>
      </c>
      <c r="G79" s="8">
        <v>2250</v>
      </c>
      <c r="H79" s="8">
        <v>1696.53</v>
      </c>
      <c r="I79" s="8">
        <v>28.58</v>
      </c>
      <c r="J79" s="8">
        <v>19.96</v>
      </c>
      <c r="K79" s="8">
        <v>3286.32</v>
      </c>
      <c r="L79" s="8">
        <v>2427</v>
      </c>
      <c r="M79" s="11">
        <v>0.0791</v>
      </c>
      <c r="N79" s="11">
        <v>0.4271</v>
      </c>
      <c r="O79" s="8">
        <v>85</v>
      </c>
      <c r="P79" s="8">
        <v>3651</v>
      </c>
      <c r="Q79" s="11">
        <v>0.0841</v>
      </c>
      <c r="R79" s="11">
        <v>0.3257</v>
      </c>
      <c r="S79" s="8">
        <v>103</v>
      </c>
      <c r="T79" s="11">
        <v>0.2114</v>
      </c>
      <c r="U79" s="11">
        <v>0.3967</v>
      </c>
      <c r="V79" s="11">
        <v>0.2158</v>
      </c>
      <c r="W79" s="11">
        <v>0.3035</v>
      </c>
      <c r="X79" s="8">
        <v>75.67</v>
      </c>
      <c r="Y79" s="8">
        <v>86</v>
      </c>
      <c r="Z79" s="8">
        <v>0.88</v>
      </c>
      <c r="AA79" s="8">
        <v>75.67</v>
      </c>
      <c r="AB79" s="8">
        <v>4.46</v>
      </c>
      <c r="AC79" s="8">
        <v>1.08</v>
      </c>
      <c r="AD79" s="8">
        <v>1</v>
      </c>
      <c r="AE79" s="8">
        <v>1</v>
      </c>
      <c r="AF79" s="11">
        <v>1</v>
      </c>
      <c r="AG79" s="8">
        <v>0</v>
      </c>
      <c r="AH79" s="8">
        <v>0</v>
      </c>
      <c r="AI79" s="11">
        <v>0</v>
      </c>
      <c r="AJ79" s="8" t="s">
        <v>189</v>
      </c>
    </row>
    <row r="80" customFormat="1" ht="22" customHeight="1" spans="1:36">
      <c r="A80" s="8" t="s">
        <v>37</v>
      </c>
      <c r="B80" s="8" t="str">
        <f>VLOOKUP(F80,[1]Sheet1!$B:$E,3,FALSE)</f>
        <v>王森</v>
      </c>
      <c r="C80" s="9" t="str">
        <f>VLOOKUP(F80,[1]Sheet1!$B:$E,4,FALSE)</f>
        <v>A</v>
      </c>
      <c r="D80" s="8" t="s">
        <v>190</v>
      </c>
      <c r="E80" s="8">
        <v>4.6</v>
      </c>
      <c r="F80" s="10">
        <v>532719</v>
      </c>
      <c r="G80" s="8">
        <v>2138</v>
      </c>
      <c r="H80" s="8">
        <v>1683.23</v>
      </c>
      <c r="I80" s="8">
        <v>43.52</v>
      </c>
      <c r="J80" s="8">
        <v>30.6</v>
      </c>
      <c r="K80" s="8">
        <v>5843.77</v>
      </c>
      <c r="L80" s="8">
        <v>3438</v>
      </c>
      <c r="M80" s="11">
        <v>0.0928</v>
      </c>
      <c r="N80" s="11">
        <v>0.1661</v>
      </c>
      <c r="O80" s="8">
        <v>55</v>
      </c>
      <c r="P80" s="8">
        <v>5998</v>
      </c>
      <c r="Q80" s="11">
        <v>0.0879</v>
      </c>
      <c r="R80" s="11">
        <v>0.2638</v>
      </c>
      <c r="S80" s="8">
        <v>144</v>
      </c>
      <c r="T80" s="11">
        <v>0.0995</v>
      </c>
      <c r="U80" s="11">
        <v>0.2775</v>
      </c>
      <c r="V80" s="11">
        <v>0.2085</v>
      </c>
      <c r="W80" s="11">
        <v>0.3078</v>
      </c>
      <c r="X80" s="8">
        <v>205.32</v>
      </c>
      <c r="Y80" s="8">
        <v>181</v>
      </c>
      <c r="Z80" s="8">
        <v>1.13</v>
      </c>
      <c r="AA80" s="8">
        <v>205.32</v>
      </c>
      <c r="AB80" s="8">
        <v>12.2</v>
      </c>
      <c r="AC80" s="8">
        <v>1.61</v>
      </c>
      <c r="AD80" s="8">
        <v>1</v>
      </c>
      <c r="AE80" s="8">
        <v>1</v>
      </c>
      <c r="AF80" s="11">
        <v>1</v>
      </c>
      <c r="AG80" s="8">
        <v>0</v>
      </c>
      <c r="AH80" s="8">
        <v>0</v>
      </c>
      <c r="AI80" s="11">
        <v>0</v>
      </c>
      <c r="AJ80" s="8" t="s">
        <v>191</v>
      </c>
    </row>
    <row r="81" customFormat="1" ht="22" customHeight="1" spans="1:36">
      <c r="A81" s="8" t="s">
        <v>37</v>
      </c>
      <c r="B81" s="8" t="str">
        <f>VLOOKUP(F81,[1]Sheet1!$B:$E,3,FALSE)</f>
        <v>岳贝贝</v>
      </c>
      <c r="C81" s="9" t="str">
        <f>VLOOKUP(F81,[1]Sheet1!$B:$E,4,FALSE)</f>
        <v>A</v>
      </c>
      <c r="D81" s="8" t="s">
        <v>192</v>
      </c>
      <c r="E81" s="8">
        <v>4.7</v>
      </c>
      <c r="F81" s="10">
        <v>33668586</v>
      </c>
      <c r="G81" s="8">
        <v>1017</v>
      </c>
      <c r="H81" s="8">
        <v>1669.97</v>
      </c>
      <c r="I81" s="8">
        <v>56.67</v>
      </c>
      <c r="J81" s="8">
        <v>45.13</v>
      </c>
      <c r="K81" s="8">
        <v>1418.38</v>
      </c>
      <c r="L81" s="8">
        <v>1682</v>
      </c>
      <c r="M81" s="11">
        <v>0.0963</v>
      </c>
      <c r="N81" s="11">
        <v>0.2222</v>
      </c>
      <c r="O81" s="8">
        <v>37</v>
      </c>
      <c r="P81" s="8">
        <v>857</v>
      </c>
      <c r="Q81" s="11">
        <v>0.0945</v>
      </c>
      <c r="R81" s="11">
        <v>0.2222</v>
      </c>
      <c r="S81" s="8">
        <v>19</v>
      </c>
      <c r="T81" s="11">
        <v>0.1399</v>
      </c>
      <c r="U81" s="11">
        <v>0.3667</v>
      </c>
      <c r="V81" s="11">
        <v>0.1666</v>
      </c>
      <c r="W81" s="11">
        <v>0.35</v>
      </c>
      <c r="X81" s="8">
        <v>77.86</v>
      </c>
      <c r="Y81" s="8">
        <v>64</v>
      </c>
      <c r="Z81" s="8">
        <v>1.22</v>
      </c>
      <c r="AA81" s="8">
        <v>77.86</v>
      </c>
      <c r="AB81" s="8">
        <v>4.66</v>
      </c>
      <c r="AC81" s="8">
        <v>1.65</v>
      </c>
      <c r="AD81" s="8">
        <v>1</v>
      </c>
      <c r="AE81" s="8">
        <v>1</v>
      </c>
      <c r="AF81" s="11">
        <v>1</v>
      </c>
      <c r="AG81" s="8">
        <v>0</v>
      </c>
      <c r="AH81" s="8">
        <v>0</v>
      </c>
      <c r="AI81" s="11">
        <v>0</v>
      </c>
      <c r="AJ81" s="8" t="s">
        <v>193</v>
      </c>
    </row>
    <row r="82" customFormat="1" ht="22" customHeight="1" spans="1:36">
      <c r="A82" s="8" t="s">
        <v>37</v>
      </c>
      <c r="B82" s="8" t="str">
        <f>VLOOKUP(F82,[1]Sheet1!$B:$E,3,FALSE)</f>
        <v>岳贝贝</v>
      </c>
      <c r="C82" s="9" t="str">
        <f>VLOOKUP(F82,[1]Sheet1!$B:$E,4,FALSE)</f>
        <v>A</v>
      </c>
      <c r="D82" s="8" t="s">
        <v>194</v>
      </c>
      <c r="E82" s="8">
        <v>4.7</v>
      </c>
      <c r="F82" s="10">
        <v>21432036</v>
      </c>
      <c r="G82" s="8">
        <v>412</v>
      </c>
      <c r="H82" s="8">
        <v>1660.06</v>
      </c>
      <c r="I82" s="8">
        <v>200.48</v>
      </c>
      <c r="J82" s="8">
        <v>166.01</v>
      </c>
      <c r="K82" s="8">
        <v>3317.29</v>
      </c>
      <c r="L82" s="8">
        <v>799</v>
      </c>
      <c r="M82" s="11">
        <v>0.0914</v>
      </c>
      <c r="N82" s="11">
        <v>0.137</v>
      </c>
      <c r="O82" s="8">
        <v>10</v>
      </c>
      <c r="P82" s="8">
        <v>5111</v>
      </c>
      <c r="Q82" s="11">
        <v>0.0624</v>
      </c>
      <c r="R82" s="11">
        <v>0.2508</v>
      </c>
      <c r="S82" s="8">
        <v>82</v>
      </c>
      <c r="T82" s="11">
        <v>0.1295</v>
      </c>
      <c r="U82" s="11">
        <v>0.1989</v>
      </c>
      <c r="V82" s="11">
        <v>0.2063</v>
      </c>
      <c r="W82" s="11">
        <v>0.3056</v>
      </c>
      <c r="X82" s="8">
        <v>0</v>
      </c>
      <c r="Y82" s="8">
        <v>0</v>
      </c>
      <c r="Z82" s="8">
        <v>-0.01</v>
      </c>
      <c r="AA82" s="8">
        <v>0</v>
      </c>
      <c r="AB82" s="8">
        <v>0</v>
      </c>
      <c r="AC82" s="8">
        <v>1.94</v>
      </c>
      <c r="AD82" s="8">
        <v>1</v>
      </c>
      <c r="AE82" s="8">
        <v>1</v>
      </c>
      <c r="AF82" s="11">
        <v>1</v>
      </c>
      <c r="AG82" s="8">
        <v>0</v>
      </c>
      <c r="AH82" s="8">
        <v>0</v>
      </c>
      <c r="AI82" s="11">
        <v>0</v>
      </c>
      <c r="AJ82" s="8" t="s">
        <v>195</v>
      </c>
    </row>
    <row r="83" customFormat="1" ht="22" customHeight="1" spans="1:36">
      <c r="A83" s="8" t="s">
        <v>37</v>
      </c>
      <c r="B83" s="8" t="str">
        <f>VLOOKUP(F83,[1]Sheet1!$B:$E,3,FALSE)</f>
        <v>王森</v>
      </c>
      <c r="C83" s="8" t="str">
        <f>VLOOKUP(F83,[1]Sheet1!$B:$E,4,FALSE)</f>
        <v>B</v>
      </c>
      <c r="D83" s="8" t="s">
        <v>196</v>
      </c>
      <c r="E83" s="8">
        <v>4.6</v>
      </c>
      <c r="F83" s="10">
        <v>16193990</v>
      </c>
      <c r="G83" s="8">
        <v>1731</v>
      </c>
      <c r="H83" s="8">
        <v>1655.85</v>
      </c>
      <c r="I83" s="8">
        <v>30.98</v>
      </c>
      <c r="J83" s="8">
        <v>25.09</v>
      </c>
      <c r="K83" s="8">
        <v>3785.86</v>
      </c>
      <c r="L83" s="8">
        <v>1662</v>
      </c>
      <c r="M83" s="11">
        <v>0.1191</v>
      </c>
      <c r="N83" s="11">
        <v>0.3283</v>
      </c>
      <c r="O83" s="8">
        <v>66</v>
      </c>
      <c r="P83" s="8">
        <v>4701</v>
      </c>
      <c r="Q83" s="11">
        <v>0.0862</v>
      </c>
      <c r="R83" s="11">
        <v>0.2025</v>
      </c>
      <c r="S83" s="8">
        <v>83</v>
      </c>
      <c r="T83" s="11">
        <v>0.1614</v>
      </c>
      <c r="U83" s="11">
        <v>0.274</v>
      </c>
      <c r="V83" s="11">
        <v>0.1978</v>
      </c>
      <c r="W83" s="11">
        <v>0.2846</v>
      </c>
      <c r="X83" s="8">
        <v>0</v>
      </c>
      <c r="Y83" s="8">
        <v>0</v>
      </c>
      <c r="Z83" s="8">
        <v>-0.01</v>
      </c>
      <c r="AA83" s="8">
        <v>0</v>
      </c>
      <c r="AB83" s="8">
        <v>0</v>
      </c>
      <c r="AC83" s="8">
        <v>0.96</v>
      </c>
      <c r="AD83" s="8">
        <v>1</v>
      </c>
      <c r="AE83" s="8">
        <v>1</v>
      </c>
      <c r="AF83" s="11">
        <v>1</v>
      </c>
      <c r="AG83" s="8">
        <v>0</v>
      </c>
      <c r="AH83" s="8">
        <v>0</v>
      </c>
      <c r="AI83" s="11">
        <v>0</v>
      </c>
      <c r="AJ83" s="8" t="s">
        <v>197</v>
      </c>
    </row>
    <row r="84" customFormat="1" ht="22" customHeight="1" spans="1:36">
      <c r="A84" s="8" t="s">
        <v>37</v>
      </c>
      <c r="B84" s="8" t="str">
        <f>VLOOKUP(F84,[1]Sheet1!$B:$E,3,FALSE)</f>
        <v>王森</v>
      </c>
      <c r="C84" s="9" t="str">
        <f>VLOOKUP(F84,[1]Sheet1!$B:$E,4,FALSE)</f>
        <v>S</v>
      </c>
      <c r="D84" s="8" t="s">
        <v>198</v>
      </c>
      <c r="E84" s="8">
        <v>4.4</v>
      </c>
      <c r="F84" s="10">
        <v>33401201</v>
      </c>
      <c r="G84" s="8">
        <v>905</v>
      </c>
      <c r="H84" s="8">
        <v>1655.14</v>
      </c>
      <c r="I84" s="8">
        <v>74.06</v>
      </c>
      <c r="J84" s="8">
        <v>55.17</v>
      </c>
      <c r="K84" s="8">
        <v>4205.95</v>
      </c>
      <c r="L84" s="8">
        <v>1898</v>
      </c>
      <c r="M84" s="11">
        <v>0.0917</v>
      </c>
      <c r="N84" s="11">
        <v>0.1609</v>
      </c>
      <c r="O84" s="8">
        <v>30</v>
      </c>
      <c r="P84" s="8">
        <v>4637</v>
      </c>
      <c r="Q84" s="11">
        <v>0.0839</v>
      </c>
      <c r="R84" s="11">
        <v>0.2391</v>
      </c>
      <c r="S84" s="8">
        <v>95</v>
      </c>
      <c r="T84" s="11">
        <v>0.1903</v>
      </c>
      <c r="U84" s="11">
        <v>0.3252</v>
      </c>
      <c r="V84" s="11">
        <v>0.2019</v>
      </c>
      <c r="W84" s="11">
        <v>0.2971</v>
      </c>
      <c r="X84" s="8">
        <v>100</v>
      </c>
      <c r="Y84" s="8">
        <v>88</v>
      </c>
      <c r="Z84" s="8">
        <v>1.14</v>
      </c>
      <c r="AA84" s="8">
        <v>100</v>
      </c>
      <c r="AB84" s="8">
        <v>6.04</v>
      </c>
      <c r="AC84" s="8">
        <v>2.1</v>
      </c>
      <c r="AD84" s="8">
        <v>1</v>
      </c>
      <c r="AE84" s="8">
        <v>1</v>
      </c>
      <c r="AF84" s="11">
        <v>1</v>
      </c>
      <c r="AG84" s="8">
        <v>0</v>
      </c>
      <c r="AH84" s="8">
        <v>0</v>
      </c>
      <c r="AI84" s="11">
        <v>0</v>
      </c>
      <c r="AJ84" s="8" t="s">
        <v>199</v>
      </c>
    </row>
    <row r="85" customFormat="1" ht="22" customHeight="1" spans="1:36">
      <c r="A85" s="8" t="s">
        <v>37</v>
      </c>
      <c r="B85" s="8" t="e">
        <f>VLOOKUP(F85,[1]Sheet1!$B:$E,3,FALSE)</f>
        <v>#N/A</v>
      </c>
      <c r="C85" s="8" t="e">
        <f>VLOOKUP(F85,[1]Sheet1!$B:$E,4,FALSE)</f>
        <v>#N/A</v>
      </c>
      <c r="D85" s="8" t="s">
        <v>200</v>
      </c>
      <c r="E85" s="8">
        <v>4.5</v>
      </c>
      <c r="F85" s="10">
        <v>21436425</v>
      </c>
      <c r="G85" s="8">
        <v>118</v>
      </c>
      <c r="H85" s="8">
        <v>1646.79</v>
      </c>
      <c r="I85" s="8">
        <v>224.83</v>
      </c>
      <c r="J85" s="8">
        <v>182.98</v>
      </c>
      <c r="K85" s="8">
        <v>2545.41</v>
      </c>
      <c r="L85" s="8">
        <v>334</v>
      </c>
      <c r="M85" s="11">
        <v>0.0928</v>
      </c>
      <c r="N85" s="11">
        <v>0.2903</v>
      </c>
      <c r="O85" s="8">
        <v>9</v>
      </c>
      <c r="P85" s="8">
        <v>4293</v>
      </c>
      <c r="Q85" s="11">
        <v>0.0773</v>
      </c>
      <c r="R85" s="11">
        <v>0.238</v>
      </c>
      <c r="S85" s="8">
        <v>81</v>
      </c>
      <c r="T85" s="11">
        <v>0.1961</v>
      </c>
      <c r="U85" s="11">
        <v>0.1429</v>
      </c>
      <c r="V85" s="11">
        <v>0.2072</v>
      </c>
      <c r="W85" s="11">
        <v>0.3237</v>
      </c>
      <c r="X85" s="8">
        <v>0</v>
      </c>
      <c r="Y85" s="8">
        <v>0</v>
      </c>
      <c r="Z85" s="8">
        <v>-0.01</v>
      </c>
      <c r="AA85" s="8">
        <v>0</v>
      </c>
      <c r="AB85" s="8">
        <v>0</v>
      </c>
      <c r="AC85" s="8">
        <v>2.83</v>
      </c>
      <c r="AD85" s="8">
        <v>0</v>
      </c>
      <c r="AE85" s="8">
        <v>0</v>
      </c>
      <c r="AF85" s="11">
        <v>0</v>
      </c>
      <c r="AG85" s="8">
        <v>0</v>
      </c>
      <c r="AH85" s="8">
        <v>0</v>
      </c>
      <c r="AI85" s="11">
        <v>0</v>
      </c>
      <c r="AJ85" s="8" t="s">
        <v>201</v>
      </c>
    </row>
    <row r="86" customFormat="1" ht="22" customHeight="1" spans="1:36">
      <c r="A86" s="8" t="s">
        <v>37</v>
      </c>
      <c r="B86" s="8" t="str">
        <f>VLOOKUP(F86,[1]Sheet1!$B:$E,3,FALSE)</f>
        <v>徐从众</v>
      </c>
      <c r="C86" s="9" t="str">
        <f>VLOOKUP(F86,[1]Sheet1!$B:$E,4,FALSE)</f>
        <v>A</v>
      </c>
      <c r="D86" s="8" t="s">
        <v>202</v>
      </c>
      <c r="E86" s="8">
        <v>4.6</v>
      </c>
      <c r="F86" s="10">
        <v>17815684</v>
      </c>
      <c r="G86" s="8">
        <v>1007</v>
      </c>
      <c r="H86" s="8">
        <v>1639.64</v>
      </c>
      <c r="I86" s="8">
        <v>58.68</v>
      </c>
      <c r="J86" s="8">
        <v>43.15</v>
      </c>
      <c r="K86" s="8">
        <v>3655.05</v>
      </c>
      <c r="L86" s="8">
        <v>1673</v>
      </c>
      <c r="M86" s="11">
        <v>0.0652</v>
      </c>
      <c r="N86" s="11">
        <v>0.3394</v>
      </c>
      <c r="O86" s="8">
        <v>38</v>
      </c>
      <c r="P86" s="8">
        <v>2880</v>
      </c>
      <c r="Q86" s="11">
        <v>0.0882</v>
      </c>
      <c r="R86" s="11">
        <v>0.252</v>
      </c>
      <c r="S86" s="8">
        <v>65</v>
      </c>
      <c r="T86" s="11">
        <v>0.1405</v>
      </c>
      <c r="U86" s="11">
        <v>0.2308</v>
      </c>
      <c r="V86" s="11">
        <v>0.1936</v>
      </c>
      <c r="W86" s="11">
        <v>0.2653</v>
      </c>
      <c r="X86" s="8">
        <v>29.78</v>
      </c>
      <c r="Y86" s="8">
        <v>35</v>
      </c>
      <c r="Z86" s="8">
        <v>0.85</v>
      </c>
      <c r="AA86" s="8">
        <v>29.78</v>
      </c>
      <c r="AB86" s="8">
        <v>1.82</v>
      </c>
      <c r="AC86" s="8">
        <v>1.66</v>
      </c>
      <c r="AD86" s="8">
        <v>6</v>
      </c>
      <c r="AE86" s="8">
        <v>6</v>
      </c>
      <c r="AF86" s="11">
        <v>1</v>
      </c>
      <c r="AG86" s="8">
        <v>0</v>
      </c>
      <c r="AH86" s="8">
        <v>0</v>
      </c>
      <c r="AI86" s="11">
        <v>0</v>
      </c>
      <c r="AJ86" s="8" t="s">
        <v>203</v>
      </c>
    </row>
    <row r="87" customFormat="1" ht="22" customHeight="1" spans="1:36">
      <c r="A87" s="8" t="s">
        <v>37</v>
      </c>
      <c r="B87" s="8" t="str">
        <f>VLOOKUP(F87,[1]Sheet1!$B:$E,3,FALSE)</f>
        <v>岳贝贝</v>
      </c>
      <c r="C87" s="9" t="str">
        <f>VLOOKUP(F87,[1]Sheet1!$B:$E,4,FALSE)</f>
        <v>A</v>
      </c>
      <c r="D87" s="12" t="s">
        <v>204</v>
      </c>
      <c r="E87" s="12">
        <v>4.3</v>
      </c>
      <c r="F87" s="13">
        <v>5415728</v>
      </c>
      <c r="G87" s="8">
        <v>419</v>
      </c>
      <c r="H87" s="8">
        <v>1615.34</v>
      </c>
      <c r="I87" s="8">
        <v>274.87</v>
      </c>
      <c r="J87" s="8">
        <v>230.76</v>
      </c>
      <c r="K87" s="8">
        <v>4539.07</v>
      </c>
      <c r="L87" s="8">
        <v>724</v>
      </c>
      <c r="M87" s="11">
        <v>0.0718</v>
      </c>
      <c r="N87" s="11">
        <v>0.1346</v>
      </c>
      <c r="O87" s="8">
        <v>7</v>
      </c>
      <c r="P87" s="8">
        <v>3585</v>
      </c>
      <c r="Q87" s="11">
        <v>0.094</v>
      </c>
      <c r="R87" s="11">
        <v>0.2671</v>
      </c>
      <c r="S87" s="8">
        <v>92</v>
      </c>
      <c r="T87" s="11">
        <v>0.115</v>
      </c>
      <c r="U87" s="11">
        <v>0.1894</v>
      </c>
      <c r="V87" s="11">
        <v>0.2377</v>
      </c>
      <c r="W87" s="11">
        <v>0.2991</v>
      </c>
      <c r="X87" s="8">
        <v>0</v>
      </c>
      <c r="Y87" s="8">
        <v>0</v>
      </c>
      <c r="Z87" s="8">
        <v>-0.01</v>
      </c>
      <c r="AA87" s="8">
        <v>0</v>
      </c>
      <c r="AB87" s="8">
        <v>0</v>
      </c>
      <c r="AC87" s="8">
        <v>1.73</v>
      </c>
      <c r="AD87" s="8">
        <v>0</v>
      </c>
      <c r="AE87" s="8">
        <v>0</v>
      </c>
      <c r="AF87" s="11">
        <v>0</v>
      </c>
      <c r="AG87" s="8">
        <v>0</v>
      </c>
      <c r="AH87" s="8">
        <v>0</v>
      </c>
      <c r="AI87" s="11">
        <v>0</v>
      </c>
      <c r="AJ87" s="8" t="s">
        <v>205</v>
      </c>
    </row>
    <row r="88" customFormat="1" ht="22" customHeight="1" spans="1:36">
      <c r="A88" s="8" t="s">
        <v>37</v>
      </c>
      <c r="B88" s="8" t="e">
        <f>VLOOKUP(F88,[1]Sheet1!$B:$E,3,FALSE)</f>
        <v>#N/A</v>
      </c>
      <c r="C88" s="8" t="e">
        <f>VLOOKUP(F88,[1]Sheet1!$B:$E,4,FALSE)</f>
        <v>#N/A</v>
      </c>
      <c r="D88" s="8" t="s">
        <v>206</v>
      </c>
      <c r="E88" s="8">
        <v>4.7</v>
      </c>
      <c r="F88" s="10">
        <v>33659694</v>
      </c>
      <c r="G88" s="8">
        <v>2830</v>
      </c>
      <c r="H88" s="8">
        <v>1606.48</v>
      </c>
      <c r="I88" s="8">
        <v>27.75</v>
      </c>
      <c r="J88" s="8">
        <v>18.05</v>
      </c>
      <c r="K88" s="8">
        <v>4222.87</v>
      </c>
      <c r="L88" s="8">
        <v>6880</v>
      </c>
      <c r="M88" s="11">
        <v>0.0581</v>
      </c>
      <c r="N88" s="11">
        <v>0.215</v>
      </c>
      <c r="O88" s="8">
        <v>89</v>
      </c>
      <c r="P88" s="8">
        <v>5481</v>
      </c>
      <c r="Q88" s="11">
        <v>0.0763</v>
      </c>
      <c r="R88" s="11">
        <v>0.3158</v>
      </c>
      <c r="S88" s="8">
        <v>136</v>
      </c>
      <c r="T88" s="11">
        <v>0.1908</v>
      </c>
      <c r="U88" s="11">
        <v>0.2353</v>
      </c>
      <c r="V88" s="11">
        <v>0.2637</v>
      </c>
      <c r="W88" s="11">
        <v>0.3375</v>
      </c>
      <c r="X88" s="8">
        <v>339.73</v>
      </c>
      <c r="Y88" s="8">
        <v>296</v>
      </c>
      <c r="Z88" s="8">
        <v>1.15</v>
      </c>
      <c r="AA88" s="8">
        <v>339.73</v>
      </c>
      <c r="AB88" s="8">
        <v>21.15</v>
      </c>
      <c r="AC88" s="8">
        <v>2.43</v>
      </c>
      <c r="AD88" s="8">
        <v>10</v>
      </c>
      <c r="AE88" s="8">
        <v>10</v>
      </c>
      <c r="AF88" s="11">
        <v>1</v>
      </c>
      <c r="AG88" s="8">
        <v>0</v>
      </c>
      <c r="AH88" s="8">
        <v>0</v>
      </c>
      <c r="AI88" s="11">
        <v>0</v>
      </c>
      <c r="AJ88" s="8" t="s">
        <v>207</v>
      </c>
    </row>
    <row r="89" customFormat="1" ht="22" customHeight="1" spans="1:36">
      <c r="A89" s="8" t="s">
        <v>37</v>
      </c>
      <c r="B89" s="8" t="str">
        <f>VLOOKUP(F89,[1]Sheet1!$B:$E,3,FALSE)</f>
        <v>王森</v>
      </c>
      <c r="C89" s="9" t="str">
        <f>VLOOKUP(F89,[1]Sheet1!$B:$E,4,FALSE)</f>
        <v>A</v>
      </c>
      <c r="D89" s="8" t="s">
        <v>208</v>
      </c>
      <c r="E89" s="8">
        <v>4.4</v>
      </c>
      <c r="F89" s="10">
        <v>12432915</v>
      </c>
      <c r="G89" s="8">
        <v>658</v>
      </c>
      <c r="H89" s="8">
        <v>1600.29</v>
      </c>
      <c r="I89" s="8">
        <v>97.15</v>
      </c>
      <c r="J89" s="8">
        <v>72.74</v>
      </c>
      <c r="K89" s="8">
        <v>4539.07</v>
      </c>
      <c r="L89" s="8">
        <v>1359</v>
      </c>
      <c r="M89" s="11">
        <v>0.0883</v>
      </c>
      <c r="N89" s="11">
        <v>0.175</v>
      </c>
      <c r="O89" s="8">
        <v>22</v>
      </c>
      <c r="P89" s="8">
        <v>3585</v>
      </c>
      <c r="Q89" s="11">
        <v>0.094</v>
      </c>
      <c r="R89" s="11">
        <v>0.2671</v>
      </c>
      <c r="S89" s="8">
        <v>92</v>
      </c>
      <c r="T89" s="11">
        <v>0.1844</v>
      </c>
      <c r="U89" s="11">
        <v>0.2448</v>
      </c>
      <c r="V89" s="11">
        <v>0.2377</v>
      </c>
      <c r="W89" s="11">
        <v>0.2991</v>
      </c>
      <c r="X89" s="8">
        <v>0</v>
      </c>
      <c r="Y89" s="8">
        <v>0</v>
      </c>
      <c r="Z89" s="8">
        <v>-0.01</v>
      </c>
      <c r="AA89" s="8">
        <v>0</v>
      </c>
      <c r="AB89" s="8">
        <v>0</v>
      </c>
      <c r="AC89" s="8">
        <v>2.07</v>
      </c>
      <c r="AD89" s="8">
        <v>2</v>
      </c>
      <c r="AE89" s="8">
        <v>2</v>
      </c>
      <c r="AF89" s="11">
        <v>1</v>
      </c>
      <c r="AG89" s="8">
        <v>0</v>
      </c>
      <c r="AH89" s="8">
        <v>0</v>
      </c>
      <c r="AI89" s="11">
        <v>0</v>
      </c>
      <c r="AJ89" s="8" t="s">
        <v>209</v>
      </c>
    </row>
    <row r="90" customFormat="1" ht="22" customHeight="1" spans="1:36">
      <c r="A90" s="8" t="s">
        <v>37</v>
      </c>
      <c r="B90" s="8" t="str">
        <f>VLOOKUP(F90,[1]Sheet1!$B:$E,3,FALSE)</f>
        <v>徐从众</v>
      </c>
      <c r="C90" s="9" t="str">
        <f>VLOOKUP(F90,[1]Sheet1!$B:$E,4,FALSE)</f>
        <v>S</v>
      </c>
      <c r="D90" s="8" t="s">
        <v>210</v>
      </c>
      <c r="E90" s="8">
        <v>4.7</v>
      </c>
      <c r="F90" s="10">
        <v>31172476</v>
      </c>
      <c r="G90" s="8">
        <v>2513</v>
      </c>
      <c r="H90" s="8">
        <v>1586.78</v>
      </c>
      <c r="I90" s="8">
        <v>24.08</v>
      </c>
      <c r="J90" s="8">
        <v>18.24</v>
      </c>
      <c r="K90" s="8">
        <v>4513.1</v>
      </c>
      <c r="L90" s="8">
        <v>1845</v>
      </c>
      <c r="M90" s="11">
        <v>0.0797</v>
      </c>
      <c r="N90" s="11">
        <v>0.585</v>
      </c>
      <c r="O90" s="8">
        <v>87</v>
      </c>
      <c r="P90" s="8">
        <v>5037</v>
      </c>
      <c r="Q90" s="11">
        <v>0.0872</v>
      </c>
      <c r="R90" s="11">
        <v>0.3508</v>
      </c>
      <c r="S90" s="8">
        <v>157</v>
      </c>
      <c r="T90" s="11">
        <v>0.2657</v>
      </c>
      <c r="U90" s="11">
        <v>0.4762</v>
      </c>
      <c r="V90" s="11">
        <v>0.228</v>
      </c>
      <c r="W90" s="11">
        <v>0.3389</v>
      </c>
      <c r="X90" s="8">
        <v>90.44</v>
      </c>
      <c r="Y90" s="8">
        <v>101</v>
      </c>
      <c r="Z90" s="8">
        <v>0.9</v>
      </c>
      <c r="AA90" s="8">
        <v>90.44</v>
      </c>
      <c r="AB90" s="8">
        <v>5.7</v>
      </c>
      <c r="AC90" s="8">
        <v>0.73</v>
      </c>
      <c r="AD90" s="8">
        <v>1</v>
      </c>
      <c r="AE90" s="8">
        <v>1</v>
      </c>
      <c r="AF90" s="11">
        <v>1</v>
      </c>
      <c r="AG90" s="8">
        <v>0</v>
      </c>
      <c r="AH90" s="8">
        <v>0</v>
      </c>
      <c r="AI90" s="11">
        <v>0</v>
      </c>
      <c r="AJ90" s="8" t="s">
        <v>211</v>
      </c>
    </row>
    <row r="91" customFormat="1" ht="22" customHeight="1" spans="1:36">
      <c r="A91" s="8" t="s">
        <v>37</v>
      </c>
      <c r="B91" s="8" t="str">
        <f>VLOOKUP(F91,[1]Sheet1!$B:$E,3,FALSE)</f>
        <v>王森</v>
      </c>
      <c r="C91" s="9" t="str">
        <f>VLOOKUP(F91,[1]Sheet1!$B:$E,4,FALSE)</f>
        <v>A</v>
      </c>
      <c r="D91" s="8" t="s">
        <v>212</v>
      </c>
      <c r="E91" s="8">
        <v>4.8</v>
      </c>
      <c r="F91" s="10">
        <v>9186837</v>
      </c>
      <c r="G91" s="8">
        <v>989</v>
      </c>
      <c r="H91" s="8">
        <v>1583.89</v>
      </c>
      <c r="I91" s="8">
        <v>88.12</v>
      </c>
      <c r="J91" s="8">
        <v>72</v>
      </c>
      <c r="K91" s="8">
        <v>2788.91</v>
      </c>
      <c r="L91" s="8">
        <v>1704</v>
      </c>
      <c r="M91" s="11">
        <v>0.0951</v>
      </c>
      <c r="N91" s="11">
        <v>0.1358</v>
      </c>
      <c r="O91" s="8">
        <v>22</v>
      </c>
      <c r="P91" s="8">
        <v>3190</v>
      </c>
      <c r="Q91" s="11">
        <v>0.0947</v>
      </c>
      <c r="R91" s="11">
        <v>0.2583</v>
      </c>
      <c r="S91" s="8">
        <v>80</v>
      </c>
      <c r="T91" s="11">
        <v>0.1309</v>
      </c>
      <c r="U91" s="11">
        <v>0.3012</v>
      </c>
      <c r="V91" s="11">
        <v>0.258</v>
      </c>
      <c r="W91" s="11">
        <v>0.3431</v>
      </c>
      <c r="X91" s="8">
        <v>45.62</v>
      </c>
      <c r="Y91" s="8">
        <v>60</v>
      </c>
      <c r="Z91" s="8">
        <v>0.76</v>
      </c>
      <c r="AA91" s="8">
        <v>45.62</v>
      </c>
      <c r="AB91" s="8">
        <v>2.88</v>
      </c>
      <c r="AC91" s="8">
        <v>1.72</v>
      </c>
      <c r="AD91" s="8">
        <v>0</v>
      </c>
      <c r="AE91" s="8">
        <v>0</v>
      </c>
      <c r="AF91" s="11">
        <v>0</v>
      </c>
      <c r="AG91" s="8">
        <v>0</v>
      </c>
      <c r="AH91" s="8">
        <v>0</v>
      </c>
      <c r="AI91" s="11">
        <v>0</v>
      </c>
      <c r="AJ91" s="8" t="s">
        <v>213</v>
      </c>
    </row>
    <row r="92" customFormat="1" ht="22" customHeight="1" spans="1:36">
      <c r="A92" s="8" t="s">
        <v>37</v>
      </c>
      <c r="B92" s="8" t="str">
        <f>VLOOKUP(F92,[1]Sheet1!$B:$E,3,FALSE)</f>
        <v>徐从众</v>
      </c>
      <c r="C92" s="9" t="str">
        <f>VLOOKUP(F92,[1]Sheet1!$B:$E,4,FALSE)</f>
        <v>S</v>
      </c>
      <c r="D92" s="8" t="s">
        <v>214</v>
      </c>
      <c r="E92" s="8">
        <v>4.6</v>
      </c>
      <c r="F92" s="10">
        <v>14914577</v>
      </c>
      <c r="G92" s="8">
        <v>896</v>
      </c>
      <c r="H92" s="8">
        <v>1582.71</v>
      </c>
      <c r="I92" s="8">
        <v>90.22</v>
      </c>
      <c r="J92" s="8">
        <v>63.31</v>
      </c>
      <c r="K92" s="8">
        <v>4756.48</v>
      </c>
      <c r="L92" s="8">
        <v>2001</v>
      </c>
      <c r="M92" s="11">
        <v>0.068</v>
      </c>
      <c r="N92" s="11">
        <v>0.1838</v>
      </c>
      <c r="O92" s="8">
        <v>25</v>
      </c>
      <c r="P92" s="8">
        <v>4224</v>
      </c>
      <c r="Q92" s="11">
        <v>0.0807</v>
      </c>
      <c r="R92" s="11">
        <v>0.2815</v>
      </c>
      <c r="S92" s="8">
        <v>98</v>
      </c>
      <c r="T92" s="11">
        <v>0.1105</v>
      </c>
      <c r="U92" s="11">
        <v>0.2326</v>
      </c>
      <c r="V92" s="11">
        <v>0.2376</v>
      </c>
      <c r="W92" s="11">
        <v>0.296</v>
      </c>
      <c r="X92" s="8">
        <v>62.98</v>
      </c>
      <c r="Y92" s="8">
        <v>80</v>
      </c>
      <c r="Z92" s="8">
        <v>0.79</v>
      </c>
      <c r="AA92" s="8">
        <v>62.98</v>
      </c>
      <c r="AB92" s="8">
        <v>3.98</v>
      </c>
      <c r="AC92" s="8">
        <v>2.23</v>
      </c>
      <c r="AD92" s="8">
        <v>0</v>
      </c>
      <c r="AE92" s="8">
        <v>0</v>
      </c>
      <c r="AF92" s="11">
        <v>0</v>
      </c>
      <c r="AG92" s="8">
        <v>0</v>
      </c>
      <c r="AH92" s="8">
        <v>0</v>
      </c>
      <c r="AI92" s="11">
        <v>0</v>
      </c>
      <c r="AJ92" s="8" t="s">
        <v>215</v>
      </c>
    </row>
    <row r="93" customFormat="1" ht="22" customHeight="1" spans="1:36">
      <c r="A93" s="8" t="s">
        <v>37</v>
      </c>
      <c r="B93" s="8" t="str">
        <f>VLOOKUP(F93,[1]Sheet1!$B:$E,3,FALSE)</f>
        <v>徐从众</v>
      </c>
      <c r="C93" s="9" t="str">
        <f>VLOOKUP(F93,[1]Sheet1!$B:$E,4,FALSE)</f>
        <v>S</v>
      </c>
      <c r="D93" s="8" t="s">
        <v>216</v>
      </c>
      <c r="E93" s="8">
        <v>4.9</v>
      </c>
      <c r="F93" s="10">
        <v>28297182</v>
      </c>
      <c r="G93" s="8">
        <v>2450</v>
      </c>
      <c r="H93" s="8">
        <v>1578.7</v>
      </c>
      <c r="I93" s="8">
        <v>27.27</v>
      </c>
      <c r="J93" s="8">
        <v>19.02</v>
      </c>
      <c r="K93" s="8">
        <v>3342.27</v>
      </c>
      <c r="L93" s="8">
        <v>2119</v>
      </c>
      <c r="M93" s="11">
        <v>0.109</v>
      </c>
      <c r="N93" s="11">
        <v>0.3463</v>
      </c>
      <c r="O93" s="8">
        <v>83</v>
      </c>
      <c r="P93" s="8">
        <v>2913</v>
      </c>
      <c r="Q93" s="11">
        <v>0.0999</v>
      </c>
      <c r="R93" s="11">
        <v>0.3471</v>
      </c>
      <c r="S93" s="8">
        <v>104</v>
      </c>
      <c r="T93" s="11">
        <v>0.1991</v>
      </c>
      <c r="U93" s="11">
        <v>0.3843</v>
      </c>
      <c r="V93" s="11">
        <v>0.2506</v>
      </c>
      <c r="W93" s="11">
        <v>0.3084</v>
      </c>
      <c r="X93" s="8">
        <v>97.87</v>
      </c>
      <c r="Y93" s="8">
        <v>113</v>
      </c>
      <c r="Z93" s="8">
        <v>0.87</v>
      </c>
      <c r="AA93" s="8">
        <v>97.87</v>
      </c>
      <c r="AB93" s="8">
        <v>6.2</v>
      </c>
      <c r="AC93" s="8">
        <v>0.86</v>
      </c>
      <c r="AD93" s="8">
        <v>1</v>
      </c>
      <c r="AE93" s="8">
        <v>1</v>
      </c>
      <c r="AF93" s="11">
        <v>1</v>
      </c>
      <c r="AG93" s="8">
        <v>0</v>
      </c>
      <c r="AH93" s="8">
        <v>0</v>
      </c>
      <c r="AI93" s="11">
        <v>0</v>
      </c>
      <c r="AJ93" s="8" t="s">
        <v>217</v>
      </c>
    </row>
    <row r="94" customFormat="1" ht="22" customHeight="1" spans="1:36">
      <c r="A94" s="8" t="s">
        <v>37</v>
      </c>
      <c r="B94" s="8" t="str">
        <f>VLOOKUP(F94,[1]Sheet1!$B:$E,3,FALSE)</f>
        <v>王森</v>
      </c>
      <c r="C94" s="9" t="str">
        <f>VLOOKUP(F94,[1]Sheet1!$B:$E,4,FALSE)</f>
        <v>A</v>
      </c>
      <c r="D94" s="8" t="s">
        <v>218</v>
      </c>
      <c r="E94" s="8">
        <v>4.6</v>
      </c>
      <c r="F94" s="10">
        <v>24670571</v>
      </c>
      <c r="G94" s="8">
        <v>1745</v>
      </c>
      <c r="H94" s="8">
        <v>1559.39</v>
      </c>
      <c r="I94" s="8">
        <v>48.07</v>
      </c>
      <c r="J94" s="8">
        <v>33.9</v>
      </c>
      <c r="K94" s="8">
        <v>4317.69</v>
      </c>
      <c r="L94" s="8">
        <v>3101</v>
      </c>
      <c r="M94" s="11">
        <v>0.0903</v>
      </c>
      <c r="N94" s="11">
        <v>0.1571</v>
      </c>
      <c r="O94" s="8">
        <v>46</v>
      </c>
      <c r="P94" s="8">
        <v>6363</v>
      </c>
      <c r="Q94" s="11">
        <v>0.078</v>
      </c>
      <c r="R94" s="11">
        <v>0.2278</v>
      </c>
      <c r="S94" s="8">
        <v>116</v>
      </c>
      <c r="T94" s="11">
        <v>0.1233</v>
      </c>
      <c r="U94" s="11">
        <v>0.2351</v>
      </c>
      <c r="V94" s="11">
        <v>0.1954</v>
      </c>
      <c r="W94" s="11">
        <v>0.2678</v>
      </c>
      <c r="X94" s="8">
        <v>235.53</v>
      </c>
      <c r="Y94" s="8">
        <v>206</v>
      </c>
      <c r="Z94" s="8">
        <v>1.14</v>
      </c>
      <c r="AA94" s="8">
        <v>235.53</v>
      </c>
      <c r="AB94" s="8">
        <v>15.1</v>
      </c>
      <c r="AC94" s="8">
        <v>1.78</v>
      </c>
      <c r="AD94" s="8">
        <v>6</v>
      </c>
      <c r="AE94" s="8">
        <v>5</v>
      </c>
      <c r="AF94" s="11">
        <v>0.8333</v>
      </c>
      <c r="AG94" s="8">
        <v>0</v>
      </c>
      <c r="AH94" s="8">
        <v>1</v>
      </c>
      <c r="AI94" s="11">
        <v>0.1667</v>
      </c>
      <c r="AJ94" s="8" t="s">
        <v>219</v>
      </c>
    </row>
    <row r="95" customFormat="1" ht="22" customHeight="1" spans="1:36">
      <c r="A95" s="8" t="s">
        <v>37</v>
      </c>
      <c r="B95" s="8" t="e">
        <f>VLOOKUP(F95,[1]Sheet1!$B:$E,3,FALSE)</f>
        <v>#N/A</v>
      </c>
      <c r="C95" s="8" t="e">
        <f>VLOOKUP(F95,[1]Sheet1!$B:$E,4,FALSE)</f>
        <v>#N/A</v>
      </c>
      <c r="D95" s="8" t="s">
        <v>220</v>
      </c>
      <c r="E95" s="8">
        <v>4.6</v>
      </c>
      <c r="F95" s="10">
        <v>26887919</v>
      </c>
      <c r="G95" s="8">
        <v>1671</v>
      </c>
      <c r="H95" s="8">
        <v>1519.66</v>
      </c>
      <c r="I95" s="8">
        <v>27.84</v>
      </c>
      <c r="J95" s="8">
        <v>20.82</v>
      </c>
      <c r="K95" s="8">
        <v>3789.79</v>
      </c>
      <c r="L95" s="8">
        <v>2618</v>
      </c>
      <c r="M95" s="11">
        <v>0.0802</v>
      </c>
      <c r="N95" s="11">
        <v>0.3381</v>
      </c>
      <c r="O95" s="8">
        <v>73</v>
      </c>
      <c r="P95" s="8">
        <v>4679</v>
      </c>
      <c r="Q95" s="11">
        <v>0.0893</v>
      </c>
      <c r="R95" s="11">
        <v>0.3493</v>
      </c>
      <c r="S95" s="8">
        <v>150</v>
      </c>
      <c r="T95" s="11">
        <v>0.1438</v>
      </c>
      <c r="U95" s="11">
        <v>0.3103</v>
      </c>
      <c r="V95" s="11">
        <v>0.2511</v>
      </c>
      <c r="W95" s="11">
        <v>0.3397</v>
      </c>
      <c r="X95" s="8">
        <v>0</v>
      </c>
      <c r="Y95" s="8">
        <v>0</v>
      </c>
      <c r="Z95" s="8">
        <v>-0.01</v>
      </c>
      <c r="AA95" s="8">
        <v>0</v>
      </c>
      <c r="AB95" s="8">
        <v>0</v>
      </c>
      <c r="AC95" s="8">
        <v>1.57</v>
      </c>
      <c r="AD95" s="8">
        <v>3</v>
      </c>
      <c r="AE95" s="8">
        <v>3</v>
      </c>
      <c r="AF95" s="11">
        <v>1</v>
      </c>
      <c r="AG95" s="8">
        <v>0</v>
      </c>
      <c r="AH95" s="8">
        <v>0</v>
      </c>
      <c r="AI95" s="11">
        <v>0</v>
      </c>
      <c r="AJ95" s="8" t="s">
        <v>221</v>
      </c>
    </row>
    <row r="96" customFormat="1" ht="22" customHeight="1" spans="1:36">
      <c r="A96" s="8" t="s">
        <v>37</v>
      </c>
      <c r="B96" s="8" t="str">
        <f>VLOOKUP(F96,[1]Sheet1!$B:$E,3,FALSE)</f>
        <v>徐从众</v>
      </c>
      <c r="C96" s="9" t="str">
        <f>VLOOKUP(F96,[1]Sheet1!$B:$E,4,FALSE)</f>
        <v>A</v>
      </c>
      <c r="D96" s="8" t="s">
        <v>222</v>
      </c>
      <c r="E96" s="8">
        <v>4.7</v>
      </c>
      <c r="F96" s="10">
        <v>22865433</v>
      </c>
      <c r="G96" s="8">
        <v>532</v>
      </c>
      <c r="H96" s="8">
        <v>1518.44</v>
      </c>
      <c r="I96" s="8">
        <v>94.92</v>
      </c>
      <c r="J96" s="8">
        <v>75.92</v>
      </c>
      <c r="K96" s="8">
        <v>3318.71</v>
      </c>
      <c r="L96" s="8">
        <v>1564</v>
      </c>
      <c r="M96" s="11">
        <v>0.0767</v>
      </c>
      <c r="N96" s="11">
        <v>0.1583</v>
      </c>
      <c r="O96" s="8">
        <v>20</v>
      </c>
      <c r="P96" s="8">
        <v>3391</v>
      </c>
      <c r="Q96" s="11">
        <v>0.0852</v>
      </c>
      <c r="R96" s="11">
        <v>0.3045</v>
      </c>
      <c r="S96" s="8">
        <v>92</v>
      </c>
      <c r="T96" s="11">
        <v>0.1063</v>
      </c>
      <c r="U96" s="11">
        <v>0.2251</v>
      </c>
      <c r="V96" s="11">
        <v>0.2338</v>
      </c>
      <c r="W96" s="11">
        <v>0.3137</v>
      </c>
      <c r="X96" s="8">
        <v>113.18</v>
      </c>
      <c r="Y96" s="8">
        <v>116</v>
      </c>
      <c r="Z96" s="8">
        <v>0.98</v>
      </c>
      <c r="AA96" s="8">
        <v>113.18</v>
      </c>
      <c r="AB96" s="8">
        <v>7.45</v>
      </c>
      <c r="AC96" s="8">
        <v>2.94</v>
      </c>
      <c r="AD96" s="8">
        <v>0</v>
      </c>
      <c r="AE96" s="8">
        <v>0</v>
      </c>
      <c r="AF96" s="11">
        <v>0</v>
      </c>
      <c r="AG96" s="8">
        <v>0</v>
      </c>
      <c r="AH96" s="8">
        <v>0</v>
      </c>
      <c r="AI96" s="11">
        <v>0</v>
      </c>
      <c r="AJ96" s="8" t="s">
        <v>223</v>
      </c>
    </row>
    <row r="97" customFormat="1" ht="22" customHeight="1" spans="1:36">
      <c r="A97" s="8" t="s">
        <v>37</v>
      </c>
      <c r="B97" s="8" t="str">
        <f>VLOOKUP(F97,[1]Sheet1!$B:$E,3,FALSE)</f>
        <v>徐从众</v>
      </c>
      <c r="C97" s="9" t="str">
        <f>VLOOKUP(F97,[1]Sheet1!$B:$E,4,FALSE)</f>
        <v>S</v>
      </c>
      <c r="D97" s="8" t="s">
        <v>224</v>
      </c>
      <c r="E97" s="8">
        <v>4.9</v>
      </c>
      <c r="F97" s="10">
        <v>25928174</v>
      </c>
      <c r="G97" s="8">
        <v>1149</v>
      </c>
      <c r="H97" s="8">
        <v>1516.49</v>
      </c>
      <c r="I97" s="8">
        <v>42.55</v>
      </c>
      <c r="J97" s="8">
        <v>32.27</v>
      </c>
      <c r="K97" s="8">
        <v>2933.83</v>
      </c>
      <c r="L97" s="8">
        <v>1479</v>
      </c>
      <c r="M97" s="11">
        <v>0.0818</v>
      </c>
      <c r="N97" s="11">
        <v>0.3554</v>
      </c>
      <c r="O97" s="8">
        <v>47</v>
      </c>
      <c r="P97" s="8">
        <v>4991</v>
      </c>
      <c r="Q97" s="11">
        <v>0.0757</v>
      </c>
      <c r="R97" s="11">
        <v>0.2434</v>
      </c>
      <c r="S97" s="8">
        <v>95</v>
      </c>
      <c r="T97" s="11">
        <v>0.1522</v>
      </c>
      <c r="U97" s="11">
        <v>0.3898</v>
      </c>
      <c r="V97" s="11">
        <v>0.2058</v>
      </c>
      <c r="W97" s="11">
        <v>0.3043</v>
      </c>
      <c r="X97" s="8">
        <v>50</v>
      </c>
      <c r="Y97" s="8">
        <v>57</v>
      </c>
      <c r="Z97" s="8">
        <v>0.88</v>
      </c>
      <c r="AA97" s="8">
        <v>50</v>
      </c>
      <c r="AB97" s="8">
        <v>3.3</v>
      </c>
      <c r="AC97" s="8">
        <v>1.29</v>
      </c>
      <c r="AD97" s="8">
        <v>2</v>
      </c>
      <c r="AE97" s="8">
        <v>2</v>
      </c>
      <c r="AF97" s="11">
        <v>1</v>
      </c>
      <c r="AG97" s="8">
        <v>0</v>
      </c>
      <c r="AH97" s="8">
        <v>0</v>
      </c>
      <c r="AI97" s="11">
        <v>0</v>
      </c>
      <c r="AJ97" s="8" t="s">
        <v>225</v>
      </c>
    </row>
    <row r="98" customFormat="1" ht="22" customHeight="1" spans="1:36">
      <c r="A98" s="8" t="s">
        <v>37</v>
      </c>
      <c r="B98" s="8" t="str">
        <f>VLOOKUP(F98,[1]Sheet1!$B:$E,3,FALSE)</f>
        <v>徐从众</v>
      </c>
      <c r="C98" s="9" t="str">
        <f>VLOOKUP(F98,[1]Sheet1!$B:$E,4,FALSE)</f>
        <v>S</v>
      </c>
      <c r="D98" s="8" t="s">
        <v>226</v>
      </c>
      <c r="E98" s="8">
        <v>4.9</v>
      </c>
      <c r="F98" s="10">
        <v>31134922</v>
      </c>
      <c r="G98" s="8">
        <v>2336</v>
      </c>
      <c r="H98" s="8">
        <v>1511.47</v>
      </c>
      <c r="I98" s="8">
        <v>27.18</v>
      </c>
      <c r="J98" s="8">
        <v>17.99</v>
      </c>
      <c r="K98" s="8">
        <v>3771.62</v>
      </c>
      <c r="L98" s="8">
        <v>2085</v>
      </c>
      <c r="M98" s="11">
        <v>0.1022</v>
      </c>
      <c r="N98" s="11">
        <v>0.3991</v>
      </c>
      <c r="O98" s="8">
        <v>84</v>
      </c>
      <c r="P98" s="8">
        <v>4231</v>
      </c>
      <c r="Q98" s="11">
        <v>0.0874</v>
      </c>
      <c r="R98" s="11">
        <v>0.3865</v>
      </c>
      <c r="S98" s="8">
        <v>146</v>
      </c>
      <c r="T98" s="11">
        <v>0.2504</v>
      </c>
      <c r="U98" s="11">
        <v>0.4424</v>
      </c>
      <c r="V98" s="11">
        <v>0.2501</v>
      </c>
      <c r="W98" s="11">
        <v>0.3437</v>
      </c>
      <c r="X98" s="8">
        <v>116.03</v>
      </c>
      <c r="Y98" s="8">
        <v>89</v>
      </c>
      <c r="Z98" s="8">
        <v>1.3</v>
      </c>
      <c r="AA98" s="8">
        <v>116.03</v>
      </c>
      <c r="AB98" s="8">
        <v>7.68</v>
      </c>
      <c r="AC98" s="8">
        <v>0.89</v>
      </c>
      <c r="AD98" s="8">
        <v>2</v>
      </c>
      <c r="AE98" s="8">
        <v>2</v>
      </c>
      <c r="AF98" s="11">
        <v>1</v>
      </c>
      <c r="AG98" s="8">
        <v>0</v>
      </c>
      <c r="AH98" s="8">
        <v>0</v>
      </c>
      <c r="AI98" s="11">
        <v>0</v>
      </c>
      <c r="AJ98" s="8" t="s">
        <v>227</v>
      </c>
    </row>
    <row r="99" customFormat="1" ht="22" customHeight="1" spans="1:36">
      <c r="A99" s="8" t="s">
        <v>37</v>
      </c>
      <c r="B99" s="8" t="str">
        <f>VLOOKUP(F99,[1]Sheet1!$B:$E,3,FALSE)</f>
        <v>徐从众</v>
      </c>
      <c r="C99" s="9" t="str">
        <f>VLOOKUP(F99,[1]Sheet1!$B:$E,4,FALSE)</f>
        <v>S</v>
      </c>
      <c r="D99" s="8" t="s">
        <v>228</v>
      </c>
      <c r="E99" s="8">
        <v>4.8</v>
      </c>
      <c r="F99" s="10">
        <v>30898974</v>
      </c>
      <c r="G99" s="8">
        <v>1401</v>
      </c>
      <c r="H99" s="8">
        <v>1506.02</v>
      </c>
      <c r="I99" s="8">
        <v>47.5</v>
      </c>
      <c r="J99" s="8">
        <v>35.86</v>
      </c>
      <c r="K99" s="8">
        <v>2559.61</v>
      </c>
      <c r="L99" s="8">
        <v>1884</v>
      </c>
      <c r="M99" s="11">
        <v>0.1104</v>
      </c>
      <c r="N99" s="11">
        <v>0.1923</v>
      </c>
      <c r="O99" s="8">
        <v>42</v>
      </c>
      <c r="P99" s="8">
        <v>4083</v>
      </c>
      <c r="Q99" s="11">
        <v>0.0678</v>
      </c>
      <c r="R99" s="11">
        <v>0.2238</v>
      </c>
      <c r="S99" s="8">
        <v>64</v>
      </c>
      <c r="T99" s="11">
        <v>0.2377</v>
      </c>
      <c r="U99" s="11">
        <v>0.3825</v>
      </c>
      <c r="V99" s="11">
        <v>0.2158</v>
      </c>
      <c r="W99" s="11">
        <v>0.3245</v>
      </c>
      <c r="X99" s="8">
        <v>66.91</v>
      </c>
      <c r="Y99" s="8">
        <v>89</v>
      </c>
      <c r="Z99" s="8">
        <v>0.75</v>
      </c>
      <c r="AA99" s="8">
        <v>66.91</v>
      </c>
      <c r="AB99" s="8">
        <v>4.44</v>
      </c>
      <c r="AC99" s="8">
        <v>1.34</v>
      </c>
      <c r="AD99" s="8">
        <v>1</v>
      </c>
      <c r="AE99" s="8">
        <v>1</v>
      </c>
      <c r="AF99" s="11">
        <v>1</v>
      </c>
      <c r="AG99" s="8">
        <v>0</v>
      </c>
      <c r="AH99" s="8">
        <v>0</v>
      </c>
      <c r="AI99" s="11">
        <v>0</v>
      </c>
      <c r="AJ99" s="8" t="s">
        <v>229</v>
      </c>
    </row>
    <row r="100" customFormat="1" ht="22" customHeight="1" spans="1:36">
      <c r="A100" s="8" t="s">
        <v>37</v>
      </c>
      <c r="B100" s="8" t="str">
        <f>VLOOKUP(F100,[1]Sheet1!$B:$E,3,FALSE)</f>
        <v>王森</v>
      </c>
      <c r="C100" s="9" t="str">
        <f>VLOOKUP(F100,[1]Sheet1!$B:$E,4,FALSE)</f>
        <v>S</v>
      </c>
      <c r="D100" s="8" t="s">
        <v>230</v>
      </c>
      <c r="E100" s="8">
        <v>4.5</v>
      </c>
      <c r="F100" s="10">
        <v>28872720</v>
      </c>
      <c r="G100" s="8">
        <v>1694</v>
      </c>
      <c r="H100" s="8">
        <v>1495.99</v>
      </c>
      <c r="I100" s="8">
        <v>37.92</v>
      </c>
      <c r="J100" s="8">
        <v>28.77</v>
      </c>
      <c r="K100" s="8">
        <v>4501.85</v>
      </c>
      <c r="L100" s="8">
        <v>2437</v>
      </c>
      <c r="M100" s="11">
        <v>0.1141</v>
      </c>
      <c r="N100" s="11">
        <v>0.1799</v>
      </c>
      <c r="O100" s="8">
        <v>52</v>
      </c>
      <c r="P100" s="8">
        <v>3853</v>
      </c>
      <c r="Q100" s="11">
        <v>0.0991</v>
      </c>
      <c r="R100" s="11">
        <v>0.1414</v>
      </c>
      <c r="S100" s="8">
        <v>55</v>
      </c>
      <c r="T100" s="11">
        <v>0.1261</v>
      </c>
      <c r="U100" s="11">
        <v>0.2473</v>
      </c>
      <c r="V100" s="11">
        <v>0.1653</v>
      </c>
      <c r="W100" s="11">
        <v>0.2461</v>
      </c>
      <c r="X100" s="8">
        <v>50</v>
      </c>
      <c r="Y100" s="8">
        <v>56</v>
      </c>
      <c r="Z100" s="8">
        <v>0.89</v>
      </c>
      <c r="AA100" s="8">
        <v>50</v>
      </c>
      <c r="AB100" s="8">
        <v>3.34</v>
      </c>
      <c r="AC100" s="8">
        <v>1.44</v>
      </c>
      <c r="AD100" s="8">
        <v>1</v>
      </c>
      <c r="AE100" s="8">
        <v>1</v>
      </c>
      <c r="AF100" s="11">
        <v>1</v>
      </c>
      <c r="AG100" s="8">
        <v>0</v>
      </c>
      <c r="AH100" s="8">
        <v>0</v>
      </c>
      <c r="AI100" s="11">
        <v>0</v>
      </c>
      <c r="AJ100" s="8" t="s">
        <v>231</v>
      </c>
    </row>
    <row r="101" customFormat="1" ht="22" customHeight="1" spans="1:36">
      <c r="A101" s="8" t="s">
        <v>37</v>
      </c>
      <c r="B101" s="8" t="str">
        <f>VLOOKUP(F101,[1]Sheet1!$B:$E,3,FALSE)</f>
        <v>岳贝贝</v>
      </c>
      <c r="C101" s="9" t="str">
        <f>VLOOKUP(F101,[1]Sheet1!$B:$E,4,FALSE)</f>
        <v>S</v>
      </c>
      <c r="D101" s="8" t="s">
        <v>232</v>
      </c>
      <c r="E101" s="8">
        <v>4.9</v>
      </c>
      <c r="F101" s="10">
        <v>34071005</v>
      </c>
      <c r="G101" s="8">
        <v>851</v>
      </c>
      <c r="H101" s="8">
        <v>1491.09</v>
      </c>
      <c r="I101" s="8">
        <v>55.04</v>
      </c>
      <c r="J101" s="8">
        <v>41.42</v>
      </c>
      <c r="K101" s="8">
        <v>1491.09</v>
      </c>
      <c r="L101" s="8">
        <v>3326</v>
      </c>
      <c r="M101" s="11">
        <v>0.0809</v>
      </c>
      <c r="N101" s="11">
        <v>0.1338</v>
      </c>
      <c r="O101" s="8">
        <v>36</v>
      </c>
      <c r="P101" s="8">
        <v>3326</v>
      </c>
      <c r="Q101" s="11">
        <v>0.0809</v>
      </c>
      <c r="R101" s="11">
        <v>0.1338</v>
      </c>
      <c r="S101" s="8">
        <v>36</v>
      </c>
      <c r="T101" s="11">
        <v>0.1778</v>
      </c>
      <c r="U101" s="11">
        <v>0</v>
      </c>
      <c r="V101" s="11">
        <v>0.0885</v>
      </c>
      <c r="W101" s="11">
        <v>0</v>
      </c>
      <c r="X101" s="8">
        <v>187.5</v>
      </c>
      <c r="Y101" s="8">
        <v>145</v>
      </c>
      <c r="Z101" s="8">
        <v>1.29</v>
      </c>
      <c r="AA101" s="8">
        <v>187.5</v>
      </c>
      <c r="AB101" s="8">
        <v>12.57</v>
      </c>
      <c r="AC101" s="8">
        <v>3.91</v>
      </c>
      <c r="AD101" s="8">
        <v>3</v>
      </c>
      <c r="AE101" s="8">
        <v>3</v>
      </c>
      <c r="AF101" s="11">
        <v>1</v>
      </c>
      <c r="AG101" s="8">
        <v>0</v>
      </c>
      <c r="AH101" s="8">
        <v>0</v>
      </c>
      <c r="AI101" s="11">
        <v>0</v>
      </c>
      <c r="AJ101" s="8" t="s">
        <v>233</v>
      </c>
    </row>
    <row r="102" customFormat="1" ht="22" customHeight="1" spans="1:36">
      <c r="A102" s="8" t="s">
        <v>37</v>
      </c>
      <c r="B102" s="8" t="str">
        <f>VLOOKUP(F102,[1]Sheet1!$B:$E,3,FALSE)</f>
        <v>徐从众</v>
      </c>
      <c r="C102" s="9" t="str">
        <f>VLOOKUP(F102,[1]Sheet1!$B:$E,4,FALSE)</f>
        <v>A</v>
      </c>
      <c r="D102" s="8" t="s">
        <v>234</v>
      </c>
      <c r="E102" s="8">
        <v>4.5</v>
      </c>
      <c r="F102" s="10">
        <v>18721112</v>
      </c>
      <c r="G102" s="8">
        <v>807</v>
      </c>
      <c r="H102" s="8">
        <v>1481.44</v>
      </c>
      <c r="I102" s="8">
        <v>73.66</v>
      </c>
      <c r="J102" s="8">
        <v>56.98</v>
      </c>
      <c r="K102" s="8">
        <v>3227.49</v>
      </c>
      <c r="L102" s="8">
        <v>2246</v>
      </c>
      <c r="M102" s="11">
        <v>0.0757</v>
      </c>
      <c r="N102" s="11">
        <v>0.1529</v>
      </c>
      <c r="O102" s="8">
        <v>26</v>
      </c>
      <c r="P102" s="8">
        <v>7363</v>
      </c>
      <c r="Q102" s="11">
        <v>0.08</v>
      </c>
      <c r="R102" s="11">
        <v>0.2326</v>
      </c>
      <c r="S102" s="8">
        <v>139</v>
      </c>
      <c r="T102" s="11">
        <v>0.1304</v>
      </c>
      <c r="U102" s="11">
        <v>0.2517</v>
      </c>
      <c r="V102" s="11">
        <v>0.1765</v>
      </c>
      <c r="W102" s="11">
        <v>0.3286</v>
      </c>
      <c r="X102" s="8">
        <v>147.25</v>
      </c>
      <c r="Y102" s="8">
        <v>169</v>
      </c>
      <c r="Z102" s="8">
        <v>0.87</v>
      </c>
      <c r="AA102" s="8">
        <v>147.25</v>
      </c>
      <c r="AB102" s="8">
        <v>9.94</v>
      </c>
      <c r="AC102" s="8">
        <v>2.78</v>
      </c>
      <c r="AD102" s="8">
        <v>0</v>
      </c>
      <c r="AE102" s="8">
        <v>0</v>
      </c>
      <c r="AF102" s="11">
        <v>0</v>
      </c>
      <c r="AG102" s="8">
        <v>0</v>
      </c>
      <c r="AH102" s="8">
        <v>0</v>
      </c>
      <c r="AI102" s="11">
        <v>0</v>
      </c>
      <c r="AJ102" s="8" t="s">
        <v>235</v>
      </c>
    </row>
    <row r="103" customFormat="1" ht="22" customHeight="1" spans="1:36">
      <c r="A103" s="8" t="s">
        <v>37</v>
      </c>
      <c r="B103" s="8" t="str">
        <f>VLOOKUP(F103,[1]Sheet1!$B:$E,3,FALSE)</f>
        <v>徐从众</v>
      </c>
      <c r="C103" s="9" t="str">
        <f>VLOOKUP(F103,[1]Sheet1!$B:$E,4,FALSE)</f>
        <v>A</v>
      </c>
      <c r="D103" s="8" t="s">
        <v>236</v>
      </c>
      <c r="E103" s="8">
        <v>4.8</v>
      </c>
      <c r="F103" s="10">
        <v>26842888</v>
      </c>
      <c r="G103" s="8">
        <v>1443</v>
      </c>
      <c r="H103" s="8">
        <v>1465.2</v>
      </c>
      <c r="I103" s="8">
        <v>44.47</v>
      </c>
      <c r="J103" s="8">
        <v>34.89</v>
      </c>
      <c r="K103" s="8">
        <v>4400.87</v>
      </c>
      <c r="L103" s="8">
        <v>1516</v>
      </c>
      <c r="M103" s="11">
        <v>0.0897</v>
      </c>
      <c r="N103" s="11">
        <v>0.3309</v>
      </c>
      <c r="O103" s="8">
        <v>42</v>
      </c>
      <c r="P103" s="8">
        <v>5299</v>
      </c>
      <c r="Q103" s="11">
        <v>0.0653</v>
      </c>
      <c r="R103" s="11">
        <v>0.2254</v>
      </c>
      <c r="S103" s="8">
        <v>79</v>
      </c>
      <c r="T103" s="11">
        <v>0.2177</v>
      </c>
      <c r="U103" s="11">
        <v>0.3915</v>
      </c>
      <c r="V103" s="11">
        <v>0.1569</v>
      </c>
      <c r="W103" s="11">
        <v>0.2573</v>
      </c>
      <c r="X103" s="8">
        <v>58</v>
      </c>
      <c r="Y103" s="8">
        <v>66</v>
      </c>
      <c r="Z103" s="8">
        <v>0.88</v>
      </c>
      <c r="AA103" s="8">
        <v>58</v>
      </c>
      <c r="AB103" s="8">
        <v>3.96</v>
      </c>
      <c r="AC103" s="8">
        <v>1.05</v>
      </c>
      <c r="AD103" s="8">
        <v>0</v>
      </c>
      <c r="AE103" s="8">
        <v>0</v>
      </c>
      <c r="AF103" s="11">
        <v>0</v>
      </c>
      <c r="AG103" s="8">
        <v>0</v>
      </c>
      <c r="AH103" s="8">
        <v>0</v>
      </c>
      <c r="AI103" s="11">
        <v>0</v>
      </c>
      <c r="AJ103" s="8" t="s">
        <v>237</v>
      </c>
    </row>
    <row r="104" customFormat="1" ht="22" customHeight="1" spans="1:36">
      <c r="A104" s="8" t="s">
        <v>37</v>
      </c>
      <c r="B104" s="8" t="str">
        <f>VLOOKUP(F104,[1]Sheet1!$B:$E,3,FALSE)</f>
        <v>徐从众</v>
      </c>
      <c r="C104" s="9" t="str">
        <f>VLOOKUP(F104,[1]Sheet1!$B:$E,4,FALSE)</f>
        <v>S</v>
      </c>
      <c r="D104" s="8" t="s">
        <v>238</v>
      </c>
      <c r="E104" s="8">
        <v>4.9</v>
      </c>
      <c r="F104" s="10">
        <v>31828568</v>
      </c>
      <c r="G104" s="8">
        <v>1769</v>
      </c>
      <c r="H104" s="8">
        <v>1456.2</v>
      </c>
      <c r="I104" s="8">
        <v>26.2</v>
      </c>
      <c r="J104" s="8">
        <v>18.2</v>
      </c>
      <c r="K104" s="8">
        <v>3730.24</v>
      </c>
      <c r="L104" s="8">
        <v>2047</v>
      </c>
      <c r="M104" s="11">
        <v>0.0757</v>
      </c>
      <c r="N104" s="11">
        <v>0.4903</v>
      </c>
      <c r="O104" s="8">
        <v>80</v>
      </c>
      <c r="P104" s="8">
        <v>4286</v>
      </c>
      <c r="Q104" s="11">
        <v>0.0838</v>
      </c>
      <c r="R104" s="11">
        <v>0.351</v>
      </c>
      <c r="S104" s="8">
        <v>129</v>
      </c>
      <c r="T104" s="11">
        <v>0.2719</v>
      </c>
      <c r="U104" s="11">
        <v>0.5252</v>
      </c>
      <c r="V104" s="11">
        <v>0.2206</v>
      </c>
      <c r="W104" s="11">
        <v>0.2999</v>
      </c>
      <c r="X104" s="8">
        <v>79.96</v>
      </c>
      <c r="Y104" s="8">
        <v>77</v>
      </c>
      <c r="Z104" s="8">
        <v>1.04</v>
      </c>
      <c r="AA104" s="8">
        <v>79.96</v>
      </c>
      <c r="AB104" s="8">
        <v>5.49</v>
      </c>
      <c r="AC104" s="8">
        <v>1.16</v>
      </c>
      <c r="AD104" s="8">
        <v>0</v>
      </c>
      <c r="AE104" s="8">
        <v>0</v>
      </c>
      <c r="AF104" s="11">
        <v>0</v>
      </c>
      <c r="AG104" s="8">
        <v>0</v>
      </c>
      <c r="AH104" s="8">
        <v>0</v>
      </c>
      <c r="AI104" s="11">
        <v>0</v>
      </c>
      <c r="AJ104" s="8" t="s">
        <v>239</v>
      </c>
    </row>
    <row r="105" customFormat="1" ht="22" customHeight="1" spans="1:36">
      <c r="A105" s="8" t="s">
        <v>37</v>
      </c>
      <c r="B105" s="8" t="str">
        <f>VLOOKUP(F105,[1]Sheet1!$B:$E,3,FALSE)</f>
        <v>王森</v>
      </c>
      <c r="C105" s="9" t="str">
        <f>VLOOKUP(F105,[1]Sheet1!$B:$E,4,FALSE)</f>
        <v>A</v>
      </c>
      <c r="D105" s="8" t="s">
        <v>240</v>
      </c>
      <c r="E105" s="8">
        <v>4.4</v>
      </c>
      <c r="F105" s="10">
        <v>13185296</v>
      </c>
      <c r="G105" s="8">
        <v>1173</v>
      </c>
      <c r="H105" s="8">
        <v>1450.5</v>
      </c>
      <c r="I105" s="8">
        <v>49.4</v>
      </c>
      <c r="J105" s="8">
        <v>39.2</v>
      </c>
      <c r="K105" s="8">
        <v>4167.4</v>
      </c>
      <c r="L105" s="8">
        <v>2345</v>
      </c>
      <c r="M105" s="11">
        <v>0.0925</v>
      </c>
      <c r="N105" s="11">
        <v>0.1659</v>
      </c>
      <c r="O105" s="8">
        <v>37</v>
      </c>
      <c r="P105" s="8">
        <v>3104</v>
      </c>
      <c r="Q105" s="11">
        <v>0.0834</v>
      </c>
      <c r="R105" s="11">
        <v>0.2896</v>
      </c>
      <c r="S105" s="8">
        <v>76</v>
      </c>
      <c r="T105" s="11">
        <v>0.1444</v>
      </c>
      <c r="U105" s="11">
        <v>0.2565</v>
      </c>
      <c r="V105" s="11">
        <v>0.2242</v>
      </c>
      <c r="W105" s="11">
        <v>0.2865</v>
      </c>
      <c r="X105" s="8">
        <v>65.72</v>
      </c>
      <c r="Y105" s="8">
        <v>86</v>
      </c>
      <c r="Z105" s="8">
        <v>0.76</v>
      </c>
      <c r="AA105" s="8">
        <v>65.72</v>
      </c>
      <c r="AB105" s="8">
        <v>4.53</v>
      </c>
      <c r="AC105" s="8">
        <v>2</v>
      </c>
      <c r="AD105" s="8">
        <v>5</v>
      </c>
      <c r="AE105" s="8">
        <v>5</v>
      </c>
      <c r="AF105" s="11">
        <v>1</v>
      </c>
      <c r="AG105" s="8">
        <v>0</v>
      </c>
      <c r="AH105" s="8">
        <v>0</v>
      </c>
      <c r="AI105" s="11">
        <v>0</v>
      </c>
      <c r="AJ105" s="8" t="s">
        <v>241</v>
      </c>
    </row>
    <row r="106" customFormat="1" ht="22" customHeight="1" spans="1:36">
      <c r="A106" s="8" t="s">
        <v>37</v>
      </c>
      <c r="B106" s="8" t="str">
        <f>VLOOKUP(F106,[1]Sheet1!$B:$E,3,FALSE)</f>
        <v>徐从众</v>
      </c>
      <c r="C106" s="9" t="str">
        <f>VLOOKUP(F106,[1]Sheet1!$B:$E,4,FALSE)</f>
        <v>A</v>
      </c>
      <c r="D106" s="8" t="s">
        <v>242</v>
      </c>
      <c r="E106" s="8">
        <v>4.6</v>
      </c>
      <c r="F106" s="10">
        <v>18575206</v>
      </c>
      <c r="G106" s="8">
        <v>590</v>
      </c>
      <c r="H106" s="8">
        <v>1443.27</v>
      </c>
      <c r="I106" s="8">
        <v>83.42</v>
      </c>
      <c r="J106" s="8">
        <v>65.6</v>
      </c>
      <c r="K106" s="8">
        <v>4411.17</v>
      </c>
      <c r="L106" s="8">
        <v>906</v>
      </c>
      <c r="M106" s="11">
        <v>0.1082</v>
      </c>
      <c r="N106" s="11">
        <v>0.2347</v>
      </c>
      <c r="O106" s="8">
        <v>22</v>
      </c>
      <c r="P106" s="8">
        <v>4819</v>
      </c>
      <c r="Q106" s="11">
        <v>0.0836</v>
      </c>
      <c r="R106" s="11">
        <v>0.2605</v>
      </c>
      <c r="S106" s="8">
        <v>110</v>
      </c>
      <c r="T106" s="11">
        <v>0.1504</v>
      </c>
      <c r="U106" s="11">
        <v>0.2308</v>
      </c>
      <c r="V106" s="11">
        <v>0.2041</v>
      </c>
      <c r="W106" s="11">
        <v>0.2915</v>
      </c>
      <c r="X106" s="8">
        <v>0</v>
      </c>
      <c r="Y106" s="8">
        <v>0</v>
      </c>
      <c r="Z106" s="8">
        <v>-0.01</v>
      </c>
      <c r="AA106" s="8">
        <v>0</v>
      </c>
      <c r="AB106" s="8">
        <v>0</v>
      </c>
      <c r="AC106" s="8">
        <v>1.54</v>
      </c>
      <c r="AD106" s="8">
        <v>0</v>
      </c>
      <c r="AE106" s="8">
        <v>0</v>
      </c>
      <c r="AF106" s="11">
        <v>0</v>
      </c>
      <c r="AG106" s="8">
        <v>0</v>
      </c>
      <c r="AH106" s="8">
        <v>0</v>
      </c>
      <c r="AI106" s="11">
        <v>0</v>
      </c>
      <c r="AJ106" s="8" t="s">
        <v>243</v>
      </c>
    </row>
    <row r="107" customFormat="1" ht="22" customHeight="1" spans="1:36">
      <c r="A107" s="8" t="s">
        <v>37</v>
      </c>
      <c r="B107" s="8" t="str">
        <f>VLOOKUP(F107,[1]Sheet1!$B:$E,3,FALSE)</f>
        <v>王森</v>
      </c>
      <c r="C107" s="9" t="str">
        <f>VLOOKUP(F107,[1]Sheet1!$B:$E,4,FALSE)</f>
        <v>A</v>
      </c>
      <c r="D107" s="8" t="s">
        <v>244</v>
      </c>
      <c r="E107" s="8">
        <v>4.5</v>
      </c>
      <c r="F107" s="10">
        <v>25936994</v>
      </c>
      <c r="G107" s="8">
        <v>2232</v>
      </c>
      <c r="H107" s="8">
        <v>1438.37</v>
      </c>
      <c r="I107" s="8">
        <v>29.45</v>
      </c>
      <c r="J107" s="8">
        <v>21.15</v>
      </c>
      <c r="K107" s="8">
        <v>3266.33</v>
      </c>
      <c r="L107" s="8">
        <v>3155</v>
      </c>
      <c r="M107" s="11">
        <v>0.0967</v>
      </c>
      <c r="N107" s="11">
        <v>0.2131</v>
      </c>
      <c r="O107" s="8">
        <v>68</v>
      </c>
      <c r="P107" s="8">
        <v>5556</v>
      </c>
      <c r="Q107" s="11">
        <v>0.0826</v>
      </c>
      <c r="R107" s="11">
        <v>0.2462</v>
      </c>
      <c r="S107" s="8">
        <v>114</v>
      </c>
      <c r="T107" s="11">
        <v>0.2058</v>
      </c>
      <c r="U107" s="11">
        <v>0.3004</v>
      </c>
      <c r="V107" s="11">
        <v>0.1955</v>
      </c>
      <c r="W107" s="11">
        <v>0.2729</v>
      </c>
      <c r="X107" s="8">
        <v>0</v>
      </c>
      <c r="Y107" s="8">
        <v>0</v>
      </c>
      <c r="Z107" s="8">
        <v>-0.01</v>
      </c>
      <c r="AA107" s="8">
        <v>0</v>
      </c>
      <c r="AB107" s="8">
        <v>0</v>
      </c>
      <c r="AC107" s="8">
        <v>1.41</v>
      </c>
      <c r="AD107" s="8">
        <v>3</v>
      </c>
      <c r="AE107" s="8">
        <v>2</v>
      </c>
      <c r="AF107" s="11">
        <v>0.6667</v>
      </c>
      <c r="AG107" s="8">
        <v>0</v>
      </c>
      <c r="AH107" s="8">
        <v>1</v>
      </c>
      <c r="AI107" s="11">
        <v>0.3333</v>
      </c>
      <c r="AJ107" s="8" t="s">
        <v>245</v>
      </c>
    </row>
    <row r="108" customFormat="1" ht="22" customHeight="1" spans="1:36">
      <c r="A108" s="8" t="s">
        <v>37</v>
      </c>
      <c r="B108" s="8" t="str">
        <f>VLOOKUP(F108,[1]Sheet1!$B:$E,3,FALSE)</f>
        <v>王森</v>
      </c>
      <c r="C108" s="9" t="str">
        <f>VLOOKUP(F108,[1]Sheet1!$B:$E,4,FALSE)</f>
        <v>A</v>
      </c>
      <c r="D108" s="8" t="s">
        <v>246</v>
      </c>
      <c r="E108" s="8">
        <v>4.8</v>
      </c>
      <c r="F108" s="10">
        <v>20607838</v>
      </c>
      <c r="G108" s="8">
        <v>2700</v>
      </c>
      <c r="H108" s="8">
        <v>1418.38</v>
      </c>
      <c r="I108" s="8">
        <v>25.37</v>
      </c>
      <c r="J108" s="8">
        <v>19.98</v>
      </c>
      <c r="K108" s="8">
        <v>3555.51</v>
      </c>
      <c r="L108" s="8">
        <v>3760</v>
      </c>
      <c r="M108" s="11">
        <v>0.0888</v>
      </c>
      <c r="N108" s="11">
        <v>0.2066</v>
      </c>
      <c r="O108" s="8">
        <v>71</v>
      </c>
      <c r="P108" s="8">
        <v>5699</v>
      </c>
      <c r="Q108" s="11">
        <v>0.0781</v>
      </c>
      <c r="R108" s="11">
        <v>0.2809</v>
      </c>
      <c r="S108" s="8">
        <v>128</v>
      </c>
      <c r="T108" s="11">
        <v>0.1957</v>
      </c>
      <c r="U108" s="11">
        <v>0.3455</v>
      </c>
      <c r="V108" s="11">
        <v>0.2096</v>
      </c>
      <c r="W108" s="11">
        <v>0.3008</v>
      </c>
      <c r="X108" s="8">
        <v>0</v>
      </c>
      <c r="Y108" s="8">
        <v>0</v>
      </c>
      <c r="Z108" s="8">
        <v>-0.01</v>
      </c>
      <c r="AA108" s="8">
        <v>0</v>
      </c>
      <c r="AB108" s="8">
        <v>0</v>
      </c>
      <c r="AC108" s="8">
        <v>1.39</v>
      </c>
      <c r="AD108" s="8">
        <v>1</v>
      </c>
      <c r="AE108" s="8">
        <v>1</v>
      </c>
      <c r="AF108" s="11">
        <v>1</v>
      </c>
      <c r="AG108" s="8">
        <v>0</v>
      </c>
      <c r="AH108" s="8">
        <v>0</v>
      </c>
      <c r="AI108" s="11">
        <v>0</v>
      </c>
      <c r="AJ108" s="8" t="s">
        <v>247</v>
      </c>
    </row>
    <row r="109" customFormat="1" ht="22" customHeight="1" spans="1:36">
      <c r="A109" s="8" t="s">
        <v>37</v>
      </c>
      <c r="B109" s="8" t="str">
        <f>VLOOKUP(F109,[1]Sheet1!$B:$E,3,FALSE)</f>
        <v>徐从众</v>
      </c>
      <c r="C109" s="9" t="str">
        <f>VLOOKUP(F109,[1]Sheet1!$B:$E,4,FALSE)</f>
        <v>S</v>
      </c>
      <c r="D109" s="8" t="s">
        <v>248</v>
      </c>
      <c r="E109" s="8">
        <v>4.9</v>
      </c>
      <c r="F109" s="10">
        <v>26665923</v>
      </c>
      <c r="G109" s="8">
        <v>1974</v>
      </c>
      <c r="H109" s="8">
        <v>1407.32</v>
      </c>
      <c r="I109" s="8">
        <v>28.5</v>
      </c>
      <c r="J109" s="8">
        <v>20.4</v>
      </c>
      <c r="K109" s="8">
        <v>3461.39</v>
      </c>
      <c r="L109" s="8">
        <v>2123</v>
      </c>
      <c r="M109" s="11">
        <v>0.0716</v>
      </c>
      <c r="N109" s="11">
        <v>0.4539</v>
      </c>
      <c r="O109" s="8">
        <v>69</v>
      </c>
      <c r="P109" s="8">
        <v>3145</v>
      </c>
      <c r="Q109" s="11">
        <v>0.0935</v>
      </c>
      <c r="R109" s="11">
        <v>0.381</v>
      </c>
      <c r="S109" s="8">
        <v>115</v>
      </c>
      <c r="T109" s="11">
        <v>0.1954</v>
      </c>
      <c r="U109" s="11">
        <v>0.4518</v>
      </c>
      <c r="V109" s="11">
        <v>0.232</v>
      </c>
      <c r="W109" s="11">
        <v>0.3054</v>
      </c>
      <c r="X109" s="8">
        <v>71.57</v>
      </c>
      <c r="Y109" s="8">
        <v>62</v>
      </c>
      <c r="Z109" s="8">
        <v>1.15</v>
      </c>
      <c r="AA109" s="8">
        <v>71.57</v>
      </c>
      <c r="AB109" s="8">
        <v>5.09</v>
      </c>
      <c r="AC109" s="8">
        <v>1.08</v>
      </c>
      <c r="AD109" s="8">
        <v>0</v>
      </c>
      <c r="AE109" s="8">
        <v>0</v>
      </c>
      <c r="AF109" s="11">
        <v>0</v>
      </c>
      <c r="AG109" s="8">
        <v>0</v>
      </c>
      <c r="AH109" s="8">
        <v>0</v>
      </c>
      <c r="AI109" s="11">
        <v>0</v>
      </c>
      <c r="AJ109" s="8" t="s">
        <v>249</v>
      </c>
    </row>
    <row r="110" customFormat="1" ht="22" customHeight="1" spans="1:36">
      <c r="A110" s="8" t="s">
        <v>37</v>
      </c>
      <c r="B110" s="8" t="str">
        <f>VLOOKUP(F110,[1]Sheet1!$B:$E,3,FALSE)</f>
        <v>岳贝贝</v>
      </c>
      <c r="C110" s="9" t="str">
        <f>VLOOKUP(F110,[1]Sheet1!$B:$E,4,FALSE)</f>
        <v>A</v>
      </c>
      <c r="D110" s="8" t="s">
        <v>250</v>
      </c>
      <c r="E110" s="8">
        <v>4.6</v>
      </c>
      <c r="F110" s="10">
        <v>31366741</v>
      </c>
      <c r="G110" s="8">
        <v>2254</v>
      </c>
      <c r="H110" s="8">
        <v>1405.29</v>
      </c>
      <c r="I110" s="8">
        <v>28.65</v>
      </c>
      <c r="J110" s="8">
        <v>18.25</v>
      </c>
      <c r="K110" s="8">
        <v>6192.54</v>
      </c>
      <c r="L110" s="8">
        <v>4561</v>
      </c>
      <c r="M110" s="11">
        <v>0.0954</v>
      </c>
      <c r="N110" s="11">
        <v>0.177</v>
      </c>
      <c r="O110" s="8">
        <v>77</v>
      </c>
      <c r="P110" s="8">
        <v>8537</v>
      </c>
      <c r="Q110" s="11">
        <v>0.0759</v>
      </c>
      <c r="R110" s="11">
        <v>0.3318</v>
      </c>
      <c r="S110" s="8">
        <v>217</v>
      </c>
      <c r="T110" s="11">
        <v>0.1177</v>
      </c>
      <c r="U110" s="11">
        <v>0.2637</v>
      </c>
      <c r="V110" s="11">
        <v>0.198</v>
      </c>
      <c r="W110" s="11">
        <v>0.2821</v>
      </c>
      <c r="X110" s="8">
        <v>0.5</v>
      </c>
      <c r="Y110" s="8">
        <v>1</v>
      </c>
      <c r="Z110" s="8">
        <v>0.5</v>
      </c>
      <c r="AA110" s="8">
        <v>0.5</v>
      </c>
      <c r="AB110" s="8">
        <v>0.04</v>
      </c>
      <c r="AC110" s="8">
        <v>2.02</v>
      </c>
      <c r="AD110" s="8">
        <v>2</v>
      </c>
      <c r="AE110" s="8">
        <v>2</v>
      </c>
      <c r="AF110" s="11">
        <v>1</v>
      </c>
      <c r="AG110" s="8">
        <v>0</v>
      </c>
      <c r="AH110" s="8">
        <v>0</v>
      </c>
      <c r="AI110" s="11">
        <v>0</v>
      </c>
      <c r="AJ110" s="8" t="s">
        <v>251</v>
      </c>
    </row>
    <row r="111" customFormat="1" ht="22" customHeight="1" spans="1:36">
      <c r="A111" s="8" t="s">
        <v>37</v>
      </c>
      <c r="B111" s="8" t="str">
        <f>VLOOKUP(F111,[1]Sheet1!$B:$E,3,FALSE)</f>
        <v>岳贝贝</v>
      </c>
      <c r="C111" s="9" t="str">
        <f>VLOOKUP(F111,[1]Sheet1!$B:$E,4,FALSE)</f>
        <v>S</v>
      </c>
      <c r="D111" s="8" t="s">
        <v>252</v>
      </c>
      <c r="E111" s="8">
        <v>4.6</v>
      </c>
      <c r="F111" s="10">
        <v>33175402</v>
      </c>
      <c r="G111" s="8">
        <v>1298</v>
      </c>
      <c r="H111" s="8">
        <v>1388.16</v>
      </c>
      <c r="I111" s="8">
        <v>78.41</v>
      </c>
      <c r="J111" s="8">
        <v>55.53</v>
      </c>
      <c r="K111" s="8">
        <v>5102.3</v>
      </c>
      <c r="L111" s="8">
        <v>2583</v>
      </c>
      <c r="M111" s="11">
        <v>0.101</v>
      </c>
      <c r="N111" s="11">
        <v>0.092</v>
      </c>
      <c r="O111" s="8">
        <v>25</v>
      </c>
      <c r="P111" s="8">
        <v>4924</v>
      </c>
      <c r="Q111" s="11">
        <v>0.0892</v>
      </c>
      <c r="R111" s="11">
        <v>0.2597</v>
      </c>
      <c r="S111" s="8">
        <v>119</v>
      </c>
      <c r="T111" s="11">
        <v>0.1229</v>
      </c>
      <c r="U111" s="11">
        <v>0.3687</v>
      </c>
      <c r="V111" s="11">
        <v>0.2098</v>
      </c>
      <c r="W111" s="11">
        <v>0.2671</v>
      </c>
      <c r="X111" s="8">
        <v>0</v>
      </c>
      <c r="Y111" s="8">
        <v>0</v>
      </c>
      <c r="Z111" s="8">
        <v>-0.01</v>
      </c>
      <c r="AA111" s="8">
        <v>0</v>
      </c>
      <c r="AB111" s="8">
        <v>0</v>
      </c>
      <c r="AC111" s="8">
        <v>1.99</v>
      </c>
      <c r="AD111" s="8">
        <v>5</v>
      </c>
      <c r="AE111" s="8">
        <v>5</v>
      </c>
      <c r="AF111" s="11">
        <v>1</v>
      </c>
      <c r="AG111" s="8">
        <v>0</v>
      </c>
      <c r="AH111" s="8">
        <v>0</v>
      </c>
      <c r="AI111" s="11">
        <v>0</v>
      </c>
      <c r="AJ111" s="8" t="s">
        <v>253</v>
      </c>
    </row>
    <row r="112" customFormat="1" ht="22" customHeight="1" spans="1:36">
      <c r="A112" s="8" t="s">
        <v>37</v>
      </c>
      <c r="B112" s="8" t="str">
        <f>VLOOKUP(F112,[1]Sheet1!$B:$E,3,FALSE)</f>
        <v>徐从众</v>
      </c>
      <c r="C112" s="9" t="str">
        <f>VLOOKUP(F112,[1]Sheet1!$B:$E,4,FALSE)</f>
        <v>S</v>
      </c>
      <c r="D112" s="8" t="s">
        <v>254</v>
      </c>
      <c r="E112" s="8">
        <v>4.8</v>
      </c>
      <c r="F112" s="10">
        <v>11572017</v>
      </c>
      <c r="G112" s="8">
        <v>645</v>
      </c>
      <c r="H112" s="8">
        <v>1385.4</v>
      </c>
      <c r="I112" s="8">
        <v>70.07</v>
      </c>
      <c r="J112" s="8">
        <v>53.28</v>
      </c>
      <c r="K112" s="8">
        <v>3007.12</v>
      </c>
      <c r="L112" s="8">
        <v>770</v>
      </c>
      <c r="M112" s="11">
        <v>0.1</v>
      </c>
      <c r="N112" s="11">
        <v>0.3247</v>
      </c>
      <c r="O112" s="8">
        <v>26</v>
      </c>
      <c r="P112" s="8">
        <v>2921</v>
      </c>
      <c r="Q112" s="11">
        <v>0.0931</v>
      </c>
      <c r="R112" s="11">
        <v>0.2059</v>
      </c>
      <c r="S112" s="8">
        <v>58</v>
      </c>
      <c r="T112" s="11">
        <v>0.1257</v>
      </c>
      <c r="U112" s="11">
        <v>0.3458</v>
      </c>
      <c r="V112" s="11">
        <v>0.2203</v>
      </c>
      <c r="W112" s="11">
        <v>0.278</v>
      </c>
      <c r="X112" s="8">
        <v>0</v>
      </c>
      <c r="Y112" s="8">
        <v>0</v>
      </c>
      <c r="Z112" s="8">
        <v>-0.01</v>
      </c>
      <c r="AA112" s="8">
        <v>0</v>
      </c>
      <c r="AB112" s="8">
        <v>0</v>
      </c>
      <c r="AC112" s="8">
        <v>1.19</v>
      </c>
      <c r="AD112" s="8">
        <v>1</v>
      </c>
      <c r="AE112" s="8">
        <v>1</v>
      </c>
      <c r="AF112" s="11">
        <v>1</v>
      </c>
      <c r="AG112" s="8">
        <v>0</v>
      </c>
      <c r="AH112" s="8">
        <v>0</v>
      </c>
      <c r="AI112" s="11">
        <v>0</v>
      </c>
      <c r="AJ112" s="8" t="s">
        <v>201</v>
      </c>
    </row>
    <row r="113" customFormat="1" ht="22" customHeight="1" spans="1:36">
      <c r="A113" s="8" t="s">
        <v>37</v>
      </c>
      <c r="B113" s="8" t="str">
        <f>VLOOKUP(F113,[1]Sheet1!$B:$E,3,FALSE)</f>
        <v>徐从众</v>
      </c>
      <c r="C113" s="9" t="str">
        <f>VLOOKUP(F113,[1]Sheet1!$B:$E,4,FALSE)</f>
        <v>S</v>
      </c>
      <c r="D113" s="8" t="s">
        <v>255</v>
      </c>
      <c r="E113" s="8">
        <v>4.7</v>
      </c>
      <c r="F113" s="10">
        <v>23744022</v>
      </c>
      <c r="G113" s="8">
        <v>1851</v>
      </c>
      <c r="H113" s="8">
        <v>1383.96</v>
      </c>
      <c r="I113" s="8">
        <v>30.06</v>
      </c>
      <c r="J113" s="8">
        <v>21.97</v>
      </c>
      <c r="K113" s="8">
        <v>4087.58</v>
      </c>
      <c r="L113" s="8">
        <v>1969</v>
      </c>
      <c r="M113" s="11">
        <v>0.095</v>
      </c>
      <c r="N113" s="11">
        <v>0.3369</v>
      </c>
      <c r="O113" s="8">
        <v>63</v>
      </c>
      <c r="P113" s="8">
        <v>4288</v>
      </c>
      <c r="Q113" s="11">
        <v>0.0917</v>
      </c>
      <c r="R113" s="11">
        <v>0.2952</v>
      </c>
      <c r="S113" s="8">
        <v>119</v>
      </c>
      <c r="T113" s="11">
        <v>0.1547</v>
      </c>
      <c r="U113" s="11">
        <v>0.301</v>
      </c>
      <c r="V113" s="11">
        <v>0.2012</v>
      </c>
      <c r="W113" s="11">
        <v>0.3058</v>
      </c>
      <c r="X113" s="8">
        <v>0</v>
      </c>
      <c r="Y113" s="8">
        <v>0</v>
      </c>
      <c r="Z113" s="8">
        <v>-0.01</v>
      </c>
      <c r="AA113" s="8">
        <v>0</v>
      </c>
      <c r="AB113" s="8">
        <v>0</v>
      </c>
      <c r="AC113" s="8">
        <v>1.06</v>
      </c>
      <c r="AD113" s="8">
        <v>2</v>
      </c>
      <c r="AE113" s="8">
        <v>2</v>
      </c>
      <c r="AF113" s="11">
        <v>1</v>
      </c>
      <c r="AG113" s="8">
        <v>0</v>
      </c>
      <c r="AH113" s="8">
        <v>0</v>
      </c>
      <c r="AI113" s="11">
        <v>0</v>
      </c>
      <c r="AJ113" s="8" t="s">
        <v>256</v>
      </c>
    </row>
    <row r="114" customFormat="1" ht="22" customHeight="1" spans="1:36">
      <c r="A114" s="8" t="s">
        <v>37</v>
      </c>
      <c r="B114" s="8" t="str">
        <f>VLOOKUP(F114,[1]Sheet1!$B:$E,3,FALSE)</f>
        <v>徐从众</v>
      </c>
      <c r="C114" s="9" t="str">
        <f>VLOOKUP(F114,[1]Sheet1!$B:$E,4,FALSE)</f>
        <v>S</v>
      </c>
      <c r="D114" s="8" t="s">
        <v>257</v>
      </c>
      <c r="E114" s="8">
        <v>4.8</v>
      </c>
      <c r="F114" s="10">
        <v>26067101</v>
      </c>
      <c r="G114" s="8">
        <v>1695</v>
      </c>
      <c r="H114" s="8">
        <v>1382.36</v>
      </c>
      <c r="I114" s="8">
        <v>27.27</v>
      </c>
      <c r="J114" s="8">
        <v>17.72</v>
      </c>
      <c r="K114" s="8">
        <v>3734.19</v>
      </c>
      <c r="L114" s="8">
        <v>2958</v>
      </c>
      <c r="M114" s="11">
        <v>0.0744</v>
      </c>
      <c r="N114" s="11">
        <v>0.35</v>
      </c>
      <c r="O114" s="8">
        <v>78</v>
      </c>
      <c r="P114" s="8">
        <v>4149</v>
      </c>
      <c r="Q114" s="11">
        <v>0.0829</v>
      </c>
      <c r="R114" s="11">
        <v>0.282</v>
      </c>
      <c r="S114" s="8">
        <v>99</v>
      </c>
      <c r="T114" s="11">
        <v>0.1812</v>
      </c>
      <c r="U114" s="11">
        <v>0.3978</v>
      </c>
      <c r="V114" s="11">
        <v>0.2298</v>
      </c>
      <c r="W114" s="11">
        <v>0.3373</v>
      </c>
      <c r="X114" s="8">
        <v>135.73</v>
      </c>
      <c r="Y114" s="8">
        <v>116</v>
      </c>
      <c r="Z114" s="8">
        <v>1.17</v>
      </c>
      <c r="AA114" s="8">
        <v>135.73</v>
      </c>
      <c r="AB114" s="8">
        <v>9.82</v>
      </c>
      <c r="AC114" s="8">
        <v>1.75</v>
      </c>
      <c r="AD114" s="8">
        <v>1</v>
      </c>
      <c r="AE114" s="8">
        <v>1</v>
      </c>
      <c r="AF114" s="11">
        <v>1</v>
      </c>
      <c r="AG114" s="8">
        <v>0</v>
      </c>
      <c r="AH114" s="8">
        <v>0</v>
      </c>
      <c r="AI114" s="11">
        <v>0</v>
      </c>
      <c r="AJ114" s="8" t="s">
        <v>258</v>
      </c>
    </row>
    <row r="115" customFormat="1" ht="22" customHeight="1" spans="1:36">
      <c r="A115" s="8" t="s">
        <v>37</v>
      </c>
      <c r="B115" s="8" t="str">
        <f>VLOOKUP(F115,[1]Sheet1!$B:$E,3,FALSE)</f>
        <v>徐从众</v>
      </c>
      <c r="C115" s="9" t="str">
        <f>VLOOKUP(F115,[1]Sheet1!$B:$E,4,FALSE)</f>
        <v>S</v>
      </c>
      <c r="D115" s="8" t="s">
        <v>259</v>
      </c>
      <c r="E115" s="8">
        <v>4.8</v>
      </c>
      <c r="F115" s="10">
        <v>25758886</v>
      </c>
      <c r="G115" s="8">
        <v>830</v>
      </c>
      <c r="H115" s="8">
        <v>1360.91</v>
      </c>
      <c r="I115" s="8">
        <v>76.12</v>
      </c>
      <c r="J115" s="8">
        <v>59.17</v>
      </c>
      <c r="K115" s="8">
        <v>3578.84</v>
      </c>
      <c r="L115" s="8">
        <v>1160</v>
      </c>
      <c r="M115" s="11">
        <v>0.0802</v>
      </c>
      <c r="N115" s="11">
        <v>0.2473</v>
      </c>
      <c r="O115" s="8">
        <v>23</v>
      </c>
      <c r="P115" s="8">
        <v>3923</v>
      </c>
      <c r="Q115" s="11">
        <v>0.0785</v>
      </c>
      <c r="R115" s="11">
        <v>0.2597</v>
      </c>
      <c r="S115" s="8">
        <v>83</v>
      </c>
      <c r="T115" s="11">
        <v>0.1146</v>
      </c>
      <c r="U115" s="11">
        <v>0.3321</v>
      </c>
      <c r="V115" s="11">
        <v>0.1898</v>
      </c>
      <c r="W115" s="11">
        <v>0.2766</v>
      </c>
      <c r="X115" s="8">
        <v>0</v>
      </c>
      <c r="Y115" s="8">
        <v>0</v>
      </c>
      <c r="Z115" s="8">
        <v>-0.01</v>
      </c>
      <c r="AA115" s="8">
        <v>0</v>
      </c>
      <c r="AB115" s="8">
        <v>0</v>
      </c>
      <c r="AC115" s="8">
        <v>1.4</v>
      </c>
      <c r="AD115" s="8">
        <v>0</v>
      </c>
      <c r="AE115" s="8">
        <v>0</v>
      </c>
      <c r="AF115" s="11">
        <v>0</v>
      </c>
      <c r="AG115" s="8">
        <v>0</v>
      </c>
      <c r="AH115" s="8">
        <v>0</v>
      </c>
      <c r="AI115" s="11">
        <v>0</v>
      </c>
      <c r="AJ115" s="8" t="s">
        <v>225</v>
      </c>
    </row>
    <row r="116" customFormat="1" ht="22" customHeight="1" spans="1:36">
      <c r="A116" s="8" t="s">
        <v>37</v>
      </c>
      <c r="B116" s="8" t="str">
        <f>VLOOKUP(F116,[1]Sheet1!$B:$E,3,FALSE)</f>
        <v>岳贝贝</v>
      </c>
      <c r="C116" s="9" t="str">
        <f>VLOOKUP(F116,[1]Sheet1!$B:$E,4,FALSE)</f>
        <v>A</v>
      </c>
      <c r="D116" s="8" t="s">
        <v>260</v>
      </c>
      <c r="E116" s="8">
        <v>4.6</v>
      </c>
      <c r="F116" s="10">
        <v>28419442</v>
      </c>
      <c r="G116" s="8">
        <v>1769</v>
      </c>
      <c r="H116" s="8">
        <v>1358.77</v>
      </c>
      <c r="I116" s="8">
        <v>29.91</v>
      </c>
      <c r="J116" s="8">
        <v>23.03</v>
      </c>
      <c r="K116" s="8">
        <v>4185.19</v>
      </c>
      <c r="L116" s="8">
        <v>2625</v>
      </c>
      <c r="M116" s="11">
        <v>0.0701</v>
      </c>
      <c r="N116" s="11">
        <v>0.3261</v>
      </c>
      <c r="O116" s="8">
        <v>59</v>
      </c>
      <c r="P116" s="8">
        <v>4860</v>
      </c>
      <c r="Q116" s="11">
        <v>0.0819</v>
      </c>
      <c r="R116" s="11">
        <v>0.3693</v>
      </c>
      <c r="S116" s="8">
        <v>151</v>
      </c>
      <c r="T116" s="11">
        <v>0.1521</v>
      </c>
      <c r="U116" s="11">
        <v>0.2117</v>
      </c>
      <c r="V116" s="11">
        <v>0.241</v>
      </c>
      <c r="W116" s="11">
        <v>0.3219</v>
      </c>
      <c r="X116" s="8">
        <v>47.96</v>
      </c>
      <c r="Y116" s="8">
        <v>63</v>
      </c>
      <c r="Z116" s="8">
        <v>0.76</v>
      </c>
      <c r="AA116" s="8">
        <v>47.96</v>
      </c>
      <c r="AB116" s="8">
        <v>3.53</v>
      </c>
      <c r="AC116" s="8">
        <v>1.48</v>
      </c>
      <c r="AD116" s="8">
        <v>2</v>
      </c>
      <c r="AE116" s="8">
        <v>2</v>
      </c>
      <c r="AF116" s="11">
        <v>1</v>
      </c>
      <c r="AG116" s="8">
        <v>0</v>
      </c>
      <c r="AH116" s="8">
        <v>0</v>
      </c>
      <c r="AI116" s="11">
        <v>0</v>
      </c>
      <c r="AJ116" s="8" t="s">
        <v>261</v>
      </c>
    </row>
    <row r="117" customFormat="1" ht="22" customHeight="1" spans="1:36">
      <c r="A117" s="8" t="s">
        <v>37</v>
      </c>
      <c r="B117" s="8" t="str">
        <f>VLOOKUP(F117,[1]Sheet1!$B:$E,3,FALSE)</f>
        <v>徐从众</v>
      </c>
      <c r="C117" s="9" t="str">
        <f>VLOOKUP(F117,[1]Sheet1!$B:$E,4,FALSE)</f>
        <v>S</v>
      </c>
      <c r="D117" s="8" t="s">
        <v>262</v>
      </c>
      <c r="E117" s="8">
        <v>4.9</v>
      </c>
      <c r="F117" s="10">
        <v>33153942</v>
      </c>
      <c r="G117" s="8">
        <v>2105</v>
      </c>
      <c r="H117" s="8">
        <v>1352.09</v>
      </c>
      <c r="I117" s="8">
        <v>27.91</v>
      </c>
      <c r="J117" s="8">
        <v>19.6</v>
      </c>
      <c r="K117" s="8">
        <v>3342.71</v>
      </c>
      <c r="L117" s="8">
        <v>2674</v>
      </c>
      <c r="M117" s="11">
        <v>0.0711</v>
      </c>
      <c r="N117" s="11">
        <v>0.3632</v>
      </c>
      <c r="O117" s="8">
        <v>69</v>
      </c>
      <c r="P117" s="8">
        <v>3795</v>
      </c>
      <c r="Q117" s="11">
        <v>0.0891</v>
      </c>
      <c r="R117" s="11">
        <v>0.3609</v>
      </c>
      <c r="S117" s="8">
        <v>124</v>
      </c>
      <c r="T117" s="11">
        <v>0.289</v>
      </c>
      <c r="U117" s="11">
        <v>0.4898</v>
      </c>
      <c r="V117" s="11">
        <v>0.2351</v>
      </c>
      <c r="W117" s="11">
        <v>0.3108</v>
      </c>
      <c r="X117" s="8">
        <v>112.55</v>
      </c>
      <c r="Y117" s="8">
        <v>98</v>
      </c>
      <c r="Z117" s="8">
        <v>1.15</v>
      </c>
      <c r="AA117" s="8">
        <v>112.55</v>
      </c>
      <c r="AB117" s="8">
        <v>8.32</v>
      </c>
      <c r="AC117" s="8">
        <v>1.27</v>
      </c>
      <c r="AD117" s="8">
        <v>0</v>
      </c>
      <c r="AE117" s="8">
        <v>0</v>
      </c>
      <c r="AF117" s="11">
        <v>0</v>
      </c>
      <c r="AG117" s="8">
        <v>0</v>
      </c>
      <c r="AH117" s="8">
        <v>0</v>
      </c>
      <c r="AI117" s="11">
        <v>0</v>
      </c>
      <c r="AJ117" s="8" t="s">
        <v>263</v>
      </c>
    </row>
    <row r="118" customFormat="1" ht="22" customHeight="1" spans="1:36">
      <c r="A118" s="8" t="s">
        <v>37</v>
      </c>
      <c r="B118" s="8" t="str">
        <f>VLOOKUP(F118,[1]Sheet1!$B:$E,3,FALSE)</f>
        <v>王森</v>
      </c>
      <c r="C118" s="9" t="str">
        <f>VLOOKUP(F118,[1]Sheet1!$B:$E,4,FALSE)</f>
        <v>S</v>
      </c>
      <c r="D118" s="8" t="s">
        <v>264</v>
      </c>
      <c r="E118" s="8">
        <v>4.6</v>
      </c>
      <c r="F118" s="10">
        <v>23732766</v>
      </c>
      <c r="G118" s="8">
        <v>1426</v>
      </c>
      <c r="H118" s="8">
        <v>1338.38</v>
      </c>
      <c r="I118" s="8">
        <v>34.08</v>
      </c>
      <c r="J118" s="8">
        <v>25.74</v>
      </c>
      <c r="K118" s="8">
        <v>3263.87</v>
      </c>
      <c r="L118" s="8">
        <v>1896</v>
      </c>
      <c r="M118" s="11">
        <v>0.0934</v>
      </c>
      <c r="N118" s="11">
        <v>0.2881</v>
      </c>
      <c r="O118" s="8">
        <v>52</v>
      </c>
      <c r="P118" s="8">
        <v>4418</v>
      </c>
      <c r="Q118" s="11">
        <v>0.0779</v>
      </c>
      <c r="R118" s="11">
        <v>0.2413</v>
      </c>
      <c r="S118" s="8">
        <v>86</v>
      </c>
      <c r="T118" s="11">
        <v>0.1133</v>
      </c>
      <c r="U118" s="11">
        <v>0.2346</v>
      </c>
      <c r="V118" s="11">
        <v>0.1954</v>
      </c>
      <c r="W118" s="11">
        <v>0.2897</v>
      </c>
      <c r="X118" s="8">
        <v>54</v>
      </c>
      <c r="Y118" s="8">
        <v>60</v>
      </c>
      <c r="Z118" s="8">
        <v>0.9</v>
      </c>
      <c r="AA118" s="8">
        <v>54</v>
      </c>
      <c r="AB118" s="8">
        <v>4.03</v>
      </c>
      <c r="AC118" s="8">
        <v>1.33</v>
      </c>
      <c r="AD118" s="8">
        <v>3</v>
      </c>
      <c r="AE118" s="8">
        <v>0</v>
      </c>
      <c r="AF118" s="11">
        <v>0</v>
      </c>
      <c r="AG118" s="8">
        <v>1</v>
      </c>
      <c r="AH118" s="8">
        <v>2</v>
      </c>
      <c r="AI118" s="11">
        <v>0.6667</v>
      </c>
      <c r="AJ118" s="8" t="s">
        <v>265</v>
      </c>
    </row>
    <row r="119" customFormat="1" ht="22" customHeight="1" spans="1:36">
      <c r="A119" s="8" t="s">
        <v>37</v>
      </c>
      <c r="B119" s="8" t="str">
        <f>VLOOKUP(F119,[1]Sheet1!$B:$E,3,FALSE)</f>
        <v>王森</v>
      </c>
      <c r="C119" s="9" t="str">
        <f>VLOOKUP(F119,[1]Sheet1!$B:$E,4,FALSE)</f>
        <v>A</v>
      </c>
      <c r="D119" s="8" t="s">
        <v>266</v>
      </c>
      <c r="E119" s="8">
        <v>4.8</v>
      </c>
      <c r="F119" s="10">
        <v>18959824</v>
      </c>
      <c r="G119" s="8">
        <v>1141</v>
      </c>
      <c r="H119" s="8">
        <v>1338.08</v>
      </c>
      <c r="I119" s="8">
        <v>89.15</v>
      </c>
      <c r="J119" s="8">
        <v>66.9</v>
      </c>
      <c r="K119" s="8">
        <v>1338.08</v>
      </c>
      <c r="L119" s="8">
        <v>1385</v>
      </c>
      <c r="M119" s="11">
        <v>0.0823</v>
      </c>
      <c r="N119" s="11">
        <v>0.1754</v>
      </c>
      <c r="O119" s="8">
        <v>20</v>
      </c>
      <c r="P119" s="8">
        <v>1385</v>
      </c>
      <c r="Q119" s="11">
        <v>0.0823</v>
      </c>
      <c r="R119" s="11">
        <v>0.1754</v>
      </c>
      <c r="S119" s="8">
        <v>20</v>
      </c>
      <c r="T119" s="11">
        <v>0.1449</v>
      </c>
      <c r="U119" s="11">
        <v>0.2875</v>
      </c>
      <c r="V119" s="11">
        <v>0.2279</v>
      </c>
      <c r="W119" s="11">
        <v>0.2875</v>
      </c>
      <c r="X119" s="8">
        <v>57.8</v>
      </c>
      <c r="Y119" s="8">
        <v>83</v>
      </c>
      <c r="Z119" s="8">
        <v>0.7</v>
      </c>
      <c r="AA119" s="8">
        <v>57.8</v>
      </c>
      <c r="AB119" s="8">
        <v>4.32</v>
      </c>
      <c r="AC119" s="8">
        <v>1.21</v>
      </c>
      <c r="AD119" s="8">
        <v>0</v>
      </c>
      <c r="AE119" s="8">
        <v>0</v>
      </c>
      <c r="AF119" s="11">
        <v>0</v>
      </c>
      <c r="AG119" s="8">
        <v>0</v>
      </c>
      <c r="AH119" s="8">
        <v>0</v>
      </c>
      <c r="AI119" s="11">
        <v>0</v>
      </c>
      <c r="AJ119" s="8" t="s">
        <v>267</v>
      </c>
    </row>
    <row r="120" customFormat="1" ht="22" customHeight="1" spans="1:36">
      <c r="A120" s="8" t="s">
        <v>37</v>
      </c>
      <c r="B120" s="8" t="str">
        <f>VLOOKUP(F120,[1]Sheet1!$B:$E,3,FALSE)</f>
        <v>王森</v>
      </c>
      <c r="C120" s="9" t="str">
        <f>VLOOKUP(F120,[1]Sheet1!$B:$E,4,FALSE)</f>
        <v>A</v>
      </c>
      <c r="D120" s="8" t="s">
        <v>268</v>
      </c>
      <c r="E120" s="8">
        <v>4.5</v>
      </c>
      <c r="F120" s="10">
        <v>24094873</v>
      </c>
      <c r="G120" s="8">
        <v>1168</v>
      </c>
      <c r="H120" s="8">
        <v>1336.24</v>
      </c>
      <c r="I120" s="8">
        <v>55.56</v>
      </c>
      <c r="J120" s="8">
        <v>38.18</v>
      </c>
      <c r="K120" s="8">
        <v>5619.6</v>
      </c>
      <c r="L120" s="8">
        <v>2082</v>
      </c>
      <c r="M120" s="11">
        <v>0.0999</v>
      </c>
      <c r="N120" s="11">
        <v>0.1683</v>
      </c>
      <c r="O120" s="8">
        <v>35</v>
      </c>
      <c r="P120" s="8">
        <v>4673</v>
      </c>
      <c r="Q120" s="11">
        <v>0.0948</v>
      </c>
      <c r="R120" s="11">
        <v>0.2506</v>
      </c>
      <c r="S120" s="8">
        <v>114</v>
      </c>
      <c r="T120" s="11">
        <v>0.1118</v>
      </c>
      <c r="U120" s="11">
        <v>0.2667</v>
      </c>
      <c r="V120" s="11">
        <v>0.2069</v>
      </c>
      <c r="W120" s="11">
        <v>0.2824</v>
      </c>
      <c r="X120" s="8">
        <v>146.88</v>
      </c>
      <c r="Y120" s="8">
        <v>112</v>
      </c>
      <c r="Z120" s="8">
        <v>1.31</v>
      </c>
      <c r="AA120" s="8">
        <v>146.88</v>
      </c>
      <c r="AB120" s="8">
        <v>10.99</v>
      </c>
      <c r="AC120" s="8">
        <v>1.78</v>
      </c>
      <c r="AD120" s="8">
        <v>2</v>
      </c>
      <c r="AE120" s="8">
        <v>1</v>
      </c>
      <c r="AF120" s="11">
        <v>0.5</v>
      </c>
      <c r="AG120" s="8">
        <v>0</v>
      </c>
      <c r="AH120" s="8">
        <v>1</v>
      </c>
      <c r="AI120" s="11">
        <v>0.5</v>
      </c>
      <c r="AJ120" s="8" t="s">
        <v>269</v>
      </c>
    </row>
    <row r="121" customFormat="1" ht="22" customHeight="1" spans="1:36">
      <c r="A121" s="8" t="s">
        <v>37</v>
      </c>
      <c r="B121" s="8" t="str">
        <f>VLOOKUP(F121,[1]Sheet1!$B:$E,3,FALSE)</f>
        <v>王森</v>
      </c>
      <c r="C121" s="9" t="str">
        <f>VLOOKUP(F121,[1]Sheet1!$B:$E,4,FALSE)</f>
        <v>S</v>
      </c>
      <c r="D121" s="8" t="s">
        <v>270</v>
      </c>
      <c r="E121" s="8">
        <v>4.7</v>
      </c>
      <c r="F121" s="10">
        <v>30399535</v>
      </c>
      <c r="G121" s="8">
        <v>2171</v>
      </c>
      <c r="H121" s="8">
        <v>1333.45</v>
      </c>
      <c r="I121" s="8">
        <v>29.8</v>
      </c>
      <c r="J121" s="8">
        <v>20.51</v>
      </c>
      <c r="K121" s="8">
        <v>2704.49</v>
      </c>
      <c r="L121" s="8">
        <v>2264</v>
      </c>
      <c r="M121" s="11">
        <v>0.1184</v>
      </c>
      <c r="N121" s="11">
        <v>0.2388</v>
      </c>
      <c r="O121" s="8">
        <v>65</v>
      </c>
      <c r="P121" s="8">
        <v>4249</v>
      </c>
      <c r="Q121" s="11">
        <v>0.0807</v>
      </c>
      <c r="R121" s="11">
        <v>0.2711</v>
      </c>
      <c r="S121" s="8">
        <v>96</v>
      </c>
      <c r="T121" s="11">
        <v>0.1782</v>
      </c>
      <c r="U121" s="11">
        <v>0.3403</v>
      </c>
      <c r="V121" s="11">
        <v>0.2335</v>
      </c>
      <c r="W121" s="11">
        <v>0.3423</v>
      </c>
      <c r="X121" s="8">
        <v>79.86</v>
      </c>
      <c r="Y121" s="8">
        <v>97</v>
      </c>
      <c r="Z121" s="8">
        <v>0.82</v>
      </c>
      <c r="AA121" s="8">
        <v>79.86</v>
      </c>
      <c r="AB121" s="8">
        <v>5.99</v>
      </c>
      <c r="AC121" s="8">
        <v>1.04</v>
      </c>
      <c r="AD121" s="8">
        <v>1</v>
      </c>
      <c r="AE121" s="8">
        <v>1</v>
      </c>
      <c r="AF121" s="11">
        <v>1</v>
      </c>
      <c r="AG121" s="8">
        <v>0</v>
      </c>
      <c r="AH121" s="8">
        <v>0</v>
      </c>
      <c r="AI121" s="11">
        <v>0</v>
      </c>
      <c r="AJ121" s="8" t="s">
        <v>271</v>
      </c>
    </row>
    <row r="122" customFormat="1" ht="22" customHeight="1" spans="1:36">
      <c r="A122" s="8" t="s">
        <v>37</v>
      </c>
      <c r="B122" s="8" t="str">
        <f>VLOOKUP(F122,[1]Sheet1!$B:$E,3,FALSE)</f>
        <v>徐从众</v>
      </c>
      <c r="C122" s="9" t="str">
        <f>VLOOKUP(F122,[1]Sheet1!$B:$E,4,FALSE)</f>
        <v>A</v>
      </c>
      <c r="D122" s="8" t="s">
        <v>272</v>
      </c>
      <c r="E122" s="8">
        <v>4.6</v>
      </c>
      <c r="F122" s="10">
        <v>8516272</v>
      </c>
      <c r="G122" s="8">
        <v>1043</v>
      </c>
      <c r="H122" s="8">
        <v>1333.31</v>
      </c>
      <c r="I122" s="8">
        <v>87.84</v>
      </c>
      <c r="J122" s="8">
        <v>70.17</v>
      </c>
      <c r="K122" s="8">
        <v>3901.97</v>
      </c>
      <c r="L122" s="8">
        <v>1441</v>
      </c>
      <c r="M122" s="11">
        <v>0.0888</v>
      </c>
      <c r="N122" s="11">
        <v>0.1406</v>
      </c>
      <c r="O122" s="8">
        <v>19</v>
      </c>
      <c r="P122" s="8">
        <v>3853</v>
      </c>
      <c r="Q122" s="11">
        <v>0.0859</v>
      </c>
      <c r="R122" s="11">
        <v>0.2085</v>
      </c>
      <c r="S122" s="8">
        <v>71</v>
      </c>
      <c r="T122" s="11">
        <v>0.1097</v>
      </c>
      <c r="U122" s="11">
        <v>0.2647</v>
      </c>
      <c r="V122" s="11">
        <v>0.1998</v>
      </c>
      <c r="W122" s="11">
        <v>0.277</v>
      </c>
      <c r="X122" s="8">
        <v>0</v>
      </c>
      <c r="Y122" s="8">
        <v>0</v>
      </c>
      <c r="Z122" s="8">
        <v>-0.01</v>
      </c>
      <c r="AA122" s="8">
        <v>0</v>
      </c>
      <c r="AB122" s="8">
        <v>0</v>
      </c>
      <c r="AC122" s="8">
        <v>1.38</v>
      </c>
      <c r="AD122" s="8">
        <v>0</v>
      </c>
      <c r="AE122" s="8">
        <v>0</v>
      </c>
      <c r="AF122" s="11">
        <v>0</v>
      </c>
      <c r="AG122" s="8">
        <v>0</v>
      </c>
      <c r="AH122" s="8">
        <v>0</v>
      </c>
      <c r="AI122" s="11">
        <v>0</v>
      </c>
      <c r="AJ122" s="8" t="s">
        <v>273</v>
      </c>
    </row>
    <row r="123" customFormat="1" ht="22" customHeight="1" spans="1:36">
      <c r="A123" s="8" t="s">
        <v>37</v>
      </c>
      <c r="B123" s="8" t="str">
        <f>VLOOKUP(F123,[1]Sheet1!$B:$E,3,FALSE)</f>
        <v>岳贝贝</v>
      </c>
      <c r="C123" s="9" t="str">
        <f>VLOOKUP(F123,[1]Sheet1!$B:$E,4,FALSE)</f>
        <v>A</v>
      </c>
      <c r="D123" s="8" t="s">
        <v>274</v>
      </c>
      <c r="E123" s="8">
        <v>5</v>
      </c>
      <c r="F123" s="10">
        <v>25412201</v>
      </c>
      <c r="G123" s="8">
        <v>450</v>
      </c>
      <c r="H123" s="8">
        <v>1326.63</v>
      </c>
      <c r="I123" s="8">
        <v>114.84</v>
      </c>
      <c r="J123" s="8">
        <v>94.76</v>
      </c>
      <c r="K123" s="8">
        <v>1326.63</v>
      </c>
      <c r="L123" s="8">
        <v>692</v>
      </c>
      <c r="M123" s="11">
        <v>0.1113</v>
      </c>
      <c r="N123" s="11">
        <v>0.1818</v>
      </c>
      <c r="O123" s="8">
        <v>14</v>
      </c>
      <c r="P123" s="8">
        <v>692</v>
      </c>
      <c r="Q123" s="11">
        <v>0.1113</v>
      </c>
      <c r="R123" s="11">
        <v>0.1818</v>
      </c>
      <c r="S123" s="8">
        <v>14</v>
      </c>
      <c r="T123" s="11">
        <v>0.1761</v>
      </c>
      <c r="U123" s="11">
        <v>0.3253</v>
      </c>
      <c r="V123" s="11">
        <v>0.2523</v>
      </c>
      <c r="W123" s="11">
        <v>0.3253</v>
      </c>
      <c r="X123" s="8">
        <v>0</v>
      </c>
      <c r="Y123" s="8">
        <v>0</v>
      </c>
      <c r="Z123" s="8">
        <v>-0.01</v>
      </c>
      <c r="AA123" s="8">
        <v>0</v>
      </c>
      <c r="AB123" s="8">
        <v>0</v>
      </c>
      <c r="AC123" s="8">
        <v>1.54</v>
      </c>
      <c r="AD123" s="8">
        <v>0</v>
      </c>
      <c r="AE123" s="8">
        <v>0</v>
      </c>
      <c r="AF123" s="11">
        <v>0</v>
      </c>
      <c r="AG123" s="8">
        <v>0</v>
      </c>
      <c r="AH123" s="8">
        <v>0</v>
      </c>
      <c r="AI123" s="11">
        <v>0</v>
      </c>
      <c r="AJ123" s="8" t="s">
        <v>275</v>
      </c>
    </row>
    <row r="124" customFormat="1" ht="22" customHeight="1" spans="1:36">
      <c r="A124" s="8" t="s">
        <v>37</v>
      </c>
      <c r="B124" s="8" t="str">
        <f>VLOOKUP(F124,[1]Sheet1!$B:$E,3,FALSE)</f>
        <v>刘欢</v>
      </c>
      <c r="C124" s="9" t="str">
        <f>VLOOKUP(F124,[1]Sheet1!$B:$E,4,FALSE)</f>
        <v>A</v>
      </c>
      <c r="D124" s="8" t="s">
        <v>276</v>
      </c>
      <c r="E124" s="8">
        <v>4.8</v>
      </c>
      <c r="F124" s="10">
        <v>25008767</v>
      </c>
      <c r="G124" s="8">
        <v>990</v>
      </c>
      <c r="H124" s="8">
        <v>1324.34</v>
      </c>
      <c r="I124" s="8">
        <v>73.68</v>
      </c>
      <c r="J124" s="8">
        <v>52.97</v>
      </c>
      <c r="K124" s="8">
        <v>4033.16</v>
      </c>
      <c r="L124" s="8">
        <v>1506</v>
      </c>
      <c r="M124" s="11">
        <v>0.081</v>
      </c>
      <c r="N124" s="11">
        <v>0.2049</v>
      </c>
      <c r="O124" s="8">
        <v>25</v>
      </c>
      <c r="P124" s="8">
        <v>5745</v>
      </c>
      <c r="Q124" s="11">
        <v>0.0816</v>
      </c>
      <c r="R124" s="11">
        <v>0.2623</v>
      </c>
      <c r="S124" s="8">
        <v>125</v>
      </c>
      <c r="T124" s="11">
        <v>0.1703</v>
      </c>
      <c r="U124" s="11">
        <v>0.3244</v>
      </c>
      <c r="V124" s="11">
        <v>0.2139</v>
      </c>
      <c r="W124" s="11">
        <v>0.3081</v>
      </c>
      <c r="X124" s="8">
        <v>0</v>
      </c>
      <c r="Y124" s="8">
        <v>0</v>
      </c>
      <c r="Z124" s="8">
        <v>-0.01</v>
      </c>
      <c r="AA124" s="8">
        <v>0</v>
      </c>
      <c r="AB124" s="8">
        <v>0</v>
      </c>
      <c r="AC124" s="8">
        <v>1.52</v>
      </c>
      <c r="AD124" s="8">
        <v>1</v>
      </c>
      <c r="AE124" s="8">
        <v>1</v>
      </c>
      <c r="AF124" s="11">
        <v>1</v>
      </c>
      <c r="AG124" s="8">
        <v>0</v>
      </c>
      <c r="AH124" s="8">
        <v>0</v>
      </c>
      <c r="AI124" s="11">
        <v>0</v>
      </c>
      <c r="AJ124" s="8" t="s">
        <v>277</v>
      </c>
    </row>
    <row r="125" customFormat="1" ht="22" customHeight="1" spans="1:36">
      <c r="A125" s="8" t="s">
        <v>37</v>
      </c>
      <c r="B125" s="8" t="e">
        <f>VLOOKUP(F125,[1]Sheet1!$B:$E,3,FALSE)</f>
        <v>#N/A</v>
      </c>
      <c r="C125" s="8" t="e">
        <f>VLOOKUP(F125,[1]Sheet1!$B:$E,4,FALSE)</f>
        <v>#N/A</v>
      </c>
      <c r="D125" s="8" t="s">
        <v>278</v>
      </c>
      <c r="E125" s="8">
        <v>4.8</v>
      </c>
      <c r="F125" s="10">
        <v>33190806</v>
      </c>
      <c r="G125" s="8">
        <v>2573</v>
      </c>
      <c r="H125" s="8">
        <v>1296.74</v>
      </c>
      <c r="I125" s="8">
        <v>21.14</v>
      </c>
      <c r="J125" s="8">
        <v>15.81</v>
      </c>
      <c r="K125" s="8">
        <v>3237.84</v>
      </c>
      <c r="L125" s="8">
        <v>2424</v>
      </c>
      <c r="M125" s="11">
        <v>0.0821</v>
      </c>
      <c r="N125" s="11">
        <v>0.4121</v>
      </c>
      <c r="O125" s="8">
        <v>82</v>
      </c>
      <c r="P125" s="8">
        <v>4822</v>
      </c>
      <c r="Q125" s="11">
        <v>0.0912</v>
      </c>
      <c r="R125" s="11">
        <v>0.3477</v>
      </c>
      <c r="S125" s="8">
        <v>157</v>
      </c>
      <c r="T125" s="11">
        <v>0.2684</v>
      </c>
      <c r="U125" s="11">
        <v>0.5897</v>
      </c>
      <c r="V125" s="11">
        <v>0.2408</v>
      </c>
      <c r="W125" s="11">
        <v>0.3504</v>
      </c>
      <c r="X125" s="8">
        <v>92.18</v>
      </c>
      <c r="Y125" s="8">
        <v>154</v>
      </c>
      <c r="Z125" s="8">
        <v>0.6</v>
      </c>
      <c r="AA125" s="8">
        <v>92.18</v>
      </c>
      <c r="AB125" s="8">
        <v>7.11</v>
      </c>
      <c r="AC125" s="8">
        <v>0.94</v>
      </c>
      <c r="AD125" s="8">
        <v>2</v>
      </c>
      <c r="AE125" s="8">
        <v>2</v>
      </c>
      <c r="AF125" s="11">
        <v>1</v>
      </c>
      <c r="AG125" s="8">
        <v>0</v>
      </c>
      <c r="AH125" s="8">
        <v>0</v>
      </c>
      <c r="AI125" s="11">
        <v>0</v>
      </c>
      <c r="AJ125" s="8" t="s">
        <v>279</v>
      </c>
    </row>
    <row r="126" customFormat="1" ht="22" customHeight="1" spans="1:36">
      <c r="A126" s="8" t="s">
        <v>37</v>
      </c>
      <c r="B126" s="8" t="e">
        <f>VLOOKUP(F126,[1]Sheet1!$B:$E,3,FALSE)</f>
        <v>#N/A</v>
      </c>
      <c r="C126" s="8" t="e">
        <f>VLOOKUP(F126,[1]Sheet1!$B:$E,4,FALSE)</f>
        <v>#N/A</v>
      </c>
      <c r="D126" s="8" t="s">
        <v>280</v>
      </c>
      <c r="E126" s="8">
        <v>4.6</v>
      </c>
      <c r="F126" s="10">
        <v>33759685</v>
      </c>
      <c r="G126" s="8">
        <v>1218</v>
      </c>
      <c r="H126" s="8">
        <v>1294.26</v>
      </c>
      <c r="I126" s="8">
        <v>49.92</v>
      </c>
      <c r="J126" s="8">
        <v>38.07</v>
      </c>
      <c r="K126" s="8">
        <v>4371.91</v>
      </c>
      <c r="L126" s="8">
        <v>2282</v>
      </c>
      <c r="M126" s="11">
        <v>0.0762</v>
      </c>
      <c r="N126" s="11">
        <v>0.1839</v>
      </c>
      <c r="O126" s="8">
        <v>34</v>
      </c>
      <c r="P126" s="8">
        <v>4289</v>
      </c>
      <c r="Q126" s="11">
        <v>0.079</v>
      </c>
      <c r="R126" s="11">
        <v>0.2094</v>
      </c>
      <c r="S126" s="8">
        <v>73</v>
      </c>
      <c r="T126" s="11">
        <v>0.1681</v>
      </c>
      <c r="U126" s="11">
        <v>0.4225</v>
      </c>
      <c r="V126" s="11">
        <v>0.193</v>
      </c>
      <c r="W126" s="11">
        <v>0.2515</v>
      </c>
      <c r="X126" s="8">
        <v>85.8</v>
      </c>
      <c r="Y126" s="8">
        <v>75</v>
      </c>
      <c r="Z126" s="8">
        <v>1.14</v>
      </c>
      <c r="AA126" s="8">
        <v>85.8</v>
      </c>
      <c r="AB126" s="8">
        <v>6.63</v>
      </c>
      <c r="AC126" s="8">
        <v>1.87</v>
      </c>
      <c r="AD126" s="8">
        <v>1</v>
      </c>
      <c r="AE126" s="8">
        <v>1</v>
      </c>
      <c r="AF126" s="11">
        <v>1</v>
      </c>
      <c r="AG126" s="8">
        <v>0</v>
      </c>
      <c r="AH126" s="8">
        <v>0</v>
      </c>
      <c r="AI126" s="11">
        <v>0</v>
      </c>
      <c r="AJ126" s="8" t="s">
        <v>281</v>
      </c>
    </row>
    <row r="127" customFormat="1" ht="22" customHeight="1" spans="1:36">
      <c r="A127" s="8" t="s">
        <v>37</v>
      </c>
      <c r="B127" s="8" t="str">
        <f>VLOOKUP(F127,[1]Sheet1!$B:$E,3,FALSE)</f>
        <v>刘欢</v>
      </c>
      <c r="C127" s="9" t="str">
        <f>VLOOKUP(F127,[1]Sheet1!$B:$E,4,FALSE)</f>
        <v>A</v>
      </c>
      <c r="D127" s="8" t="s">
        <v>282</v>
      </c>
      <c r="E127" s="8">
        <v>4.6</v>
      </c>
      <c r="F127" s="10">
        <v>5505742</v>
      </c>
      <c r="G127" s="8">
        <v>1448</v>
      </c>
      <c r="H127" s="8">
        <v>1293.04</v>
      </c>
      <c r="I127" s="8">
        <v>47.67</v>
      </c>
      <c r="J127" s="8">
        <v>35.92</v>
      </c>
      <c r="K127" s="8">
        <v>3574.14</v>
      </c>
      <c r="L127" s="8">
        <v>2505</v>
      </c>
      <c r="M127" s="11">
        <v>0.0643</v>
      </c>
      <c r="N127" s="11">
        <v>0.2174</v>
      </c>
      <c r="O127" s="8">
        <v>36</v>
      </c>
      <c r="P127" s="8">
        <v>3304</v>
      </c>
      <c r="Q127" s="11">
        <v>0.0923</v>
      </c>
      <c r="R127" s="11">
        <v>0.3508</v>
      </c>
      <c r="S127" s="8">
        <v>109</v>
      </c>
      <c r="T127" s="11">
        <v>0.0911</v>
      </c>
      <c r="U127" s="11">
        <v>0.2392</v>
      </c>
      <c r="V127" s="11">
        <v>0.2198</v>
      </c>
      <c r="W127" s="11">
        <v>0.2884</v>
      </c>
      <c r="X127" s="8">
        <v>146.34</v>
      </c>
      <c r="Y127" s="8">
        <v>127</v>
      </c>
      <c r="Z127" s="8">
        <v>1.15</v>
      </c>
      <c r="AA127" s="8">
        <v>146.34</v>
      </c>
      <c r="AB127" s="8">
        <v>11.32</v>
      </c>
      <c r="AC127" s="8">
        <v>1.73</v>
      </c>
      <c r="AD127" s="8">
        <v>2</v>
      </c>
      <c r="AE127" s="8">
        <v>1</v>
      </c>
      <c r="AF127" s="11">
        <v>0.5</v>
      </c>
      <c r="AG127" s="8">
        <v>0</v>
      </c>
      <c r="AH127" s="8">
        <v>1</v>
      </c>
      <c r="AI127" s="11">
        <v>0.5</v>
      </c>
      <c r="AJ127" s="8" t="s">
        <v>283</v>
      </c>
    </row>
    <row r="128" customFormat="1" ht="22" customHeight="1" spans="1:36">
      <c r="A128" s="8" t="s">
        <v>37</v>
      </c>
      <c r="B128" s="8" t="str">
        <f>VLOOKUP(F128,[1]Sheet1!$B:$E,3,FALSE)</f>
        <v>王森</v>
      </c>
      <c r="C128" s="9" t="str">
        <f>VLOOKUP(F128,[1]Sheet1!$B:$E,4,FALSE)</f>
        <v>A</v>
      </c>
      <c r="D128" s="8" t="s">
        <v>284</v>
      </c>
      <c r="E128" s="8">
        <v>4.5</v>
      </c>
      <c r="F128" s="10">
        <v>30200335</v>
      </c>
      <c r="G128" s="8">
        <v>753</v>
      </c>
      <c r="H128" s="8">
        <v>1287.54</v>
      </c>
      <c r="I128" s="8">
        <v>64.64</v>
      </c>
      <c r="J128" s="8">
        <v>51.5</v>
      </c>
      <c r="K128" s="8">
        <v>3227.49</v>
      </c>
      <c r="L128" s="8">
        <v>1419</v>
      </c>
      <c r="M128" s="11">
        <v>0.1015</v>
      </c>
      <c r="N128" s="11">
        <v>0.1736</v>
      </c>
      <c r="O128" s="8">
        <v>25</v>
      </c>
      <c r="P128" s="8">
        <v>7363</v>
      </c>
      <c r="Q128" s="11">
        <v>0.08</v>
      </c>
      <c r="R128" s="11">
        <v>0.2326</v>
      </c>
      <c r="S128" s="8">
        <v>139</v>
      </c>
      <c r="T128" s="11">
        <v>0.1403</v>
      </c>
      <c r="U128" s="11">
        <v>0.3014</v>
      </c>
      <c r="V128" s="11">
        <v>0.1765</v>
      </c>
      <c r="W128" s="11">
        <v>0.3286</v>
      </c>
      <c r="X128" s="8">
        <v>58.77</v>
      </c>
      <c r="Y128" s="8">
        <v>82</v>
      </c>
      <c r="Z128" s="8">
        <v>0.72</v>
      </c>
      <c r="AA128" s="8">
        <v>58.77</v>
      </c>
      <c r="AB128" s="8">
        <v>4.56</v>
      </c>
      <c r="AC128" s="8">
        <v>1.88</v>
      </c>
      <c r="AD128" s="8">
        <v>0</v>
      </c>
      <c r="AE128" s="8">
        <v>0</v>
      </c>
      <c r="AF128" s="11">
        <v>0</v>
      </c>
      <c r="AG128" s="8">
        <v>0</v>
      </c>
      <c r="AH128" s="8">
        <v>0</v>
      </c>
      <c r="AI128" s="11">
        <v>0</v>
      </c>
      <c r="AJ128" s="8" t="s">
        <v>285</v>
      </c>
    </row>
    <row r="129" customFormat="1" ht="22" customHeight="1" spans="1:36">
      <c r="A129" s="8" t="s">
        <v>37</v>
      </c>
      <c r="B129" s="8" t="str">
        <f>VLOOKUP(F129,[1]Sheet1!$B:$E,3,FALSE)</f>
        <v>岳贝贝</v>
      </c>
      <c r="C129" s="8" t="str">
        <f>VLOOKUP(F129,[1]Sheet1!$B:$E,4,FALSE)</f>
        <v>B</v>
      </c>
      <c r="D129" s="8" t="s">
        <v>286</v>
      </c>
      <c r="E129" s="8">
        <v>4.9</v>
      </c>
      <c r="F129" s="10">
        <v>31970236</v>
      </c>
      <c r="G129" s="8">
        <v>583</v>
      </c>
      <c r="H129" s="8">
        <v>1286.95</v>
      </c>
      <c r="I129" s="8">
        <v>89.18</v>
      </c>
      <c r="J129" s="8">
        <v>64.35</v>
      </c>
      <c r="K129" s="8">
        <v>4326.06</v>
      </c>
      <c r="L129" s="8">
        <v>1584</v>
      </c>
      <c r="M129" s="11">
        <v>0.101</v>
      </c>
      <c r="N129" s="11">
        <v>0.1188</v>
      </c>
      <c r="O129" s="8">
        <v>20</v>
      </c>
      <c r="P129" s="8">
        <v>7871</v>
      </c>
      <c r="Q129" s="11">
        <v>0.0654</v>
      </c>
      <c r="R129" s="11">
        <v>0.3456</v>
      </c>
      <c r="S129" s="8">
        <v>181</v>
      </c>
      <c r="T129" s="11">
        <v>0.1586</v>
      </c>
      <c r="U129" s="11">
        <v>0.3333</v>
      </c>
      <c r="V129" s="11">
        <v>0.1994</v>
      </c>
      <c r="W129" s="11">
        <v>0.3049</v>
      </c>
      <c r="X129" s="8">
        <v>90</v>
      </c>
      <c r="Y129" s="8">
        <v>82</v>
      </c>
      <c r="Z129" s="8">
        <v>1.1</v>
      </c>
      <c r="AA129" s="8">
        <v>90</v>
      </c>
      <c r="AB129" s="8">
        <v>6.99</v>
      </c>
      <c r="AC129" s="8">
        <v>2.72</v>
      </c>
      <c r="AD129" s="8">
        <v>0</v>
      </c>
      <c r="AE129" s="8">
        <v>0</v>
      </c>
      <c r="AF129" s="11">
        <v>0</v>
      </c>
      <c r="AG129" s="8">
        <v>0</v>
      </c>
      <c r="AH129" s="8">
        <v>0</v>
      </c>
      <c r="AI129" s="11">
        <v>0</v>
      </c>
      <c r="AJ129" s="8" t="s">
        <v>287</v>
      </c>
    </row>
    <row r="130" customFormat="1" ht="22" customHeight="1" spans="1:36">
      <c r="A130" s="8" t="s">
        <v>37</v>
      </c>
      <c r="B130" s="8" t="str">
        <f>VLOOKUP(F130,[1]Sheet1!$B:$E,3,FALSE)</f>
        <v>徐从众</v>
      </c>
      <c r="C130" s="8">
        <f>VLOOKUP(F130,[1]Sheet1!$B:$E,4,FALSE)</f>
        <v>0</v>
      </c>
      <c r="D130" s="8" t="s">
        <v>288</v>
      </c>
      <c r="E130" s="8">
        <v>4.9</v>
      </c>
      <c r="F130" s="10">
        <v>30137425</v>
      </c>
      <c r="G130" s="8">
        <v>1901</v>
      </c>
      <c r="H130" s="8">
        <v>1266.15</v>
      </c>
      <c r="I130" s="8">
        <v>29.13</v>
      </c>
      <c r="J130" s="8">
        <v>20.1</v>
      </c>
      <c r="K130" s="8">
        <v>3214.7</v>
      </c>
      <c r="L130" s="8">
        <v>2202</v>
      </c>
      <c r="M130" s="11">
        <v>0.0767</v>
      </c>
      <c r="N130" s="11">
        <v>0.3669</v>
      </c>
      <c r="O130" s="8">
        <v>63</v>
      </c>
      <c r="P130" s="8">
        <v>3855</v>
      </c>
      <c r="Q130" s="11">
        <v>0.0778</v>
      </c>
      <c r="R130" s="11">
        <v>0.3833</v>
      </c>
      <c r="S130" s="8">
        <v>118</v>
      </c>
      <c r="T130" s="11">
        <v>0.2</v>
      </c>
      <c r="U130" s="11">
        <v>0.4059</v>
      </c>
      <c r="V130" s="11">
        <v>0.2217</v>
      </c>
      <c r="W130" s="11">
        <v>0.3158</v>
      </c>
      <c r="X130" s="8">
        <v>97.03</v>
      </c>
      <c r="Y130" s="8">
        <v>78</v>
      </c>
      <c r="Z130" s="8">
        <v>1.24</v>
      </c>
      <c r="AA130" s="8">
        <v>97.03</v>
      </c>
      <c r="AB130" s="8">
        <v>7.66</v>
      </c>
      <c r="AC130" s="8">
        <v>1.16</v>
      </c>
      <c r="AD130" s="8">
        <v>2</v>
      </c>
      <c r="AE130" s="8">
        <v>2</v>
      </c>
      <c r="AF130" s="11">
        <v>1</v>
      </c>
      <c r="AG130" s="8">
        <v>0</v>
      </c>
      <c r="AH130" s="8">
        <v>0</v>
      </c>
      <c r="AI130" s="11">
        <v>0</v>
      </c>
      <c r="AJ130" s="8" t="s">
        <v>289</v>
      </c>
    </row>
    <row r="131" customFormat="1" ht="22" customHeight="1" spans="1:36">
      <c r="A131" s="8" t="s">
        <v>37</v>
      </c>
      <c r="B131" s="8" t="str">
        <f>VLOOKUP(F131,[1]Sheet1!$B:$E,3,FALSE)</f>
        <v>刘欢</v>
      </c>
      <c r="C131" s="9" t="str">
        <f>VLOOKUP(F131,[1]Sheet1!$B:$E,4,FALSE)</f>
        <v>S</v>
      </c>
      <c r="D131" s="8" t="s">
        <v>290</v>
      </c>
      <c r="E131" s="8">
        <v>4.6</v>
      </c>
      <c r="F131" s="10">
        <v>11270121</v>
      </c>
      <c r="G131" s="8">
        <v>823</v>
      </c>
      <c r="H131" s="8">
        <v>1249.66</v>
      </c>
      <c r="I131" s="8">
        <v>64.42</v>
      </c>
      <c r="J131" s="8">
        <v>54.33</v>
      </c>
      <c r="K131" s="8">
        <v>1912.58</v>
      </c>
      <c r="L131" s="8">
        <v>1004</v>
      </c>
      <c r="M131" s="11">
        <v>0.0647</v>
      </c>
      <c r="N131" s="11">
        <v>0.3385</v>
      </c>
      <c r="O131" s="8">
        <v>23</v>
      </c>
      <c r="P131" s="8">
        <v>4192</v>
      </c>
      <c r="Q131" s="11">
        <v>0.0604</v>
      </c>
      <c r="R131" s="11">
        <v>0.2727</v>
      </c>
      <c r="S131" s="8">
        <v>71</v>
      </c>
      <c r="T131" s="11">
        <v>0.1178</v>
      </c>
      <c r="U131" s="11">
        <v>0.2112</v>
      </c>
      <c r="V131" s="11">
        <v>0.2027</v>
      </c>
      <c r="W131" s="11">
        <v>0.3164</v>
      </c>
      <c r="X131" s="8">
        <v>0</v>
      </c>
      <c r="Y131" s="8">
        <v>0</v>
      </c>
      <c r="Z131" s="8">
        <v>-0.01</v>
      </c>
      <c r="AA131" s="8">
        <v>0</v>
      </c>
      <c r="AB131" s="8">
        <v>0</v>
      </c>
      <c r="AC131" s="8">
        <v>1.22</v>
      </c>
      <c r="AD131" s="8">
        <v>1</v>
      </c>
      <c r="AE131" s="8">
        <v>1</v>
      </c>
      <c r="AF131" s="11">
        <v>1</v>
      </c>
      <c r="AG131" s="8">
        <v>0</v>
      </c>
      <c r="AH131" s="8">
        <v>0</v>
      </c>
      <c r="AI131" s="11">
        <v>0</v>
      </c>
      <c r="AJ131" s="8" t="s">
        <v>291</v>
      </c>
    </row>
    <row r="132" customFormat="1" ht="22" customHeight="1" spans="1:36">
      <c r="A132" s="8" t="s">
        <v>37</v>
      </c>
      <c r="B132" s="8" t="e">
        <f>VLOOKUP(F132,[1]Sheet1!$B:$E,3,FALSE)</f>
        <v>#N/A</v>
      </c>
      <c r="C132" s="8" t="e">
        <f>VLOOKUP(F132,[1]Sheet1!$B:$E,4,FALSE)</f>
        <v>#N/A</v>
      </c>
      <c r="D132" s="8" t="s">
        <v>292</v>
      </c>
      <c r="E132" s="8">
        <v>4.4</v>
      </c>
      <c r="F132" s="10">
        <v>14049360</v>
      </c>
      <c r="G132" s="8">
        <v>1402</v>
      </c>
      <c r="H132" s="8">
        <v>1236.29</v>
      </c>
      <c r="I132" s="8">
        <v>39.75</v>
      </c>
      <c r="J132" s="8">
        <v>26.3</v>
      </c>
      <c r="K132" s="8">
        <v>5797.82</v>
      </c>
      <c r="L132" s="8">
        <v>2069</v>
      </c>
      <c r="M132" s="11">
        <v>0.1353</v>
      </c>
      <c r="N132" s="11">
        <v>0.1571</v>
      </c>
      <c r="O132" s="8">
        <v>47</v>
      </c>
      <c r="P132" s="8">
        <v>5663</v>
      </c>
      <c r="Q132" s="11">
        <v>0.0872</v>
      </c>
      <c r="R132" s="11">
        <v>0.2632</v>
      </c>
      <c r="S132" s="8">
        <v>134</v>
      </c>
      <c r="T132" s="11">
        <v>0.1386</v>
      </c>
      <c r="U132" s="11">
        <v>0.2249</v>
      </c>
      <c r="V132" s="11">
        <v>0.2118</v>
      </c>
      <c r="W132" s="11">
        <v>0.2854</v>
      </c>
      <c r="X132" s="8">
        <v>0</v>
      </c>
      <c r="Y132" s="8">
        <v>0</v>
      </c>
      <c r="Z132" s="8">
        <v>-0.01</v>
      </c>
      <c r="AA132" s="8">
        <v>0</v>
      </c>
      <c r="AB132" s="8">
        <v>0</v>
      </c>
      <c r="AC132" s="8">
        <v>1.48</v>
      </c>
      <c r="AD132" s="8">
        <v>8</v>
      </c>
      <c r="AE132" s="8">
        <v>6</v>
      </c>
      <c r="AF132" s="11">
        <v>0.75</v>
      </c>
      <c r="AG132" s="8">
        <v>1</v>
      </c>
      <c r="AH132" s="8">
        <v>1</v>
      </c>
      <c r="AI132" s="11">
        <v>0.125</v>
      </c>
      <c r="AJ132" s="8" t="s">
        <v>293</v>
      </c>
    </row>
    <row r="133" customFormat="1" ht="22" customHeight="1" spans="1:36">
      <c r="A133" s="8" t="s">
        <v>37</v>
      </c>
      <c r="B133" s="8" t="str">
        <f>VLOOKUP(F133,[1]Sheet1!$B:$E,3,FALSE)</f>
        <v>王森</v>
      </c>
      <c r="C133" s="9" t="str">
        <f>VLOOKUP(F133,[1]Sheet1!$B:$E,4,FALSE)</f>
        <v>A</v>
      </c>
      <c r="D133" s="8" t="s">
        <v>294</v>
      </c>
      <c r="E133" s="8">
        <v>4.6</v>
      </c>
      <c r="F133" s="10">
        <v>18672336</v>
      </c>
      <c r="G133" s="8">
        <v>1720</v>
      </c>
      <c r="H133" s="8">
        <v>1231.52</v>
      </c>
      <c r="I133" s="8">
        <v>60.42</v>
      </c>
      <c r="J133" s="8">
        <v>35.19</v>
      </c>
      <c r="K133" s="8">
        <v>2788.91</v>
      </c>
      <c r="L133" s="8">
        <v>4808</v>
      </c>
      <c r="M133" s="11">
        <v>0.0799</v>
      </c>
      <c r="N133" s="11">
        <v>0.0859</v>
      </c>
      <c r="O133" s="8">
        <v>35</v>
      </c>
      <c r="P133" s="8">
        <v>3190</v>
      </c>
      <c r="Q133" s="11">
        <v>0.0947</v>
      </c>
      <c r="R133" s="11">
        <v>0.2583</v>
      </c>
      <c r="S133" s="8">
        <v>80</v>
      </c>
      <c r="T133" s="11">
        <v>0.1185</v>
      </c>
      <c r="U133" s="11">
        <v>0.2416</v>
      </c>
      <c r="V133" s="11">
        <v>0.258</v>
      </c>
      <c r="W133" s="11">
        <v>0.3431</v>
      </c>
      <c r="X133" s="8">
        <v>260</v>
      </c>
      <c r="Y133" s="8">
        <v>231</v>
      </c>
      <c r="Z133" s="8">
        <v>1.13</v>
      </c>
      <c r="AA133" s="8">
        <v>260</v>
      </c>
      <c r="AB133" s="8">
        <v>21.11</v>
      </c>
      <c r="AC133" s="8">
        <v>2.8</v>
      </c>
      <c r="AD133" s="8">
        <v>1</v>
      </c>
      <c r="AE133" s="8">
        <v>1</v>
      </c>
      <c r="AF133" s="11">
        <v>1</v>
      </c>
      <c r="AG133" s="8">
        <v>0</v>
      </c>
      <c r="AH133" s="8">
        <v>0</v>
      </c>
      <c r="AI133" s="11">
        <v>0</v>
      </c>
      <c r="AJ133" s="8" t="s">
        <v>295</v>
      </c>
    </row>
    <row r="134" customFormat="1" ht="22" customHeight="1" spans="1:36">
      <c r="A134" s="8" t="s">
        <v>37</v>
      </c>
      <c r="B134" s="8" t="str">
        <f>VLOOKUP(F134,[1]Sheet1!$B:$E,3,FALSE)</f>
        <v>刘欢</v>
      </c>
      <c r="C134" s="9" t="str">
        <f>VLOOKUP(F134,[1]Sheet1!$B:$E,4,FALSE)</f>
        <v>A</v>
      </c>
      <c r="D134" s="8" t="s">
        <v>296</v>
      </c>
      <c r="E134" s="8">
        <v>5</v>
      </c>
      <c r="F134" s="10">
        <v>10092176</v>
      </c>
      <c r="G134" s="8">
        <v>480</v>
      </c>
      <c r="H134" s="8">
        <v>1229.76</v>
      </c>
      <c r="I134" s="8">
        <v>96.18</v>
      </c>
      <c r="J134" s="8">
        <v>72.34</v>
      </c>
      <c r="K134" s="8">
        <v>4756.48</v>
      </c>
      <c r="L134" s="8">
        <v>834</v>
      </c>
      <c r="M134" s="11">
        <v>0.0983</v>
      </c>
      <c r="N134" s="11">
        <v>0.1951</v>
      </c>
      <c r="O134" s="8">
        <v>17</v>
      </c>
      <c r="P134" s="8">
        <v>4224</v>
      </c>
      <c r="Q134" s="11">
        <v>0.0807</v>
      </c>
      <c r="R134" s="11">
        <v>0.2815</v>
      </c>
      <c r="S134" s="8">
        <v>98</v>
      </c>
      <c r="T134" s="11">
        <v>0.1682</v>
      </c>
      <c r="U134" s="11">
        <v>0.3102</v>
      </c>
      <c r="V134" s="11">
        <v>0.2376</v>
      </c>
      <c r="W134" s="11">
        <v>0.296</v>
      </c>
      <c r="X134" s="8">
        <v>0</v>
      </c>
      <c r="Y134" s="8">
        <v>0</v>
      </c>
      <c r="Z134" s="8">
        <v>-0.01</v>
      </c>
      <c r="AA134" s="8">
        <v>0</v>
      </c>
      <c r="AB134" s="8">
        <v>0</v>
      </c>
      <c r="AC134" s="8">
        <v>1.74</v>
      </c>
      <c r="AD134" s="8">
        <v>0</v>
      </c>
      <c r="AE134" s="8">
        <v>0</v>
      </c>
      <c r="AF134" s="11">
        <v>0</v>
      </c>
      <c r="AG134" s="8">
        <v>0</v>
      </c>
      <c r="AH134" s="8">
        <v>0</v>
      </c>
      <c r="AI134" s="11">
        <v>0</v>
      </c>
      <c r="AJ134" s="8" t="s">
        <v>297</v>
      </c>
    </row>
    <row r="135" customFormat="1" ht="22" customHeight="1" spans="1:36">
      <c r="A135" s="8" t="s">
        <v>37</v>
      </c>
      <c r="B135" s="8" t="str">
        <f>VLOOKUP(F135,[1]Sheet1!$B:$E,3,FALSE)</f>
        <v>王森</v>
      </c>
      <c r="C135" s="9" t="str">
        <f>VLOOKUP(F135,[1]Sheet1!$B:$E,4,FALSE)</f>
        <v>S</v>
      </c>
      <c r="D135" s="8" t="s">
        <v>298</v>
      </c>
      <c r="E135" s="8">
        <v>4.8</v>
      </c>
      <c r="F135" s="10">
        <v>29857333</v>
      </c>
      <c r="G135" s="8">
        <v>1061</v>
      </c>
      <c r="H135" s="8">
        <v>1229.35</v>
      </c>
      <c r="I135" s="8">
        <v>32.12</v>
      </c>
      <c r="J135" s="8">
        <v>23.64</v>
      </c>
      <c r="K135" s="8">
        <v>3723.21</v>
      </c>
      <c r="L135" s="8">
        <v>1951</v>
      </c>
      <c r="M135" s="11">
        <v>0.0764</v>
      </c>
      <c r="N135" s="11">
        <v>0.349</v>
      </c>
      <c r="O135" s="8">
        <v>52</v>
      </c>
      <c r="P135" s="8">
        <v>4284</v>
      </c>
      <c r="Q135" s="11">
        <v>0.084</v>
      </c>
      <c r="R135" s="11">
        <v>0.3028</v>
      </c>
      <c r="S135" s="8">
        <v>111</v>
      </c>
      <c r="T135" s="11">
        <v>0.1641</v>
      </c>
      <c r="U135" s="11">
        <v>0.3569</v>
      </c>
      <c r="V135" s="11">
        <v>0.204</v>
      </c>
      <c r="W135" s="11">
        <v>0.2802</v>
      </c>
      <c r="X135" s="8">
        <v>97.2</v>
      </c>
      <c r="Y135" s="8">
        <v>86</v>
      </c>
      <c r="Z135" s="8">
        <v>1.13</v>
      </c>
      <c r="AA135" s="8">
        <v>97.2</v>
      </c>
      <c r="AB135" s="8">
        <v>7.91</v>
      </c>
      <c r="AC135" s="8">
        <v>1.84</v>
      </c>
      <c r="AD135" s="8">
        <v>0</v>
      </c>
      <c r="AE135" s="8">
        <v>0</v>
      </c>
      <c r="AF135" s="11">
        <v>0</v>
      </c>
      <c r="AG135" s="8">
        <v>0</v>
      </c>
      <c r="AH135" s="8">
        <v>0</v>
      </c>
      <c r="AI135" s="11">
        <v>0</v>
      </c>
      <c r="AJ135" s="8" t="s">
        <v>299</v>
      </c>
    </row>
    <row r="136" customFormat="1" ht="22" customHeight="1" spans="1:36">
      <c r="A136" s="8" t="s">
        <v>37</v>
      </c>
      <c r="B136" s="8" t="str">
        <f>VLOOKUP(F136,[1]Sheet1!$B:$E,3,FALSE)</f>
        <v>刘欢</v>
      </c>
      <c r="C136" s="9" t="str">
        <f>VLOOKUP(F136,[1]Sheet1!$B:$E,4,FALSE)</f>
        <v>A</v>
      </c>
      <c r="D136" s="8" t="s">
        <v>300</v>
      </c>
      <c r="E136" s="8">
        <v>4.9</v>
      </c>
      <c r="F136" s="10">
        <v>31749654</v>
      </c>
      <c r="G136" s="8">
        <v>1847</v>
      </c>
      <c r="H136" s="8">
        <v>1225.68</v>
      </c>
      <c r="I136" s="8">
        <v>25.43</v>
      </c>
      <c r="J136" s="8">
        <v>17.76</v>
      </c>
      <c r="K136" s="8">
        <v>3654.04</v>
      </c>
      <c r="L136" s="8">
        <v>1227</v>
      </c>
      <c r="M136" s="11">
        <v>0.1206</v>
      </c>
      <c r="N136" s="11">
        <v>0.4595</v>
      </c>
      <c r="O136" s="8">
        <v>69</v>
      </c>
      <c r="P136" s="8">
        <v>2735</v>
      </c>
      <c r="Q136" s="11">
        <v>0.1064</v>
      </c>
      <c r="R136" s="11">
        <v>0.3505</v>
      </c>
      <c r="S136" s="8">
        <v>104</v>
      </c>
      <c r="T136" s="11">
        <v>0.2028</v>
      </c>
      <c r="U136" s="11">
        <v>0.578</v>
      </c>
      <c r="V136" s="11">
        <v>0.2436</v>
      </c>
      <c r="W136" s="11">
        <v>0.3132</v>
      </c>
      <c r="X136" s="8">
        <v>30.53</v>
      </c>
      <c r="Y136" s="8">
        <v>33</v>
      </c>
      <c r="Z136" s="8">
        <v>0.93</v>
      </c>
      <c r="AA136" s="8">
        <v>30.53</v>
      </c>
      <c r="AB136" s="8">
        <v>2.49</v>
      </c>
      <c r="AC136" s="8">
        <v>0.66</v>
      </c>
      <c r="AD136" s="8">
        <v>0</v>
      </c>
      <c r="AE136" s="8">
        <v>0</v>
      </c>
      <c r="AF136" s="11">
        <v>0</v>
      </c>
      <c r="AG136" s="8">
        <v>0</v>
      </c>
      <c r="AH136" s="8">
        <v>0</v>
      </c>
      <c r="AI136" s="11">
        <v>0</v>
      </c>
      <c r="AJ136" s="8" t="s">
        <v>301</v>
      </c>
    </row>
    <row r="137" customFormat="1" ht="22" customHeight="1" spans="1:36">
      <c r="A137" s="8" t="s">
        <v>37</v>
      </c>
      <c r="B137" s="8" t="str">
        <f>VLOOKUP(F137,[1]Sheet1!$B:$E,3,FALSE)</f>
        <v>刘欢</v>
      </c>
      <c r="C137" s="9" t="str">
        <f>VLOOKUP(F137,[1]Sheet1!$B:$E,4,FALSE)</f>
        <v>A</v>
      </c>
      <c r="D137" s="8" t="s">
        <v>302</v>
      </c>
      <c r="E137" s="8">
        <v>4.8</v>
      </c>
      <c r="F137" s="10">
        <v>3518704</v>
      </c>
      <c r="G137" s="8">
        <v>1320</v>
      </c>
      <c r="H137" s="8">
        <v>1225.27</v>
      </c>
      <c r="I137" s="8">
        <v>45.86</v>
      </c>
      <c r="J137" s="8">
        <v>38.29</v>
      </c>
      <c r="K137" s="8">
        <v>2998.05</v>
      </c>
      <c r="L137" s="8">
        <v>2741</v>
      </c>
      <c r="M137" s="11">
        <v>0.0773</v>
      </c>
      <c r="N137" s="11">
        <v>0.1509</v>
      </c>
      <c r="O137" s="8">
        <v>32</v>
      </c>
      <c r="P137" s="8">
        <v>2813</v>
      </c>
      <c r="Q137" s="11">
        <v>0.0946</v>
      </c>
      <c r="R137" s="11">
        <v>0.2744</v>
      </c>
      <c r="S137" s="8">
        <v>76</v>
      </c>
      <c r="T137" s="11">
        <v>0.1196</v>
      </c>
      <c r="U137" s="11">
        <v>0.2632</v>
      </c>
      <c r="V137" s="11">
        <v>0.2653</v>
      </c>
      <c r="W137" s="11">
        <v>0.346</v>
      </c>
      <c r="X137" s="8">
        <v>164.98</v>
      </c>
      <c r="Y137" s="8">
        <v>197</v>
      </c>
      <c r="Z137" s="8">
        <v>0.84</v>
      </c>
      <c r="AA137" s="8">
        <v>164.98</v>
      </c>
      <c r="AB137" s="8">
        <v>13.46</v>
      </c>
      <c r="AC137" s="8">
        <v>2.08</v>
      </c>
      <c r="AD137" s="8">
        <v>2</v>
      </c>
      <c r="AE137" s="8">
        <v>2</v>
      </c>
      <c r="AF137" s="11">
        <v>1</v>
      </c>
      <c r="AG137" s="8">
        <v>0</v>
      </c>
      <c r="AH137" s="8">
        <v>0</v>
      </c>
      <c r="AI137" s="11">
        <v>0</v>
      </c>
      <c r="AJ137" s="8" t="s">
        <v>303</v>
      </c>
    </row>
    <row r="138" customFormat="1" ht="22" customHeight="1" spans="1:36">
      <c r="A138" s="8" t="s">
        <v>37</v>
      </c>
      <c r="B138" s="8" t="str">
        <f>VLOOKUP(F138,[1]Sheet1!$B:$E,3,FALSE)</f>
        <v>徐从众</v>
      </c>
      <c r="C138" s="9" t="str">
        <f>VLOOKUP(F138,[1]Sheet1!$B:$E,4,FALSE)</f>
        <v>A</v>
      </c>
      <c r="D138" s="8" t="s">
        <v>304</v>
      </c>
      <c r="E138" s="8">
        <v>4.6</v>
      </c>
      <c r="F138" s="10">
        <v>28247021</v>
      </c>
      <c r="G138" s="8">
        <v>902</v>
      </c>
      <c r="H138" s="8">
        <v>1206.15</v>
      </c>
      <c r="I138" s="8">
        <v>51.43</v>
      </c>
      <c r="J138" s="8">
        <v>40.21</v>
      </c>
      <c r="K138" s="8">
        <v>4126.22</v>
      </c>
      <c r="L138" s="8">
        <v>818</v>
      </c>
      <c r="M138" s="11">
        <v>0.1076</v>
      </c>
      <c r="N138" s="11">
        <v>0.3409</v>
      </c>
      <c r="O138" s="8">
        <v>30</v>
      </c>
      <c r="P138" s="8">
        <v>5396</v>
      </c>
      <c r="Q138" s="11">
        <v>0.0806</v>
      </c>
      <c r="R138" s="11">
        <v>0.2414</v>
      </c>
      <c r="S138" s="8">
        <v>108</v>
      </c>
      <c r="T138" s="11">
        <v>0.2034</v>
      </c>
      <c r="U138" s="11">
        <v>0.4081</v>
      </c>
      <c r="V138" s="11">
        <v>0.2388</v>
      </c>
      <c r="W138" s="11">
        <v>0.3274</v>
      </c>
      <c r="X138" s="8">
        <v>51.42</v>
      </c>
      <c r="Y138" s="8">
        <v>53</v>
      </c>
      <c r="Z138" s="8">
        <v>0.97</v>
      </c>
      <c r="AA138" s="8">
        <v>51.42</v>
      </c>
      <c r="AB138" s="8">
        <v>4.26</v>
      </c>
      <c r="AC138" s="8">
        <v>0.91</v>
      </c>
      <c r="AD138" s="8">
        <v>0</v>
      </c>
      <c r="AE138" s="8">
        <v>0</v>
      </c>
      <c r="AF138" s="11">
        <v>0</v>
      </c>
      <c r="AG138" s="8">
        <v>0</v>
      </c>
      <c r="AH138" s="8">
        <v>0</v>
      </c>
      <c r="AI138" s="11">
        <v>0</v>
      </c>
      <c r="AJ138" s="8" t="s">
        <v>305</v>
      </c>
    </row>
    <row r="139" customFormat="1" ht="22" customHeight="1" spans="1:36">
      <c r="A139" s="8" t="s">
        <v>37</v>
      </c>
      <c r="B139" s="8" t="str">
        <f>VLOOKUP(F139,[1]Sheet1!$B:$E,3,FALSE)</f>
        <v>徐从众</v>
      </c>
      <c r="C139" s="9" t="str">
        <f>VLOOKUP(F139,[1]Sheet1!$B:$E,4,FALSE)</f>
        <v>S</v>
      </c>
      <c r="D139" s="8" t="s">
        <v>306</v>
      </c>
      <c r="E139" s="8">
        <v>4.7</v>
      </c>
      <c r="F139" s="10">
        <v>27497748</v>
      </c>
      <c r="G139" s="8">
        <v>1440</v>
      </c>
      <c r="H139" s="8">
        <v>1198.54</v>
      </c>
      <c r="I139" s="8">
        <v>31.46</v>
      </c>
      <c r="J139" s="8">
        <v>22.2</v>
      </c>
      <c r="K139" s="8">
        <v>3830.45</v>
      </c>
      <c r="L139" s="8">
        <v>1465</v>
      </c>
      <c r="M139" s="11">
        <v>0.0771</v>
      </c>
      <c r="N139" s="11">
        <v>0.469</v>
      </c>
      <c r="O139" s="8">
        <v>54</v>
      </c>
      <c r="P139" s="8">
        <v>2608</v>
      </c>
      <c r="Q139" s="11">
        <v>0.0932</v>
      </c>
      <c r="R139" s="11">
        <v>0.3045</v>
      </c>
      <c r="S139" s="8">
        <v>77</v>
      </c>
      <c r="T139" s="11">
        <v>0.1914</v>
      </c>
      <c r="U139" s="11">
        <v>0.3079</v>
      </c>
      <c r="V139" s="11">
        <v>0.2218</v>
      </c>
      <c r="W139" s="11">
        <v>0.3277</v>
      </c>
      <c r="X139" s="8">
        <v>91.93</v>
      </c>
      <c r="Y139" s="8">
        <v>76</v>
      </c>
      <c r="Z139" s="8">
        <v>1.21</v>
      </c>
      <c r="AA139" s="8">
        <v>91.93</v>
      </c>
      <c r="AB139" s="8">
        <v>7.67</v>
      </c>
      <c r="AC139" s="8">
        <v>1.02</v>
      </c>
      <c r="AD139" s="8">
        <v>0</v>
      </c>
      <c r="AE139" s="8">
        <v>0</v>
      </c>
      <c r="AF139" s="11">
        <v>0</v>
      </c>
      <c r="AG139" s="8">
        <v>0</v>
      </c>
      <c r="AH139" s="8">
        <v>0</v>
      </c>
      <c r="AI139" s="11">
        <v>0</v>
      </c>
      <c r="AJ139" s="8" t="s">
        <v>307</v>
      </c>
    </row>
    <row r="140" customFormat="1" ht="22" customHeight="1" spans="1:36">
      <c r="A140" s="8" t="s">
        <v>37</v>
      </c>
      <c r="B140" s="8" t="str">
        <f>VLOOKUP(F140,[1]Sheet1!$B:$E,3,FALSE)</f>
        <v>岳贝贝</v>
      </c>
      <c r="C140" s="9" t="str">
        <f>VLOOKUP(F140,[1]Sheet1!$B:$E,4,FALSE)</f>
        <v>A</v>
      </c>
      <c r="D140" s="8" t="s">
        <v>308</v>
      </c>
      <c r="E140" s="8">
        <v>4.9</v>
      </c>
      <c r="F140" s="10">
        <v>32051605</v>
      </c>
      <c r="G140" s="8">
        <v>1329</v>
      </c>
      <c r="H140" s="8">
        <v>1193.48</v>
      </c>
      <c r="I140" s="8">
        <v>35.16</v>
      </c>
      <c r="J140" s="8">
        <v>27.12</v>
      </c>
      <c r="K140" s="8">
        <v>3372.46</v>
      </c>
      <c r="L140" s="8">
        <v>1768</v>
      </c>
      <c r="M140" s="11">
        <v>0.0854</v>
      </c>
      <c r="N140" s="11">
        <v>0.2848</v>
      </c>
      <c r="O140" s="8">
        <v>44</v>
      </c>
      <c r="P140" s="8">
        <v>3265</v>
      </c>
      <c r="Q140" s="11">
        <v>0.1002</v>
      </c>
      <c r="R140" s="11">
        <v>0.3364</v>
      </c>
      <c r="S140" s="8">
        <v>113</v>
      </c>
      <c r="T140" s="11">
        <v>0.2143</v>
      </c>
      <c r="U140" s="11">
        <v>0.4075</v>
      </c>
      <c r="V140" s="11">
        <v>0.2527</v>
      </c>
      <c r="W140" s="11">
        <v>0.3193</v>
      </c>
      <c r="X140" s="8">
        <v>75.73</v>
      </c>
      <c r="Y140" s="8">
        <v>61</v>
      </c>
      <c r="Z140" s="8">
        <v>1.24</v>
      </c>
      <c r="AA140" s="8">
        <v>75.73</v>
      </c>
      <c r="AB140" s="8">
        <v>6.35</v>
      </c>
      <c r="AC140" s="8">
        <v>1.33</v>
      </c>
      <c r="AD140" s="8">
        <v>2</v>
      </c>
      <c r="AE140" s="8">
        <v>2</v>
      </c>
      <c r="AF140" s="11">
        <v>1</v>
      </c>
      <c r="AG140" s="8">
        <v>0</v>
      </c>
      <c r="AH140" s="8">
        <v>0</v>
      </c>
      <c r="AI140" s="11">
        <v>0</v>
      </c>
      <c r="AJ140" s="8" t="s">
        <v>309</v>
      </c>
    </row>
    <row r="141" customFormat="1" ht="22" customHeight="1" spans="1:36">
      <c r="A141" s="8" t="s">
        <v>37</v>
      </c>
      <c r="B141" s="8" t="e">
        <f>VLOOKUP(F141,[1]Sheet1!$B:$E,3,FALSE)</f>
        <v>#N/A</v>
      </c>
      <c r="C141" s="8" t="e">
        <f>VLOOKUP(F141,[1]Sheet1!$B:$E,4,FALSE)</f>
        <v>#N/A</v>
      </c>
      <c r="D141" s="8" t="s">
        <v>310</v>
      </c>
      <c r="E141" s="8">
        <v>4.5</v>
      </c>
      <c r="F141" s="10">
        <v>27752669</v>
      </c>
      <c r="G141" s="8">
        <v>951</v>
      </c>
      <c r="H141" s="8">
        <v>1182.19</v>
      </c>
      <c r="I141" s="8">
        <v>56.48</v>
      </c>
      <c r="J141" s="8">
        <v>40.77</v>
      </c>
      <c r="K141" s="8">
        <v>3317.29</v>
      </c>
      <c r="L141" s="8">
        <v>1770</v>
      </c>
      <c r="M141" s="11">
        <v>0.0729</v>
      </c>
      <c r="N141" s="11">
        <v>0.2171</v>
      </c>
      <c r="O141" s="8">
        <v>29</v>
      </c>
      <c r="P141" s="8">
        <v>5111</v>
      </c>
      <c r="Q141" s="11">
        <v>0.0624</v>
      </c>
      <c r="R141" s="11">
        <v>0.2508</v>
      </c>
      <c r="S141" s="8">
        <v>82</v>
      </c>
      <c r="T141" s="11">
        <v>0.125</v>
      </c>
      <c r="U141" s="11">
        <v>0.2165</v>
      </c>
      <c r="V141" s="11">
        <v>0.2063</v>
      </c>
      <c r="W141" s="11">
        <v>0.3056</v>
      </c>
      <c r="X141" s="8">
        <v>50.62</v>
      </c>
      <c r="Y141" s="8">
        <v>61</v>
      </c>
      <c r="Z141" s="8">
        <v>0.83</v>
      </c>
      <c r="AA141" s="8">
        <v>50.62</v>
      </c>
      <c r="AB141" s="8">
        <v>4.28</v>
      </c>
      <c r="AC141" s="8">
        <v>1.86</v>
      </c>
      <c r="AD141" s="8">
        <v>1</v>
      </c>
      <c r="AE141" s="8">
        <v>1</v>
      </c>
      <c r="AF141" s="11">
        <v>1</v>
      </c>
      <c r="AG141" s="8">
        <v>0</v>
      </c>
      <c r="AH141" s="8">
        <v>0</v>
      </c>
      <c r="AI141" s="11">
        <v>0</v>
      </c>
      <c r="AJ141" s="8" t="s">
        <v>311</v>
      </c>
    </row>
    <row r="142" customFormat="1" ht="22" customHeight="1" spans="1:36">
      <c r="A142" s="8" t="s">
        <v>37</v>
      </c>
      <c r="B142" s="8" t="str">
        <f>VLOOKUP(F142,[1]Sheet1!$B:$E,3,FALSE)</f>
        <v>岳贝贝</v>
      </c>
      <c r="C142" s="8" t="str">
        <f>VLOOKUP(F142,[1]Sheet1!$B:$E,4,FALSE)</f>
        <v>B</v>
      </c>
      <c r="D142" s="8" t="s">
        <v>312</v>
      </c>
      <c r="E142" s="8">
        <v>4.9</v>
      </c>
      <c r="F142" s="10">
        <v>29617373</v>
      </c>
      <c r="G142" s="8">
        <v>1160</v>
      </c>
      <c r="H142" s="8">
        <v>1176.13</v>
      </c>
      <c r="I142" s="8">
        <v>39.53</v>
      </c>
      <c r="J142" s="8">
        <v>30.95</v>
      </c>
      <c r="K142" s="8">
        <v>1176.13</v>
      </c>
      <c r="L142" s="8">
        <v>1452</v>
      </c>
      <c r="M142" s="11">
        <v>0.0992</v>
      </c>
      <c r="N142" s="11">
        <v>0.2569</v>
      </c>
      <c r="O142" s="8">
        <v>38</v>
      </c>
      <c r="P142" s="8">
        <v>1452</v>
      </c>
      <c r="Q142" s="11">
        <v>0.0992</v>
      </c>
      <c r="R142" s="11">
        <v>0.2569</v>
      </c>
      <c r="S142" s="8">
        <v>38</v>
      </c>
      <c r="T142" s="11">
        <v>0.2359</v>
      </c>
      <c r="U142" s="11">
        <v>0.4179</v>
      </c>
      <c r="V142" s="11">
        <v>0.322</v>
      </c>
      <c r="W142" s="11">
        <v>0.4179</v>
      </c>
      <c r="X142" s="8">
        <v>35.47</v>
      </c>
      <c r="Y142" s="8">
        <v>35</v>
      </c>
      <c r="Z142" s="8">
        <v>1.01</v>
      </c>
      <c r="AA142" s="8">
        <v>35.47</v>
      </c>
      <c r="AB142" s="8">
        <v>3.02</v>
      </c>
      <c r="AC142" s="8">
        <v>1.25</v>
      </c>
      <c r="AD142" s="8">
        <v>3</v>
      </c>
      <c r="AE142" s="8">
        <v>3</v>
      </c>
      <c r="AF142" s="11">
        <v>1</v>
      </c>
      <c r="AG142" s="8">
        <v>0</v>
      </c>
      <c r="AH142" s="8">
        <v>0</v>
      </c>
      <c r="AI142" s="11">
        <v>0</v>
      </c>
      <c r="AJ142" s="8" t="s">
        <v>313</v>
      </c>
    </row>
    <row r="143" customFormat="1" ht="22" customHeight="1" spans="1:36">
      <c r="A143" s="8" t="s">
        <v>37</v>
      </c>
      <c r="B143" s="8" t="str">
        <f>VLOOKUP(F143,[1]Sheet1!$B:$E,3,FALSE)</f>
        <v>徐从众</v>
      </c>
      <c r="C143" s="8">
        <f>VLOOKUP(F143,[1]Sheet1!$B:$E,4,FALSE)</f>
        <v>0</v>
      </c>
      <c r="D143" s="8" t="s">
        <v>314</v>
      </c>
      <c r="E143" s="8">
        <v>4.6</v>
      </c>
      <c r="F143" s="10">
        <v>33474009</v>
      </c>
      <c r="G143" s="8">
        <v>1210</v>
      </c>
      <c r="H143" s="8">
        <v>1173.96</v>
      </c>
      <c r="I143" s="8">
        <v>39.65</v>
      </c>
      <c r="J143" s="8">
        <v>31.73</v>
      </c>
      <c r="K143" s="8">
        <v>3578.84</v>
      </c>
      <c r="L143" s="8">
        <v>1761</v>
      </c>
      <c r="M143" s="11">
        <v>0.0823</v>
      </c>
      <c r="N143" s="11">
        <v>0.2552</v>
      </c>
      <c r="O143" s="8">
        <v>37</v>
      </c>
      <c r="P143" s="8">
        <v>3923</v>
      </c>
      <c r="Q143" s="11">
        <v>0.0785</v>
      </c>
      <c r="R143" s="11">
        <v>0.2597</v>
      </c>
      <c r="S143" s="8">
        <v>83</v>
      </c>
      <c r="T143" s="11">
        <v>0.3113</v>
      </c>
      <c r="U143" s="11">
        <v>0.4188</v>
      </c>
      <c r="V143" s="11">
        <v>0.1898</v>
      </c>
      <c r="W143" s="11">
        <v>0.2766</v>
      </c>
      <c r="X143" s="8">
        <v>80</v>
      </c>
      <c r="Y143" s="8">
        <v>72</v>
      </c>
      <c r="Z143" s="8">
        <v>1.11</v>
      </c>
      <c r="AA143" s="8">
        <v>80</v>
      </c>
      <c r="AB143" s="8">
        <v>6.81</v>
      </c>
      <c r="AC143" s="8">
        <v>1.46</v>
      </c>
      <c r="AD143" s="8">
        <v>0</v>
      </c>
      <c r="AE143" s="8">
        <v>0</v>
      </c>
      <c r="AF143" s="11">
        <v>0</v>
      </c>
      <c r="AG143" s="8">
        <v>0</v>
      </c>
      <c r="AH143" s="8">
        <v>0</v>
      </c>
      <c r="AI143" s="11">
        <v>0</v>
      </c>
      <c r="AJ143" s="8" t="s">
        <v>315</v>
      </c>
    </row>
    <row r="144" customFormat="1" ht="22" customHeight="1" spans="1:36">
      <c r="A144" s="8" t="s">
        <v>37</v>
      </c>
      <c r="B144" s="8" t="str">
        <f>VLOOKUP(F144,[1]Sheet1!$B:$E,3,FALSE)</f>
        <v>徐从众</v>
      </c>
      <c r="C144" s="9" t="str">
        <f>VLOOKUP(F144,[1]Sheet1!$B:$E,4,FALSE)</f>
        <v>A</v>
      </c>
      <c r="D144" s="8" t="s">
        <v>316</v>
      </c>
      <c r="E144" s="8">
        <v>4.4</v>
      </c>
      <c r="F144" s="10">
        <v>31252744</v>
      </c>
      <c r="G144" s="8">
        <v>501</v>
      </c>
      <c r="H144" s="8">
        <v>1166.39</v>
      </c>
      <c r="I144" s="8">
        <v>126.69</v>
      </c>
      <c r="J144" s="8">
        <v>97.2</v>
      </c>
      <c r="K144" s="8">
        <v>5376.69</v>
      </c>
      <c r="L144" s="8">
        <v>1871</v>
      </c>
      <c r="M144" s="11">
        <v>0.1048</v>
      </c>
      <c r="N144" s="11">
        <v>0.0612</v>
      </c>
      <c r="O144" s="8">
        <v>12</v>
      </c>
      <c r="P144" s="8">
        <v>3881</v>
      </c>
      <c r="Q144" s="11">
        <v>0.0984</v>
      </c>
      <c r="R144" s="11">
        <v>0.233</v>
      </c>
      <c r="S144" s="8">
        <v>91</v>
      </c>
      <c r="T144" s="11">
        <v>0.1404</v>
      </c>
      <c r="U144" s="11">
        <v>0.2286</v>
      </c>
      <c r="V144" s="11">
        <v>0.2212</v>
      </c>
      <c r="W144" s="11">
        <v>0.2596</v>
      </c>
      <c r="X144" s="8">
        <v>120.95</v>
      </c>
      <c r="Y144" s="8">
        <v>161</v>
      </c>
      <c r="Z144" s="8">
        <v>0.75</v>
      </c>
      <c r="AA144" s="8">
        <v>120.95</v>
      </c>
      <c r="AB144" s="8">
        <v>10.37</v>
      </c>
      <c r="AC144" s="8">
        <v>3.73</v>
      </c>
      <c r="AD144" s="8">
        <v>0</v>
      </c>
      <c r="AE144" s="8">
        <v>0</v>
      </c>
      <c r="AF144" s="11">
        <v>0</v>
      </c>
      <c r="AG144" s="8">
        <v>0</v>
      </c>
      <c r="AH144" s="8">
        <v>0</v>
      </c>
      <c r="AI144" s="11">
        <v>0</v>
      </c>
      <c r="AJ144" s="8" t="s">
        <v>317</v>
      </c>
    </row>
    <row r="145" customFormat="1" ht="22" customHeight="1" spans="1:36">
      <c r="A145" s="8" t="s">
        <v>37</v>
      </c>
      <c r="B145" s="8" t="str">
        <f>VLOOKUP(F145,[1]Sheet1!$B:$E,3,FALSE)</f>
        <v>岳贝贝</v>
      </c>
      <c r="C145" s="9" t="str">
        <f>VLOOKUP(F145,[1]Sheet1!$B:$E,4,FALSE)</f>
        <v>A</v>
      </c>
      <c r="D145" s="8" t="s">
        <v>318</v>
      </c>
      <c r="E145" s="8">
        <v>4.7</v>
      </c>
      <c r="F145" s="10">
        <v>33351526</v>
      </c>
      <c r="G145" s="8">
        <v>1598</v>
      </c>
      <c r="H145" s="8">
        <v>1154.11</v>
      </c>
      <c r="I145" s="8">
        <v>40.98</v>
      </c>
      <c r="J145" s="8">
        <v>31.19</v>
      </c>
      <c r="K145" s="8">
        <v>3830.45</v>
      </c>
      <c r="L145" s="8">
        <v>3580</v>
      </c>
      <c r="M145" s="11">
        <v>0.0763</v>
      </c>
      <c r="N145" s="11">
        <v>0.1319</v>
      </c>
      <c r="O145" s="8">
        <v>37</v>
      </c>
      <c r="P145" s="8">
        <v>2608</v>
      </c>
      <c r="Q145" s="11">
        <v>0.0932</v>
      </c>
      <c r="R145" s="11">
        <v>0.3045</v>
      </c>
      <c r="S145" s="8">
        <v>77</v>
      </c>
      <c r="T145" s="11">
        <v>0.177</v>
      </c>
      <c r="U145" s="11">
        <v>0.3529</v>
      </c>
      <c r="V145" s="11">
        <v>0.2218</v>
      </c>
      <c r="W145" s="11">
        <v>0.3277</v>
      </c>
      <c r="X145" s="8">
        <v>206.24</v>
      </c>
      <c r="Y145" s="8">
        <v>169</v>
      </c>
      <c r="Z145" s="8">
        <v>1.22</v>
      </c>
      <c r="AA145" s="8">
        <v>206.24</v>
      </c>
      <c r="AB145" s="8">
        <v>17.87</v>
      </c>
      <c r="AC145" s="8">
        <v>2.24</v>
      </c>
      <c r="AD145" s="8">
        <v>1</v>
      </c>
      <c r="AE145" s="8">
        <v>1</v>
      </c>
      <c r="AF145" s="11">
        <v>1</v>
      </c>
      <c r="AG145" s="8">
        <v>0</v>
      </c>
      <c r="AH145" s="8">
        <v>0</v>
      </c>
      <c r="AI145" s="11">
        <v>0</v>
      </c>
      <c r="AJ145" s="8" t="s">
        <v>319</v>
      </c>
    </row>
    <row r="146" customFormat="1" ht="22" customHeight="1" spans="1:36">
      <c r="A146" s="8" t="s">
        <v>37</v>
      </c>
      <c r="B146" s="8" t="str">
        <f>VLOOKUP(F146,[1]Sheet1!$B:$E,3,FALSE)</f>
        <v>岳贝贝</v>
      </c>
      <c r="C146" s="9" t="str">
        <f>VLOOKUP(F146,[1]Sheet1!$B:$E,4,FALSE)</f>
        <v>S</v>
      </c>
      <c r="D146" s="8" t="s">
        <v>320</v>
      </c>
      <c r="E146" s="8">
        <v>4.7</v>
      </c>
      <c r="F146" s="10">
        <v>25820278</v>
      </c>
      <c r="G146" s="8">
        <v>1026</v>
      </c>
      <c r="H146" s="8">
        <v>1152.43</v>
      </c>
      <c r="I146" s="8">
        <v>52.33</v>
      </c>
      <c r="J146" s="8">
        <v>31.15</v>
      </c>
      <c r="K146" s="8">
        <v>5869.91</v>
      </c>
      <c r="L146" s="8">
        <v>3877</v>
      </c>
      <c r="M146" s="11">
        <v>0.0686</v>
      </c>
      <c r="N146" s="11">
        <v>0.1391</v>
      </c>
      <c r="O146" s="8">
        <v>37</v>
      </c>
      <c r="P146" s="8">
        <v>2615</v>
      </c>
      <c r="Q146" s="11">
        <v>0.1166</v>
      </c>
      <c r="R146" s="11">
        <v>0.2262</v>
      </c>
      <c r="S146" s="8">
        <v>70</v>
      </c>
      <c r="T146" s="11">
        <v>0.1183</v>
      </c>
      <c r="U146" s="11">
        <v>0.2584</v>
      </c>
      <c r="V146" s="11">
        <v>0.2317</v>
      </c>
      <c r="W146" s="11">
        <v>0.3251</v>
      </c>
      <c r="X146" s="8">
        <v>110</v>
      </c>
      <c r="Y146" s="8">
        <v>119</v>
      </c>
      <c r="Z146" s="8">
        <v>0.92</v>
      </c>
      <c r="AA146" s="8">
        <v>110</v>
      </c>
      <c r="AB146" s="8">
        <v>9.55</v>
      </c>
      <c r="AC146" s="8">
        <v>3.78</v>
      </c>
      <c r="AD146" s="8">
        <v>4</v>
      </c>
      <c r="AE146" s="8">
        <v>4</v>
      </c>
      <c r="AF146" s="11">
        <v>1</v>
      </c>
      <c r="AG146" s="8">
        <v>0</v>
      </c>
      <c r="AH146" s="8">
        <v>0</v>
      </c>
      <c r="AI146" s="11">
        <v>0</v>
      </c>
      <c r="AJ146" s="8" t="s">
        <v>321</v>
      </c>
    </row>
    <row r="147" customFormat="1" ht="22" customHeight="1" spans="1:36">
      <c r="A147" s="8" t="s">
        <v>37</v>
      </c>
      <c r="B147" s="8" t="str">
        <f>VLOOKUP(F147,[1]Sheet1!$B:$E,3,FALSE)</f>
        <v>徐从众</v>
      </c>
      <c r="C147" s="9" t="str">
        <f>VLOOKUP(F147,[1]Sheet1!$B:$E,4,FALSE)</f>
        <v>A</v>
      </c>
      <c r="D147" s="8" t="s">
        <v>322</v>
      </c>
      <c r="E147" s="8">
        <v>4.7</v>
      </c>
      <c r="F147" s="10">
        <v>33386731</v>
      </c>
      <c r="G147" s="8">
        <v>476</v>
      </c>
      <c r="H147" s="8">
        <v>1140.29</v>
      </c>
      <c r="I147" s="8">
        <v>51.28</v>
      </c>
      <c r="J147" s="8">
        <v>40.72</v>
      </c>
      <c r="K147" s="8">
        <v>4574.66</v>
      </c>
      <c r="L147" s="8">
        <v>2058</v>
      </c>
      <c r="M147" s="11">
        <v>0.0685</v>
      </c>
      <c r="N147" s="11">
        <v>0.156</v>
      </c>
      <c r="O147" s="8">
        <v>28</v>
      </c>
      <c r="P147" s="8">
        <v>4092</v>
      </c>
      <c r="Q147" s="11">
        <v>0.0914</v>
      </c>
      <c r="R147" s="11">
        <v>0.2112</v>
      </c>
      <c r="S147" s="8">
        <v>81</v>
      </c>
      <c r="T147" s="11">
        <v>0.1594</v>
      </c>
      <c r="U147" s="11">
        <v>0.3239</v>
      </c>
      <c r="V147" s="11">
        <v>0.1971</v>
      </c>
      <c r="W147" s="11">
        <v>0.2545</v>
      </c>
      <c r="X147" s="8">
        <v>110</v>
      </c>
      <c r="Y147" s="8">
        <v>113</v>
      </c>
      <c r="Z147" s="8">
        <v>0.97</v>
      </c>
      <c r="AA147" s="8">
        <v>110</v>
      </c>
      <c r="AB147" s="8">
        <v>9.65</v>
      </c>
      <c r="AC147" s="8">
        <v>4.32</v>
      </c>
      <c r="AD147" s="8">
        <v>4</v>
      </c>
      <c r="AE147" s="8">
        <v>3</v>
      </c>
      <c r="AF147" s="11">
        <v>0.75</v>
      </c>
      <c r="AG147" s="8">
        <v>1</v>
      </c>
      <c r="AH147" s="8">
        <v>0</v>
      </c>
      <c r="AI147" s="11">
        <v>0</v>
      </c>
      <c r="AJ147" s="8" t="s">
        <v>323</v>
      </c>
    </row>
    <row r="148" customFormat="1" ht="22" customHeight="1" spans="1:36">
      <c r="A148" s="8" t="s">
        <v>37</v>
      </c>
      <c r="B148" s="8" t="str">
        <f>VLOOKUP(F148,[1]Sheet1!$B:$E,3,FALSE)</f>
        <v>徐从众</v>
      </c>
      <c r="C148" s="9" t="str">
        <f>VLOOKUP(F148,[1]Sheet1!$B:$E,4,FALSE)</f>
        <v>S</v>
      </c>
      <c r="D148" s="8" t="s">
        <v>324</v>
      </c>
      <c r="E148" s="8">
        <v>4.8</v>
      </c>
      <c r="F148" s="10">
        <v>33485047</v>
      </c>
      <c r="G148" s="8">
        <v>1913</v>
      </c>
      <c r="H148" s="8">
        <v>1135.03</v>
      </c>
      <c r="I148" s="8">
        <v>29.19</v>
      </c>
      <c r="J148" s="8">
        <v>21.02</v>
      </c>
      <c r="K148" s="8">
        <v>3302.07</v>
      </c>
      <c r="L148" s="8">
        <v>2265</v>
      </c>
      <c r="M148" s="11">
        <v>0.0645</v>
      </c>
      <c r="N148" s="11">
        <v>0.3767</v>
      </c>
      <c r="O148" s="8">
        <v>54</v>
      </c>
      <c r="P148" s="8">
        <v>5526</v>
      </c>
      <c r="Q148" s="11">
        <v>0.0722</v>
      </c>
      <c r="R148" s="11">
        <v>0.3584</v>
      </c>
      <c r="S148" s="8">
        <v>146</v>
      </c>
      <c r="T148" s="11">
        <v>0.2388</v>
      </c>
      <c r="U148" s="11">
        <v>0.4957</v>
      </c>
      <c r="V148" s="11">
        <v>0.2103</v>
      </c>
      <c r="W148" s="11">
        <v>0.2959</v>
      </c>
      <c r="X148" s="8">
        <v>84.45</v>
      </c>
      <c r="Y148" s="8">
        <v>72</v>
      </c>
      <c r="Z148" s="8">
        <v>1.17</v>
      </c>
      <c r="AA148" s="8">
        <v>84.45</v>
      </c>
      <c r="AB148" s="8">
        <v>7.44</v>
      </c>
      <c r="AC148" s="8">
        <v>1.18</v>
      </c>
      <c r="AD148" s="8">
        <v>2</v>
      </c>
      <c r="AE148" s="8">
        <v>2</v>
      </c>
      <c r="AF148" s="11">
        <v>1</v>
      </c>
      <c r="AG148" s="8">
        <v>0</v>
      </c>
      <c r="AH148" s="8">
        <v>0</v>
      </c>
      <c r="AI148" s="11">
        <v>0</v>
      </c>
      <c r="AJ148" s="8" t="s">
        <v>325</v>
      </c>
    </row>
    <row r="149" customFormat="1" ht="22" customHeight="1" spans="1:36">
      <c r="A149" s="8" t="s">
        <v>37</v>
      </c>
      <c r="B149" s="8" t="str">
        <f>VLOOKUP(F149,[1]Sheet1!$B:$E,3,FALSE)</f>
        <v>刘欢</v>
      </c>
      <c r="C149" s="9" t="str">
        <f>VLOOKUP(F149,[1]Sheet1!$B:$E,4,FALSE)</f>
        <v>A</v>
      </c>
      <c r="D149" s="8" t="s">
        <v>326</v>
      </c>
      <c r="E149" s="8">
        <v>4.8</v>
      </c>
      <c r="F149" s="10">
        <v>1728085</v>
      </c>
      <c r="G149" s="8">
        <v>1597</v>
      </c>
      <c r="H149" s="8">
        <v>1134.03</v>
      </c>
      <c r="I149" s="8">
        <v>31.02</v>
      </c>
      <c r="J149" s="8">
        <v>22.68</v>
      </c>
      <c r="K149" s="8">
        <v>1845.35</v>
      </c>
      <c r="L149" s="8">
        <v>1143</v>
      </c>
      <c r="M149" s="11">
        <v>0.1199</v>
      </c>
      <c r="N149" s="11">
        <v>0.3577</v>
      </c>
      <c r="O149" s="8">
        <v>50</v>
      </c>
      <c r="P149" s="8">
        <v>2967</v>
      </c>
      <c r="Q149" s="11">
        <v>0.0731</v>
      </c>
      <c r="R149" s="11">
        <v>0.2811</v>
      </c>
      <c r="S149" s="8">
        <v>63</v>
      </c>
      <c r="T149" s="11">
        <v>0.2192</v>
      </c>
      <c r="U149" s="11">
        <v>0.446</v>
      </c>
      <c r="V149" s="11">
        <v>0.2172</v>
      </c>
      <c r="W149" s="11">
        <v>0.2927</v>
      </c>
      <c r="X149" s="8">
        <v>0</v>
      </c>
      <c r="Y149" s="8">
        <v>0</v>
      </c>
      <c r="Z149" s="8">
        <v>-0.01</v>
      </c>
      <c r="AA149" s="8">
        <v>0</v>
      </c>
      <c r="AB149" s="8">
        <v>0</v>
      </c>
      <c r="AC149" s="8">
        <v>0.72</v>
      </c>
      <c r="AD149" s="8">
        <v>1</v>
      </c>
      <c r="AE149" s="8">
        <v>1</v>
      </c>
      <c r="AF149" s="11">
        <v>1</v>
      </c>
      <c r="AG149" s="8">
        <v>0</v>
      </c>
      <c r="AH149" s="8">
        <v>0</v>
      </c>
      <c r="AI149" s="11">
        <v>0</v>
      </c>
      <c r="AJ149" s="8" t="s">
        <v>327</v>
      </c>
    </row>
    <row r="150" customFormat="1" ht="22" customHeight="1" spans="1:36">
      <c r="A150" s="8" t="s">
        <v>37</v>
      </c>
      <c r="B150" s="8" t="str">
        <f>VLOOKUP(F150,[1]Sheet1!$B:$E,3,FALSE)</f>
        <v>徐从众</v>
      </c>
      <c r="C150" s="9" t="str">
        <f>VLOOKUP(F150,[1]Sheet1!$B:$E,4,FALSE)</f>
        <v>S</v>
      </c>
      <c r="D150" s="8" t="s">
        <v>328</v>
      </c>
      <c r="E150" s="8">
        <v>4.7</v>
      </c>
      <c r="F150" s="10">
        <v>812316</v>
      </c>
      <c r="G150" s="8">
        <v>867</v>
      </c>
      <c r="H150" s="8">
        <v>1123.17</v>
      </c>
      <c r="I150" s="8">
        <v>51.83</v>
      </c>
      <c r="J150" s="8">
        <v>38.73</v>
      </c>
      <c r="K150" s="8">
        <v>4106.11</v>
      </c>
      <c r="L150" s="8">
        <v>1466</v>
      </c>
      <c r="M150" s="11">
        <v>0.0962</v>
      </c>
      <c r="N150" s="11">
        <v>0.1915</v>
      </c>
      <c r="O150" s="8">
        <v>29</v>
      </c>
      <c r="P150" s="8">
        <v>4567</v>
      </c>
      <c r="Q150" s="11">
        <v>0.0889</v>
      </c>
      <c r="R150" s="11">
        <v>0.266</v>
      </c>
      <c r="S150" s="8">
        <v>112</v>
      </c>
      <c r="T150" s="11">
        <v>0.1466</v>
      </c>
      <c r="U150" s="11">
        <v>0.2575</v>
      </c>
      <c r="V150" s="11">
        <v>0.2264</v>
      </c>
      <c r="W150" s="11">
        <v>0.2789</v>
      </c>
      <c r="X150" s="8">
        <v>50</v>
      </c>
      <c r="Y150" s="8">
        <v>83</v>
      </c>
      <c r="Z150" s="8">
        <v>0.6</v>
      </c>
      <c r="AA150" s="8">
        <v>50</v>
      </c>
      <c r="AB150" s="8">
        <v>4.45</v>
      </c>
      <c r="AC150" s="8">
        <v>1.69</v>
      </c>
      <c r="AD150" s="8">
        <v>3</v>
      </c>
      <c r="AE150" s="8">
        <v>3</v>
      </c>
      <c r="AF150" s="11">
        <v>1</v>
      </c>
      <c r="AG150" s="8">
        <v>0</v>
      </c>
      <c r="AH150" s="8">
        <v>0</v>
      </c>
      <c r="AI150" s="11">
        <v>0</v>
      </c>
      <c r="AJ150" s="8" t="s">
        <v>329</v>
      </c>
    </row>
    <row r="151" customFormat="1" ht="22" customHeight="1" spans="1:36">
      <c r="A151" s="8" t="s">
        <v>37</v>
      </c>
      <c r="B151" s="8" t="str">
        <f>VLOOKUP(F151,[1]Sheet1!$B:$E,3,FALSE)</f>
        <v>徐从众</v>
      </c>
      <c r="C151" s="9" t="str">
        <f>VLOOKUP(F151,[1]Sheet1!$B:$E,4,FALSE)</f>
        <v>A</v>
      </c>
      <c r="D151" s="8" t="s">
        <v>330</v>
      </c>
      <c r="E151" s="8">
        <v>4.8</v>
      </c>
      <c r="F151" s="10">
        <v>16138679</v>
      </c>
      <c r="G151" s="8">
        <v>1384</v>
      </c>
      <c r="H151" s="8">
        <v>1118.89</v>
      </c>
      <c r="I151" s="8">
        <v>27.31</v>
      </c>
      <c r="J151" s="8">
        <v>18.96</v>
      </c>
      <c r="K151" s="8">
        <v>3481.1</v>
      </c>
      <c r="L151" s="8">
        <v>1731</v>
      </c>
      <c r="M151" s="11">
        <v>0.0768</v>
      </c>
      <c r="N151" s="11">
        <v>0.4211</v>
      </c>
      <c r="O151" s="8">
        <v>59</v>
      </c>
      <c r="P151" s="8">
        <v>4041</v>
      </c>
      <c r="Q151" s="11">
        <v>0.0911</v>
      </c>
      <c r="R151" s="11">
        <v>0.3424</v>
      </c>
      <c r="S151" s="8">
        <v>128</v>
      </c>
      <c r="T151" s="11">
        <v>0.2407</v>
      </c>
      <c r="U151" s="11">
        <v>0.4688</v>
      </c>
      <c r="V151" s="11">
        <v>0.2376</v>
      </c>
      <c r="W151" s="11">
        <v>0.3263</v>
      </c>
      <c r="X151" s="8">
        <v>68</v>
      </c>
      <c r="Y151" s="8">
        <v>60</v>
      </c>
      <c r="Z151" s="8">
        <v>1.13</v>
      </c>
      <c r="AA151" s="8">
        <v>68</v>
      </c>
      <c r="AB151" s="8">
        <v>6.08</v>
      </c>
      <c r="AC151" s="8">
        <v>1.25</v>
      </c>
      <c r="AD151" s="8">
        <v>0</v>
      </c>
      <c r="AE151" s="8">
        <v>0</v>
      </c>
      <c r="AF151" s="11">
        <v>0</v>
      </c>
      <c r="AG151" s="8">
        <v>0</v>
      </c>
      <c r="AH151" s="8">
        <v>0</v>
      </c>
      <c r="AI151" s="11">
        <v>0</v>
      </c>
      <c r="AJ151" s="8" t="s">
        <v>331</v>
      </c>
    </row>
    <row r="152" customFormat="1" ht="22" customHeight="1" spans="1:36">
      <c r="A152" s="8" t="s">
        <v>37</v>
      </c>
      <c r="B152" s="8" t="str">
        <f>VLOOKUP(F152,[1]Sheet1!$B:$E,3,FALSE)</f>
        <v>徐从众</v>
      </c>
      <c r="C152" s="9" t="str">
        <f>VLOOKUP(F152,[1]Sheet1!$B:$E,4,FALSE)</f>
        <v>S</v>
      </c>
      <c r="D152" s="8" t="s">
        <v>332</v>
      </c>
      <c r="E152" s="8">
        <v>4.9</v>
      </c>
      <c r="F152" s="10">
        <v>28296844</v>
      </c>
      <c r="G152" s="8">
        <v>1896</v>
      </c>
      <c r="H152" s="8">
        <v>1117.73</v>
      </c>
      <c r="I152" s="8">
        <v>27.73</v>
      </c>
      <c r="J152" s="8">
        <v>19.27</v>
      </c>
      <c r="K152" s="8">
        <v>3235.15</v>
      </c>
      <c r="L152" s="8">
        <v>1965</v>
      </c>
      <c r="M152" s="11">
        <v>0.0692</v>
      </c>
      <c r="N152" s="11">
        <v>0.4191</v>
      </c>
      <c r="O152" s="8">
        <v>58</v>
      </c>
      <c r="P152" s="8">
        <v>3299</v>
      </c>
      <c r="Q152" s="11">
        <v>0.0858</v>
      </c>
      <c r="R152" s="11">
        <v>0.3498</v>
      </c>
      <c r="S152" s="8">
        <v>101</v>
      </c>
      <c r="T152" s="11">
        <v>0.1813</v>
      </c>
      <c r="U152" s="11">
        <v>0.3851</v>
      </c>
      <c r="V152" s="11">
        <v>0.2112</v>
      </c>
      <c r="W152" s="11">
        <v>0.3001</v>
      </c>
      <c r="X152" s="8">
        <v>88</v>
      </c>
      <c r="Y152" s="8">
        <v>88</v>
      </c>
      <c r="Z152" s="8">
        <v>1</v>
      </c>
      <c r="AA152" s="8">
        <v>88</v>
      </c>
      <c r="AB152" s="8">
        <v>7.87</v>
      </c>
      <c r="AC152" s="8">
        <v>1.04</v>
      </c>
      <c r="AD152" s="8">
        <v>1</v>
      </c>
      <c r="AE152" s="8">
        <v>1</v>
      </c>
      <c r="AF152" s="11">
        <v>1</v>
      </c>
      <c r="AG152" s="8">
        <v>0</v>
      </c>
      <c r="AH152" s="8">
        <v>0</v>
      </c>
      <c r="AI152" s="11">
        <v>0</v>
      </c>
      <c r="AJ152" s="8" t="s">
        <v>333</v>
      </c>
    </row>
    <row r="153" customFormat="1" ht="22" customHeight="1" spans="1:36">
      <c r="A153" s="8" t="s">
        <v>37</v>
      </c>
      <c r="B153" s="8" t="str">
        <f>VLOOKUP(F153,[1]Sheet1!$B:$E,3,FALSE)</f>
        <v>刘欢</v>
      </c>
      <c r="C153" s="9" t="str">
        <f>VLOOKUP(F153,[1]Sheet1!$B:$E,4,FALSE)</f>
        <v>A</v>
      </c>
      <c r="D153" s="8" t="s">
        <v>334</v>
      </c>
      <c r="E153" s="8">
        <v>4.4</v>
      </c>
      <c r="F153" s="10">
        <v>2285220</v>
      </c>
      <c r="G153" s="8">
        <v>964</v>
      </c>
      <c r="H153" s="8">
        <v>1114.48</v>
      </c>
      <c r="I153" s="8">
        <v>50.14</v>
      </c>
      <c r="J153" s="8">
        <v>37.15</v>
      </c>
      <c r="K153" s="8">
        <v>3802.39</v>
      </c>
      <c r="L153" s="8">
        <v>1609</v>
      </c>
      <c r="M153" s="11">
        <v>0.0833</v>
      </c>
      <c r="N153" s="11">
        <v>0.2239</v>
      </c>
      <c r="O153" s="8">
        <v>30</v>
      </c>
      <c r="P153" s="8">
        <v>3025</v>
      </c>
      <c r="Q153" s="11">
        <v>0.0979</v>
      </c>
      <c r="R153" s="11">
        <v>0.3885</v>
      </c>
      <c r="S153" s="8">
        <v>118</v>
      </c>
      <c r="T153" s="11">
        <v>0.0949</v>
      </c>
      <c r="U153" s="11">
        <v>0.2314</v>
      </c>
      <c r="V153" s="11">
        <v>0.2299</v>
      </c>
      <c r="W153" s="11">
        <v>0.3056</v>
      </c>
      <c r="X153" s="8">
        <v>81.67</v>
      </c>
      <c r="Y153" s="8">
        <v>78</v>
      </c>
      <c r="Z153" s="8">
        <v>1.05</v>
      </c>
      <c r="AA153" s="8">
        <v>81.67</v>
      </c>
      <c r="AB153" s="8">
        <v>7.33</v>
      </c>
      <c r="AC153" s="8">
        <v>1.67</v>
      </c>
      <c r="AD153" s="8">
        <v>0</v>
      </c>
      <c r="AE153" s="8">
        <v>0</v>
      </c>
      <c r="AF153" s="11">
        <v>0</v>
      </c>
      <c r="AG153" s="8">
        <v>0</v>
      </c>
      <c r="AH153" s="8">
        <v>0</v>
      </c>
      <c r="AI153" s="11">
        <v>0</v>
      </c>
      <c r="AJ153" s="8" t="s">
        <v>335</v>
      </c>
    </row>
    <row r="154" customFormat="1" ht="22" customHeight="1" spans="1:36">
      <c r="A154" s="8" t="s">
        <v>37</v>
      </c>
      <c r="B154" s="8" t="str">
        <f>VLOOKUP(F154,[1]Sheet1!$B:$E,3,FALSE)</f>
        <v>王森</v>
      </c>
      <c r="C154" s="9" t="str">
        <f>VLOOKUP(F154,[1]Sheet1!$B:$E,4,FALSE)</f>
        <v>A</v>
      </c>
      <c r="D154" s="12" t="s">
        <v>336</v>
      </c>
      <c r="E154" s="12">
        <v>4.3</v>
      </c>
      <c r="F154" s="13">
        <v>8810325</v>
      </c>
      <c r="G154" s="8">
        <v>1451</v>
      </c>
      <c r="H154" s="8">
        <v>1101</v>
      </c>
      <c r="I154" s="8">
        <v>41.73</v>
      </c>
      <c r="J154" s="8">
        <v>26.85</v>
      </c>
      <c r="K154" s="8">
        <v>5797.82</v>
      </c>
      <c r="L154" s="8">
        <v>2761</v>
      </c>
      <c r="M154" s="11">
        <v>0.0674</v>
      </c>
      <c r="N154" s="11">
        <v>0.2151</v>
      </c>
      <c r="O154" s="8">
        <v>41</v>
      </c>
      <c r="P154" s="8">
        <v>5663</v>
      </c>
      <c r="Q154" s="11">
        <v>0.0872</v>
      </c>
      <c r="R154" s="11">
        <v>0.2632</v>
      </c>
      <c r="S154" s="8">
        <v>134</v>
      </c>
      <c r="T154" s="11">
        <v>0.1152</v>
      </c>
      <c r="U154" s="11">
        <v>0.2446</v>
      </c>
      <c r="V154" s="11">
        <v>0.2118</v>
      </c>
      <c r="W154" s="11">
        <v>0.2854</v>
      </c>
      <c r="X154" s="8">
        <v>184.4</v>
      </c>
      <c r="Y154" s="8">
        <v>147</v>
      </c>
      <c r="Z154" s="8">
        <v>1.25</v>
      </c>
      <c r="AA154" s="8">
        <v>184.4</v>
      </c>
      <c r="AB154" s="8">
        <v>16.75</v>
      </c>
      <c r="AC154" s="8">
        <v>1.9</v>
      </c>
      <c r="AD154" s="8">
        <v>2</v>
      </c>
      <c r="AE154" s="8">
        <v>2</v>
      </c>
      <c r="AF154" s="11">
        <v>1</v>
      </c>
      <c r="AG154" s="8">
        <v>0</v>
      </c>
      <c r="AH154" s="8">
        <v>0</v>
      </c>
      <c r="AI154" s="11">
        <v>0</v>
      </c>
      <c r="AJ154" s="8" t="s">
        <v>337</v>
      </c>
    </row>
    <row r="155" customFormat="1" ht="22" customHeight="1" spans="1:36">
      <c r="A155" s="8" t="s">
        <v>37</v>
      </c>
      <c r="B155" s="8" t="str">
        <f>VLOOKUP(F155,[1]Sheet1!$B:$E,3,FALSE)</f>
        <v>岳贝贝</v>
      </c>
      <c r="C155" s="9" t="str">
        <f>VLOOKUP(F155,[1]Sheet1!$B:$E,4,FALSE)</f>
        <v>A</v>
      </c>
      <c r="D155" s="8" t="s">
        <v>338</v>
      </c>
      <c r="E155" s="8">
        <v>4.8</v>
      </c>
      <c r="F155" s="10">
        <v>23688223</v>
      </c>
      <c r="G155" s="8">
        <v>790</v>
      </c>
      <c r="H155" s="8">
        <v>1100.39</v>
      </c>
      <c r="I155" s="8">
        <v>69.04</v>
      </c>
      <c r="J155" s="8">
        <v>50.02</v>
      </c>
      <c r="K155" s="8">
        <v>2842.63</v>
      </c>
      <c r="L155" s="8">
        <v>2181</v>
      </c>
      <c r="M155" s="11">
        <v>0.0821</v>
      </c>
      <c r="N155" s="11">
        <v>0.1285</v>
      </c>
      <c r="O155" s="8">
        <v>22</v>
      </c>
      <c r="P155" s="8">
        <v>4679</v>
      </c>
      <c r="Q155" s="11">
        <v>0.0746</v>
      </c>
      <c r="R155" s="11">
        <v>0.3238</v>
      </c>
      <c r="S155" s="8">
        <v>116</v>
      </c>
      <c r="T155" s="11">
        <v>0.1434</v>
      </c>
      <c r="U155" s="11">
        <v>0.1915</v>
      </c>
      <c r="V155" s="11">
        <v>0.2221</v>
      </c>
      <c r="W155" s="11">
        <v>0.2941</v>
      </c>
      <c r="X155" s="8">
        <v>100</v>
      </c>
      <c r="Y155" s="8">
        <v>81</v>
      </c>
      <c r="Z155" s="8">
        <v>1.23</v>
      </c>
      <c r="AA155" s="8">
        <v>100</v>
      </c>
      <c r="AB155" s="8">
        <v>9.09</v>
      </c>
      <c r="AC155" s="8">
        <v>2.76</v>
      </c>
      <c r="AD155" s="8">
        <v>0</v>
      </c>
      <c r="AE155" s="8">
        <v>0</v>
      </c>
      <c r="AF155" s="11">
        <v>0</v>
      </c>
      <c r="AG155" s="8">
        <v>0</v>
      </c>
      <c r="AH155" s="8">
        <v>0</v>
      </c>
      <c r="AI155" s="11">
        <v>0</v>
      </c>
      <c r="AJ155" s="8" t="s">
        <v>339</v>
      </c>
    </row>
    <row r="156" customFormat="1" ht="22" customHeight="1" spans="1:36">
      <c r="A156" s="8" t="s">
        <v>37</v>
      </c>
      <c r="B156" s="8" t="str">
        <f>VLOOKUP(F156,[1]Sheet1!$B:$E,3,FALSE)</f>
        <v>徐从众</v>
      </c>
      <c r="C156" s="9" t="str">
        <f>VLOOKUP(F156,[1]Sheet1!$B:$E,4,FALSE)</f>
        <v>S</v>
      </c>
      <c r="D156" s="8" t="s">
        <v>340</v>
      </c>
      <c r="E156" s="8">
        <v>4.7</v>
      </c>
      <c r="F156" s="10">
        <v>27987768</v>
      </c>
      <c r="G156" s="8">
        <v>1467</v>
      </c>
      <c r="H156" s="8">
        <v>1085.33</v>
      </c>
      <c r="I156" s="8">
        <v>25.04</v>
      </c>
      <c r="J156" s="8">
        <v>16.44</v>
      </c>
      <c r="K156" s="8">
        <v>3391.42</v>
      </c>
      <c r="L156" s="8">
        <v>1900</v>
      </c>
      <c r="M156" s="11">
        <v>0.0742</v>
      </c>
      <c r="N156" s="11">
        <v>0.4397</v>
      </c>
      <c r="O156" s="8">
        <v>66</v>
      </c>
      <c r="P156" s="8">
        <v>3268</v>
      </c>
      <c r="Q156" s="11">
        <v>0.0939</v>
      </c>
      <c r="R156" s="11">
        <v>0.329</v>
      </c>
      <c r="S156" s="8">
        <v>102</v>
      </c>
      <c r="T156" s="11">
        <v>0.1865</v>
      </c>
      <c r="U156" s="11">
        <v>0.3897</v>
      </c>
      <c r="V156" s="11">
        <v>0.2393</v>
      </c>
      <c r="W156" s="11">
        <v>0.2965</v>
      </c>
      <c r="X156" s="8">
        <v>59.62</v>
      </c>
      <c r="Y156" s="8">
        <v>81</v>
      </c>
      <c r="Z156" s="8">
        <v>0.74</v>
      </c>
      <c r="AA156" s="8">
        <v>59.62</v>
      </c>
      <c r="AB156" s="8">
        <v>5.49</v>
      </c>
      <c r="AC156" s="8">
        <v>1.3</v>
      </c>
      <c r="AD156" s="8">
        <v>2</v>
      </c>
      <c r="AE156" s="8">
        <v>2</v>
      </c>
      <c r="AF156" s="11">
        <v>1</v>
      </c>
      <c r="AG156" s="8">
        <v>0</v>
      </c>
      <c r="AH156" s="8">
        <v>0</v>
      </c>
      <c r="AI156" s="11">
        <v>0</v>
      </c>
      <c r="AJ156" s="8" t="s">
        <v>341</v>
      </c>
    </row>
    <row r="157" customFormat="1" ht="22" customHeight="1" spans="1:36">
      <c r="A157" s="8" t="s">
        <v>37</v>
      </c>
      <c r="B157" s="8" t="str">
        <f>VLOOKUP(F157,[1]Sheet1!$B:$E,3,FALSE)</f>
        <v>王森</v>
      </c>
      <c r="C157" s="9" t="str">
        <f>VLOOKUP(F157,[1]Sheet1!$B:$E,4,FALSE)</f>
        <v>A</v>
      </c>
      <c r="D157" s="8" t="s">
        <v>342</v>
      </c>
      <c r="E157" s="8">
        <v>4.4</v>
      </c>
      <c r="F157" s="10">
        <v>18218932</v>
      </c>
      <c r="G157" s="8">
        <v>1178</v>
      </c>
      <c r="H157" s="8">
        <v>1076.81</v>
      </c>
      <c r="I157" s="8">
        <v>45.57</v>
      </c>
      <c r="J157" s="8">
        <v>30.77</v>
      </c>
      <c r="K157" s="8">
        <v>3578.84</v>
      </c>
      <c r="L157" s="8">
        <v>3096</v>
      </c>
      <c r="M157" s="11">
        <v>0.0672</v>
      </c>
      <c r="N157" s="11">
        <v>0.1538</v>
      </c>
      <c r="O157" s="8">
        <v>35</v>
      </c>
      <c r="P157" s="8">
        <v>3923</v>
      </c>
      <c r="Q157" s="11">
        <v>0.0785</v>
      </c>
      <c r="R157" s="11">
        <v>0.2597</v>
      </c>
      <c r="S157" s="8">
        <v>83</v>
      </c>
      <c r="T157" s="11">
        <v>0.122</v>
      </c>
      <c r="U157" s="11">
        <v>0.2313</v>
      </c>
      <c r="V157" s="11">
        <v>0.1898</v>
      </c>
      <c r="W157" s="11">
        <v>0.2766</v>
      </c>
      <c r="X157" s="8">
        <v>230</v>
      </c>
      <c r="Y157" s="8">
        <v>203</v>
      </c>
      <c r="Z157" s="8">
        <v>1.13</v>
      </c>
      <c r="AA157" s="8">
        <v>230</v>
      </c>
      <c r="AB157" s="8">
        <v>21.36</v>
      </c>
      <c r="AC157" s="8">
        <v>2.63</v>
      </c>
      <c r="AD157" s="8">
        <v>0</v>
      </c>
      <c r="AE157" s="8">
        <v>0</v>
      </c>
      <c r="AF157" s="11">
        <v>0</v>
      </c>
      <c r="AG157" s="8">
        <v>0</v>
      </c>
      <c r="AH157" s="8">
        <v>0</v>
      </c>
      <c r="AI157" s="11">
        <v>0</v>
      </c>
      <c r="AJ157" s="8" t="s">
        <v>343</v>
      </c>
    </row>
    <row r="158" customFormat="1" ht="22" customHeight="1" spans="1:36">
      <c r="A158" s="8" t="s">
        <v>37</v>
      </c>
      <c r="B158" s="8" t="str">
        <f>VLOOKUP(F158,[1]Sheet1!$B:$E,3,FALSE)</f>
        <v>刘欢</v>
      </c>
      <c r="C158" s="9" t="str">
        <f>VLOOKUP(F158,[1]Sheet1!$B:$E,4,FALSE)</f>
        <v>A</v>
      </c>
      <c r="D158" s="8" t="s">
        <v>344</v>
      </c>
      <c r="E158" s="8">
        <v>4.6</v>
      </c>
      <c r="F158" s="10">
        <v>29438501</v>
      </c>
      <c r="G158" s="8">
        <v>807</v>
      </c>
      <c r="H158" s="8">
        <v>1070.01</v>
      </c>
      <c r="I158" s="8">
        <v>81.79</v>
      </c>
      <c r="J158" s="8">
        <v>62.94</v>
      </c>
      <c r="K158" s="8">
        <v>3380.11</v>
      </c>
      <c r="L158" s="8">
        <v>1661</v>
      </c>
      <c r="M158" s="11">
        <v>0.0716</v>
      </c>
      <c r="N158" s="11">
        <v>0.1429</v>
      </c>
      <c r="O158" s="8">
        <v>17</v>
      </c>
      <c r="P158" s="8">
        <v>2703</v>
      </c>
      <c r="Q158" s="11">
        <v>0.1014</v>
      </c>
      <c r="R158" s="11">
        <v>0.3139</v>
      </c>
      <c r="S158" s="8">
        <v>89</v>
      </c>
      <c r="T158" s="11">
        <v>0.0811</v>
      </c>
      <c r="U158" s="11">
        <v>0.263</v>
      </c>
      <c r="V158" s="11">
        <v>0.2236</v>
      </c>
      <c r="W158" s="11">
        <v>0.3022</v>
      </c>
      <c r="X158" s="8">
        <v>0</v>
      </c>
      <c r="Y158" s="8">
        <v>0</v>
      </c>
      <c r="Z158" s="8">
        <v>-0.01</v>
      </c>
      <c r="AA158" s="8">
        <v>0</v>
      </c>
      <c r="AB158" s="8">
        <v>0</v>
      </c>
      <c r="AC158" s="8">
        <v>2.06</v>
      </c>
      <c r="AD158" s="8">
        <v>0</v>
      </c>
      <c r="AE158" s="8">
        <v>0</v>
      </c>
      <c r="AF158" s="11">
        <v>0</v>
      </c>
      <c r="AG158" s="8">
        <v>0</v>
      </c>
      <c r="AH158" s="8">
        <v>0</v>
      </c>
      <c r="AI158" s="11">
        <v>0</v>
      </c>
      <c r="AJ158" s="8" t="s">
        <v>345</v>
      </c>
    </row>
    <row r="159" customFormat="1" ht="22" customHeight="1" spans="1:36">
      <c r="A159" s="8" t="s">
        <v>37</v>
      </c>
      <c r="B159" s="8" t="str">
        <f>VLOOKUP(F159,[1]Sheet1!$B:$E,3,FALSE)</f>
        <v>徐从众</v>
      </c>
      <c r="C159" s="9" t="str">
        <f>VLOOKUP(F159,[1]Sheet1!$B:$E,4,FALSE)</f>
        <v>A</v>
      </c>
      <c r="D159" s="8" t="s">
        <v>346</v>
      </c>
      <c r="E159" s="8">
        <v>4.6</v>
      </c>
      <c r="F159" s="10">
        <v>31059896</v>
      </c>
      <c r="G159" s="8">
        <v>267</v>
      </c>
      <c r="H159" s="8">
        <v>1064.14</v>
      </c>
      <c r="I159" s="8">
        <v>71.93</v>
      </c>
      <c r="J159" s="8">
        <v>59.12</v>
      </c>
      <c r="K159" s="8">
        <v>5797.82</v>
      </c>
      <c r="L159" s="8">
        <v>415</v>
      </c>
      <c r="M159" s="11">
        <v>0.1205</v>
      </c>
      <c r="N159" s="11">
        <v>0.32</v>
      </c>
      <c r="O159" s="8">
        <v>18</v>
      </c>
      <c r="P159" s="8">
        <v>5663</v>
      </c>
      <c r="Q159" s="11">
        <v>0.0872</v>
      </c>
      <c r="R159" s="11">
        <v>0.2632</v>
      </c>
      <c r="S159" s="8">
        <v>134</v>
      </c>
      <c r="T159" s="11">
        <v>0.1197</v>
      </c>
      <c r="U159" s="11">
        <v>0.2625</v>
      </c>
      <c r="V159" s="11">
        <v>0.2118</v>
      </c>
      <c r="W159" s="11">
        <v>0.2854</v>
      </c>
      <c r="X159" s="8">
        <v>0</v>
      </c>
      <c r="Y159" s="8">
        <v>0</v>
      </c>
      <c r="Z159" s="8">
        <v>-0.01</v>
      </c>
      <c r="AA159" s="8">
        <v>0</v>
      </c>
      <c r="AB159" s="8">
        <v>0</v>
      </c>
      <c r="AC159" s="8">
        <v>1.55</v>
      </c>
      <c r="AD159" s="8">
        <v>0</v>
      </c>
      <c r="AE159" s="8">
        <v>0</v>
      </c>
      <c r="AF159" s="11">
        <v>0</v>
      </c>
      <c r="AG159" s="8">
        <v>0</v>
      </c>
      <c r="AH159" s="8">
        <v>0</v>
      </c>
      <c r="AI159" s="11">
        <v>0</v>
      </c>
      <c r="AJ159" s="8" t="s">
        <v>347</v>
      </c>
    </row>
    <row r="160" customFormat="1" ht="22" customHeight="1" spans="1:36">
      <c r="A160" s="8" t="s">
        <v>37</v>
      </c>
      <c r="B160" s="8" t="e">
        <f>VLOOKUP(F160,[1]Sheet1!$B:$E,3,FALSE)</f>
        <v>#N/A</v>
      </c>
      <c r="C160" s="8" t="e">
        <f>VLOOKUP(F160,[1]Sheet1!$B:$E,4,FALSE)</f>
        <v>#N/A</v>
      </c>
      <c r="D160" s="8" t="s">
        <v>348</v>
      </c>
      <c r="E160" s="8">
        <v>4.6</v>
      </c>
      <c r="F160" s="10">
        <v>33129389</v>
      </c>
      <c r="G160" s="8">
        <v>1062</v>
      </c>
      <c r="H160" s="8">
        <v>1050.32</v>
      </c>
      <c r="I160" s="8">
        <v>28.32</v>
      </c>
      <c r="J160" s="8">
        <v>19.82</v>
      </c>
      <c r="K160" s="8">
        <v>3600.56</v>
      </c>
      <c r="L160" s="8">
        <v>3525</v>
      </c>
      <c r="M160" s="11">
        <v>0.0726</v>
      </c>
      <c r="N160" s="11">
        <v>0.2031</v>
      </c>
      <c r="O160" s="8">
        <v>53</v>
      </c>
      <c r="P160" s="8">
        <v>3799</v>
      </c>
      <c r="Q160" s="11">
        <v>0.0948</v>
      </c>
      <c r="R160" s="11">
        <v>0.3194</v>
      </c>
      <c r="S160" s="8">
        <v>118</v>
      </c>
      <c r="T160" s="11">
        <v>0.1319</v>
      </c>
      <c r="U160" s="11">
        <v>0</v>
      </c>
      <c r="V160" s="11">
        <v>0.2339</v>
      </c>
      <c r="W160" s="11">
        <v>0.2917</v>
      </c>
      <c r="X160" s="8">
        <v>80</v>
      </c>
      <c r="Y160" s="8">
        <v>145</v>
      </c>
      <c r="Z160" s="8">
        <v>0.55</v>
      </c>
      <c r="AA160" s="8">
        <v>80</v>
      </c>
      <c r="AB160" s="8">
        <v>7.62</v>
      </c>
      <c r="AC160" s="8">
        <v>3.32</v>
      </c>
      <c r="AD160" s="8">
        <v>6</v>
      </c>
      <c r="AE160" s="8">
        <v>6</v>
      </c>
      <c r="AF160" s="11">
        <v>1</v>
      </c>
      <c r="AG160" s="8">
        <v>0</v>
      </c>
      <c r="AH160" s="8">
        <v>0</v>
      </c>
      <c r="AI160" s="11">
        <v>0</v>
      </c>
      <c r="AJ160" s="8" t="s">
        <v>349</v>
      </c>
    </row>
    <row r="161" customFormat="1" ht="22" customHeight="1" spans="1:36">
      <c r="A161" s="8" t="s">
        <v>37</v>
      </c>
      <c r="B161" s="8" t="str">
        <f>VLOOKUP(F161,[1]Sheet1!$B:$E,3,FALSE)</f>
        <v>徐从众</v>
      </c>
      <c r="C161" s="9" t="str">
        <f>VLOOKUP(F161,[1]Sheet1!$B:$E,4,FALSE)</f>
        <v>S</v>
      </c>
      <c r="D161" s="8" t="s">
        <v>350</v>
      </c>
      <c r="E161" s="8">
        <v>4.8</v>
      </c>
      <c r="F161" s="10">
        <v>27083884</v>
      </c>
      <c r="G161" s="8">
        <v>1472</v>
      </c>
      <c r="H161" s="8">
        <v>1045.93</v>
      </c>
      <c r="I161" s="8">
        <v>27.9</v>
      </c>
      <c r="J161" s="8">
        <v>18.35</v>
      </c>
      <c r="K161" s="8">
        <v>3235.15</v>
      </c>
      <c r="L161" s="8">
        <v>1467</v>
      </c>
      <c r="M161" s="11">
        <v>0.0852</v>
      </c>
      <c r="N161" s="11">
        <v>0.432</v>
      </c>
      <c r="O161" s="8">
        <v>57</v>
      </c>
      <c r="P161" s="8">
        <v>3299</v>
      </c>
      <c r="Q161" s="11">
        <v>0.0858</v>
      </c>
      <c r="R161" s="11">
        <v>0.3498</v>
      </c>
      <c r="S161" s="8">
        <v>101</v>
      </c>
      <c r="T161" s="11">
        <v>0.2395</v>
      </c>
      <c r="U161" s="11">
        <v>0.402</v>
      </c>
      <c r="V161" s="11">
        <v>0.2112</v>
      </c>
      <c r="W161" s="11">
        <v>0.3001</v>
      </c>
      <c r="X161" s="8">
        <v>83.63</v>
      </c>
      <c r="Y161" s="8">
        <v>90</v>
      </c>
      <c r="Z161" s="8">
        <v>0.93</v>
      </c>
      <c r="AA161" s="8">
        <v>83.63</v>
      </c>
      <c r="AB161" s="8">
        <v>8</v>
      </c>
      <c r="AC161" s="8">
        <v>1</v>
      </c>
      <c r="AD161" s="8">
        <v>2</v>
      </c>
      <c r="AE161" s="8">
        <v>2</v>
      </c>
      <c r="AF161" s="11">
        <v>1</v>
      </c>
      <c r="AG161" s="8">
        <v>0</v>
      </c>
      <c r="AH161" s="8">
        <v>0</v>
      </c>
      <c r="AI161" s="11">
        <v>0</v>
      </c>
      <c r="AJ161" s="8" t="s">
        <v>351</v>
      </c>
    </row>
    <row r="162" customFormat="1" ht="22" customHeight="1" spans="1:36">
      <c r="A162" s="8" t="s">
        <v>37</v>
      </c>
      <c r="B162" s="8" t="str">
        <f>VLOOKUP(F162,[1]Sheet1!$B:$E,3,FALSE)</f>
        <v>徐从众</v>
      </c>
      <c r="C162" s="9" t="str">
        <f>VLOOKUP(F162,[1]Sheet1!$B:$E,4,FALSE)</f>
        <v>S</v>
      </c>
      <c r="D162" s="8" t="s">
        <v>352</v>
      </c>
      <c r="E162" s="8">
        <v>4.6</v>
      </c>
      <c r="F162" s="10">
        <v>29214681</v>
      </c>
      <c r="G162" s="8">
        <v>729</v>
      </c>
      <c r="H162" s="8">
        <v>1042.97</v>
      </c>
      <c r="I162" s="8">
        <v>45.02</v>
      </c>
      <c r="J162" s="8">
        <v>35.96</v>
      </c>
      <c r="K162" s="8">
        <v>3850.12</v>
      </c>
      <c r="L162" s="8">
        <v>975</v>
      </c>
      <c r="M162" s="11">
        <v>0.0923</v>
      </c>
      <c r="N162" s="11">
        <v>0.3333</v>
      </c>
      <c r="O162" s="8">
        <v>29</v>
      </c>
      <c r="P162" s="8">
        <v>3074</v>
      </c>
      <c r="Q162" s="11">
        <v>0.0924</v>
      </c>
      <c r="R162" s="11">
        <v>0.2394</v>
      </c>
      <c r="S162" s="8">
        <v>71</v>
      </c>
      <c r="T162" s="11">
        <v>0.144</v>
      </c>
      <c r="U162" s="11">
        <v>0.3524</v>
      </c>
      <c r="V162" s="11">
        <v>0.2133</v>
      </c>
      <c r="W162" s="11">
        <v>0.2639</v>
      </c>
      <c r="X162" s="8">
        <v>0</v>
      </c>
      <c r="Y162" s="8">
        <v>0</v>
      </c>
      <c r="Z162" s="8">
        <v>-0.01</v>
      </c>
      <c r="AA162" s="8">
        <v>0</v>
      </c>
      <c r="AB162" s="8">
        <v>0</v>
      </c>
      <c r="AC162" s="8">
        <v>1.34</v>
      </c>
      <c r="AD162" s="8">
        <v>0</v>
      </c>
      <c r="AE162" s="8">
        <v>0</v>
      </c>
      <c r="AF162" s="11">
        <v>0</v>
      </c>
      <c r="AG162" s="8">
        <v>0</v>
      </c>
      <c r="AH162" s="8">
        <v>0</v>
      </c>
      <c r="AI162" s="11">
        <v>0</v>
      </c>
      <c r="AJ162" s="8" t="s">
        <v>353</v>
      </c>
    </row>
    <row r="163" customFormat="1" ht="22" customHeight="1" spans="1:36">
      <c r="A163" s="8" t="s">
        <v>37</v>
      </c>
      <c r="B163" s="8" t="str">
        <f>VLOOKUP(F163,[1]Sheet1!$B:$E,3,FALSE)</f>
        <v>徐从众</v>
      </c>
      <c r="C163" s="9" t="str">
        <f>VLOOKUP(F163,[1]Sheet1!$B:$E,4,FALSE)</f>
        <v>S</v>
      </c>
      <c r="D163" s="8" t="s">
        <v>354</v>
      </c>
      <c r="E163" s="8">
        <v>4.9</v>
      </c>
      <c r="F163" s="10">
        <v>28901613</v>
      </c>
      <c r="G163" s="8">
        <v>1689</v>
      </c>
      <c r="H163" s="8">
        <v>1041.2</v>
      </c>
      <c r="I163" s="8">
        <v>24.15</v>
      </c>
      <c r="J163" s="8">
        <v>15.09</v>
      </c>
      <c r="K163" s="8">
        <v>3051.36</v>
      </c>
      <c r="L163" s="8">
        <v>2364</v>
      </c>
      <c r="M163" s="11">
        <v>0.0685</v>
      </c>
      <c r="N163" s="11">
        <v>0.4136</v>
      </c>
      <c r="O163" s="8">
        <v>69</v>
      </c>
      <c r="P163" s="8">
        <v>3405</v>
      </c>
      <c r="Q163" s="11">
        <v>0.0831</v>
      </c>
      <c r="R163" s="11">
        <v>0.371</v>
      </c>
      <c r="S163" s="8">
        <v>107</v>
      </c>
      <c r="T163" s="11">
        <v>0.2139</v>
      </c>
      <c r="U163" s="11">
        <v>0.4413</v>
      </c>
      <c r="V163" s="11">
        <v>0.225</v>
      </c>
      <c r="W163" s="11">
        <v>0.3064</v>
      </c>
      <c r="X163" s="8">
        <v>70.91</v>
      </c>
      <c r="Y163" s="8">
        <v>69</v>
      </c>
      <c r="Z163" s="8">
        <v>1.03</v>
      </c>
      <c r="AA163" s="8">
        <v>70.91</v>
      </c>
      <c r="AB163" s="8">
        <v>6.81</v>
      </c>
      <c r="AC163" s="8">
        <v>1.4</v>
      </c>
      <c r="AD163" s="8">
        <v>1</v>
      </c>
      <c r="AE163" s="8">
        <v>1</v>
      </c>
      <c r="AF163" s="11">
        <v>1</v>
      </c>
      <c r="AG163" s="8">
        <v>0</v>
      </c>
      <c r="AH163" s="8">
        <v>0</v>
      </c>
      <c r="AI163" s="11">
        <v>0</v>
      </c>
      <c r="AJ163" s="8" t="s">
        <v>355</v>
      </c>
    </row>
    <row r="164" customFormat="1" ht="22" customHeight="1" spans="1:36">
      <c r="A164" s="8" t="s">
        <v>37</v>
      </c>
      <c r="B164" s="8" t="str">
        <f>VLOOKUP(F164,[1]Sheet1!$B:$E,3,FALSE)</f>
        <v>徐从众</v>
      </c>
      <c r="C164" s="9" t="str">
        <f>VLOOKUP(F164,[1]Sheet1!$B:$E,4,FALSE)</f>
        <v>S</v>
      </c>
      <c r="D164" s="8" t="s">
        <v>356</v>
      </c>
      <c r="E164" s="8">
        <v>4.7</v>
      </c>
      <c r="F164" s="10">
        <v>19470741</v>
      </c>
      <c r="G164" s="8">
        <v>1159</v>
      </c>
      <c r="H164" s="8">
        <v>1033.8</v>
      </c>
      <c r="I164" s="8">
        <v>42.7</v>
      </c>
      <c r="J164" s="8">
        <v>32.31</v>
      </c>
      <c r="K164" s="8">
        <v>3397.54</v>
      </c>
      <c r="L164" s="8">
        <v>1707</v>
      </c>
      <c r="M164" s="11">
        <v>0.1072</v>
      </c>
      <c r="N164" s="11">
        <v>0.1749</v>
      </c>
      <c r="O164" s="8">
        <v>32</v>
      </c>
      <c r="P164" s="8">
        <v>3377</v>
      </c>
      <c r="Q164" s="11">
        <v>0.0797</v>
      </c>
      <c r="R164" s="11">
        <v>0.3048</v>
      </c>
      <c r="S164" s="8">
        <v>84</v>
      </c>
      <c r="T164" s="11">
        <v>0.1723</v>
      </c>
      <c r="U164" s="11">
        <v>0.23</v>
      </c>
      <c r="V164" s="11">
        <v>0.2357</v>
      </c>
      <c r="W164" s="11">
        <v>0.3043</v>
      </c>
      <c r="X164" s="8">
        <v>100</v>
      </c>
      <c r="Y164" s="8">
        <v>93</v>
      </c>
      <c r="Z164" s="8">
        <v>1.08</v>
      </c>
      <c r="AA164" s="8">
        <v>100</v>
      </c>
      <c r="AB164" s="8">
        <v>9.67</v>
      </c>
      <c r="AC164" s="8">
        <v>1.47</v>
      </c>
      <c r="AD164" s="8">
        <v>1</v>
      </c>
      <c r="AE164" s="8">
        <v>1</v>
      </c>
      <c r="AF164" s="11">
        <v>1</v>
      </c>
      <c r="AG164" s="8">
        <v>0</v>
      </c>
      <c r="AH164" s="8">
        <v>0</v>
      </c>
      <c r="AI164" s="11">
        <v>0</v>
      </c>
      <c r="AJ164" s="8" t="s">
        <v>357</v>
      </c>
    </row>
    <row r="165" customFormat="1" ht="22" customHeight="1" spans="1:36">
      <c r="A165" s="8" t="s">
        <v>37</v>
      </c>
      <c r="B165" s="8" t="str">
        <f>VLOOKUP(F165,[1]Sheet1!$B:$E,3,FALSE)</f>
        <v>徐从众</v>
      </c>
      <c r="C165" s="9" t="str">
        <f>VLOOKUP(F165,[1]Sheet1!$B:$E,4,FALSE)</f>
        <v>A</v>
      </c>
      <c r="D165" s="8" t="s">
        <v>358</v>
      </c>
      <c r="E165" s="8">
        <v>4.5</v>
      </c>
      <c r="F165" s="10">
        <v>16397234</v>
      </c>
      <c r="G165" s="8">
        <v>475</v>
      </c>
      <c r="H165" s="8">
        <v>1030.62</v>
      </c>
      <c r="I165" s="8">
        <v>88.08</v>
      </c>
      <c r="J165" s="8">
        <v>68.71</v>
      </c>
      <c r="K165" s="8">
        <v>3933.37</v>
      </c>
      <c r="L165" s="8">
        <v>1650</v>
      </c>
      <c r="M165" s="11">
        <v>0.0873</v>
      </c>
      <c r="N165" s="11">
        <v>0.1042</v>
      </c>
      <c r="O165" s="8">
        <v>15</v>
      </c>
      <c r="P165" s="8">
        <v>3430</v>
      </c>
      <c r="Q165" s="11">
        <v>0.0875</v>
      </c>
      <c r="R165" s="11">
        <v>0.2633</v>
      </c>
      <c r="S165" s="8">
        <v>81</v>
      </c>
      <c r="T165" s="11">
        <v>0.0855</v>
      </c>
      <c r="U165" s="11">
        <v>0.1392</v>
      </c>
      <c r="V165" s="11">
        <v>0.2068</v>
      </c>
      <c r="W165" s="11">
        <v>0.2554</v>
      </c>
      <c r="X165" s="8">
        <v>142.69</v>
      </c>
      <c r="Y165" s="8">
        <v>150</v>
      </c>
      <c r="Z165" s="8">
        <v>0.95</v>
      </c>
      <c r="AA165" s="8">
        <v>142.69</v>
      </c>
      <c r="AB165" s="8">
        <v>13.85</v>
      </c>
      <c r="AC165" s="8">
        <v>3.47</v>
      </c>
      <c r="AD165" s="8">
        <v>1</v>
      </c>
      <c r="AE165" s="8">
        <v>1</v>
      </c>
      <c r="AF165" s="11">
        <v>1</v>
      </c>
      <c r="AG165" s="8">
        <v>0</v>
      </c>
      <c r="AH165" s="8">
        <v>0</v>
      </c>
      <c r="AI165" s="11">
        <v>0</v>
      </c>
      <c r="AJ165" s="8" t="s">
        <v>359</v>
      </c>
    </row>
    <row r="166" customFormat="1" ht="22" customHeight="1" spans="1:36">
      <c r="A166" s="8" t="s">
        <v>37</v>
      </c>
      <c r="B166" s="8" t="e">
        <f>VLOOKUP(F166,[1]Sheet1!$B:$E,3,FALSE)</f>
        <v>#N/A</v>
      </c>
      <c r="C166" s="8" t="e">
        <f>VLOOKUP(F166,[1]Sheet1!$B:$E,4,FALSE)</f>
        <v>#N/A</v>
      </c>
      <c r="D166" s="8" t="s">
        <v>360</v>
      </c>
      <c r="E166" s="8">
        <v>4.5</v>
      </c>
      <c r="F166" s="10">
        <v>32476321</v>
      </c>
      <c r="G166" s="8">
        <v>488</v>
      </c>
      <c r="H166" s="8">
        <v>1022.33</v>
      </c>
      <c r="I166" s="8">
        <v>60.92</v>
      </c>
      <c r="J166" s="8">
        <v>46.47</v>
      </c>
      <c r="K166" s="8">
        <v>6784.6</v>
      </c>
      <c r="L166" s="8">
        <v>764</v>
      </c>
      <c r="M166" s="11">
        <v>0.0851</v>
      </c>
      <c r="N166" s="11">
        <v>0.3385</v>
      </c>
      <c r="O166" s="8">
        <v>22</v>
      </c>
      <c r="P166" s="8">
        <v>6866</v>
      </c>
      <c r="Q166" s="11">
        <v>0.0804</v>
      </c>
      <c r="R166" s="11">
        <v>0.2609</v>
      </c>
      <c r="S166" s="8">
        <v>148</v>
      </c>
      <c r="T166" s="11">
        <v>0.0997</v>
      </c>
      <c r="U166" s="11">
        <v>0.2674</v>
      </c>
      <c r="V166" s="11">
        <v>0.196</v>
      </c>
      <c r="W166" s="11">
        <v>0.2569</v>
      </c>
      <c r="X166" s="8">
        <v>35.3</v>
      </c>
      <c r="Y166" s="8">
        <v>35</v>
      </c>
      <c r="Z166" s="8">
        <v>1.01</v>
      </c>
      <c r="AA166" s="8">
        <v>35.3</v>
      </c>
      <c r="AB166" s="8">
        <v>3.45</v>
      </c>
      <c r="AC166" s="8">
        <v>1.57</v>
      </c>
      <c r="AD166" s="8">
        <v>1</v>
      </c>
      <c r="AE166" s="8">
        <v>1</v>
      </c>
      <c r="AF166" s="11">
        <v>1</v>
      </c>
      <c r="AG166" s="8">
        <v>0</v>
      </c>
      <c r="AH166" s="8">
        <v>0</v>
      </c>
      <c r="AI166" s="11">
        <v>0</v>
      </c>
      <c r="AJ166" s="8" t="s">
        <v>361</v>
      </c>
    </row>
    <row r="167" customFormat="1" ht="22" customHeight="1" spans="1:36">
      <c r="A167" s="8" t="s">
        <v>37</v>
      </c>
      <c r="B167" s="8" t="str">
        <f>VLOOKUP(F167,[1]Sheet1!$B:$E,3,FALSE)</f>
        <v>王森</v>
      </c>
      <c r="C167" s="9" t="str">
        <f>VLOOKUP(F167,[1]Sheet1!$B:$E,4,FALSE)</f>
        <v>A</v>
      </c>
      <c r="D167" s="8" t="s">
        <v>362</v>
      </c>
      <c r="E167" s="8">
        <v>4.6</v>
      </c>
      <c r="F167" s="10">
        <v>32051245</v>
      </c>
      <c r="G167" s="8">
        <v>817</v>
      </c>
      <c r="H167" s="8">
        <v>1002.7</v>
      </c>
      <c r="I167" s="8">
        <v>41.09</v>
      </c>
      <c r="J167" s="8">
        <v>32.35</v>
      </c>
      <c r="K167" s="8">
        <v>3635.17</v>
      </c>
      <c r="L167" s="8">
        <v>1086</v>
      </c>
      <c r="M167" s="11">
        <v>0.1243</v>
      </c>
      <c r="N167" s="11">
        <v>0.2148</v>
      </c>
      <c r="O167" s="8">
        <v>31</v>
      </c>
      <c r="P167" s="8">
        <v>3678</v>
      </c>
      <c r="Q167" s="11">
        <v>0.0813</v>
      </c>
      <c r="R167" s="11">
        <v>0.2508</v>
      </c>
      <c r="S167" s="8">
        <v>77</v>
      </c>
      <c r="T167" s="11">
        <v>0.1348</v>
      </c>
      <c r="U167" s="11">
        <v>0.3193</v>
      </c>
      <c r="V167" s="11">
        <v>0.1999</v>
      </c>
      <c r="W167" s="11">
        <v>0.2574</v>
      </c>
      <c r="X167" s="8">
        <v>0</v>
      </c>
      <c r="Y167" s="8">
        <v>0</v>
      </c>
      <c r="Z167" s="8">
        <v>-0.01</v>
      </c>
      <c r="AA167" s="8">
        <v>0</v>
      </c>
      <c r="AB167" s="8">
        <v>0</v>
      </c>
      <c r="AC167" s="8">
        <v>1.33</v>
      </c>
      <c r="AD167" s="8">
        <v>0</v>
      </c>
      <c r="AE167" s="8">
        <v>0</v>
      </c>
      <c r="AF167" s="11">
        <v>0</v>
      </c>
      <c r="AG167" s="8">
        <v>0</v>
      </c>
      <c r="AH167" s="8">
        <v>0</v>
      </c>
      <c r="AI167" s="11">
        <v>0</v>
      </c>
      <c r="AJ167" s="8" t="s">
        <v>243</v>
      </c>
    </row>
    <row r="168" customFormat="1" ht="22" customHeight="1" spans="1:36">
      <c r="A168" s="8" t="s">
        <v>37</v>
      </c>
      <c r="B168" s="8" t="str">
        <f>VLOOKUP(F168,[1]Sheet1!$B:$E,3,FALSE)</f>
        <v>岳贝贝</v>
      </c>
      <c r="C168" s="8" t="str">
        <f>VLOOKUP(F168,[1]Sheet1!$B:$E,4,FALSE)</f>
        <v>B</v>
      </c>
      <c r="D168" s="12" t="s">
        <v>363</v>
      </c>
      <c r="E168" s="12">
        <v>4.3</v>
      </c>
      <c r="F168" s="13">
        <v>33073117</v>
      </c>
      <c r="G168" s="8">
        <v>1462</v>
      </c>
      <c r="H168" s="8">
        <v>1002.18</v>
      </c>
      <c r="I168" s="8">
        <v>31.47</v>
      </c>
      <c r="J168" s="8">
        <v>23.86</v>
      </c>
      <c r="K168" s="8">
        <v>4386.49</v>
      </c>
      <c r="L168" s="8">
        <v>2115</v>
      </c>
      <c r="M168" s="11">
        <v>0.0894</v>
      </c>
      <c r="N168" s="11">
        <v>0.2222</v>
      </c>
      <c r="O168" s="8">
        <v>42</v>
      </c>
      <c r="P168" s="8">
        <v>7428</v>
      </c>
      <c r="Q168" s="11">
        <v>0.0817</v>
      </c>
      <c r="R168" s="11">
        <v>0.3081</v>
      </c>
      <c r="S168" s="8">
        <v>191</v>
      </c>
      <c r="T168" s="11">
        <v>0.1452</v>
      </c>
      <c r="U168" s="11">
        <v>0.2862</v>
      </c>
      <c r="V168" s="11">
        <v>0.2338</v>
      </c>
      <c r="W168" s="11">
        <v>0.3067</v>
      </c>
      <c r="X168" s="8">
        <v>91.19</v>
      </c>
      <c r="Y168" s="8">
        <v>74</v>
      </c>
      <c r="Z168" s="8">
        <v>1.23</v>
      </c>
      <c r="AA168" s="8">
        <v>91.19</v>
      </c>
      <c r="AB168" s="8">
        <v>9.1</v>
      </c>
      <c r="AC168" s="8">
        <v>1.45</v>
      </c>
      <c r="AD168" s="8">
        <v>1</v>
      </c>
      <c r="AE168" s="8">
        <v>1</v>
      </c>
      <c r="AF168" s="11">
        <v>1</v>
      </c>
      <c r="AG168" s="8">
        <v>0</v>
      </c>
      <c r="AH168" s="8">
        <v>0</v>
      </c>
      <c r="AI168" s="11">
        <v>0</v>
      </c>
      <c r="AJ168" s="8" t="s">
        <v>364</v>
      </c>
    </row>
    <row r="169" customFormat="1" ht="22" customHeight="1" spans="1:36">
      <c r="A169" s="8" t="s">
        <v>37</v>
      </c>
      <c r="B169" s="8" t="str">
        <f>VLOOKUP(F169,[1]Sheet1!$B:$E,3,FALSE)</f>
        <v>徐从众</v>
      </c>
      <c r="C169" s="9" t="str">
        <f>VLOOKUP(F169,[1]Sheet1!$B:$E,4,FALSE)</f>
        <v>A</v>
      </c>
      <c r="D169" s="8" t="s">
        <v>365</v>
      </c>
      <c r="E169" s="8">
        <v>4.6</v>
      </c>
      <c r="F169" s="10">
        <v>18356139</v>
      </c>
      <c r="G169" s="8">
        <v>557</v>
      </c>
      <c r="H169" s="8">
        <v>993.72</v>
      </c>
      <c r="I169" s="8">
        <v>76.18</v>
      </c>
      <c r="J169" s="8">
        <v>58.45</v>
      </c>
      <c r="K169" s="8">
        <v>2338.98</v>
      </c>
      <c r="L169" s="8">
        <v>1911</v>
      </c>
      <c r="M169" s="11">
        <v>0.0539</v>
      </c>
      <c r="N169" s="11">
        <v>0.165</v>
      </c>
      <c r="O169" s="8">
        <v>17</v>
      </c>
      <c r="P169" s="8">
        <v>3603</v>
      </c>
      <c r="Q169" s="11">
        <v>0.0663</v>
      </c>
      <c r="R169" s="11">
        <v>0.2259</v>
      </c>
      <c r="S169" s="8">
        <v>55</v>
      </c>
      <c r="T169" s="11">
        <v>0.1148</v>
      </c>
      <c r="U169" s="11">
        <v>0.2158</v>
      </c>
      <c r="V169" s="11">
        <v>0.1984</v>
      </c>
      <c r="W169" s="11">
        <v>0.2693</v>
      </c>
      <c r="X169" s="8">
        <v>122</v>
      </c>
      <c r="Y169" s="8">
        <v>126</v>
      </c>
      <c r="Z169" s="8">
        <v>0.97</v>
      </c>
      <c r="AA169" s="8">
        <v>122</v>
      </c>
      <c r="AB169" s="8">
        <v>12.28</v>
      </c>
      <c r="AC169" s="8">
        <v>3.43</v>
      </c>
      <c r="AD169" s="8">
        <v>1</v>
      </c>
      <c r="AE169" s="8">
        <v>1</v>
      </c>
      <c r="AF169" s="11">
        <v>1</v>
      </c>
      <c r="AG169" s="8">
        <v>0</v>
      </c>
      <c r="AH169" s="8">
        <v>0</v>
      </c>
      <c r="AI169" s="11">
        <v>0</v>
      </c>
      <c r="AJ169" s="8" t="s">
        <v>366</v>
      </c>
    </row>
    <row r="170" customFormat="1" ht="22" customHeight="1" spans="1:36">
      <c r="A170" s="8" t="s">
        <v>37</v>
      </c>
      <c r="B170" s="8" t="str">
        <f>VLOOKUP(F170,[1]Sheet1!$B:$E,3,FALSE)</f>
        <v>徐从众</v>
      </c>
      <c r="C170" s="9" t="str">
        <f>VLOOKUP(F170,[1]Sheet1!$B:$E,4,FALSE)</f>
        <v>S</v>
      </c>
      <c r="D170" s="8" t="s">
        <v>367</v>
      </c>
      <c r="E170" s="8">
        <v>4.4</v>
      </c>
      <c r="F170" s="10">
        <v>31551897</v>
      </c>
      <c r="G170" s="8">
        <v>955</v>
      </c>
      <c r="H170" s="8">
        <v>986.09</v>
      </c>
      <c r="I170" s="8">
        <v>44.29</v>
      </c>
      <c r="J170" s="8">
        <v>34</v>
      </c>
      <c r="K170" s="8">
        <v>4158.48</v>
      </c>
      <c r="L170" s="8">
        <v>1037</v>
      </c>
      <c r="M170" s="11">
        <v>0.107</v>
      </c>
      <c r="N170" s="11">
        <v>0.2613</v>
      </c>
      <c r="O170" s="8">
        <v>29</v>
      </c>
      <c r="P170" s="8">
        <v>4808</v>
      </c>
      <c r="Q170" s="11">
        <v>0.0749</v>
      </c>
      <c r="R170" s="11">
        <v>0.2583</v>
      </c>
      <c r="S170" s="8">
        <v>97</v>
      </c>
      <c r="T170" s="11">
        <v>0.2868</v>
      </c>
      <c r="U170" s="11">
        <v>0.3463</v>
      </c>
      <c r="V170" s="11">
        <v>0.203</v>
      </c>
      <c r="W170" s="11">
        <v>0.3939</v>
      </c>
      <c r="X170" s="8">
        <v>49.79</v>
      </c>
      <c r="Y170" s="8">
        <v>39</v>
      </c>
      <c r="Z170" s="8">
        <v>1.28</v>
      </c>
      <c r="AA170" s="8">
        <v>49.79</v>
      </c>
      <c r="AB170" s="8">
        <v>5.05</v>
      </c>
      <c r="AC170" s="8">
        <v>1.09</v>
      </c>
      <c r="AD170" s="8">
        <v>0</v>
      </c>
      <c r="AE170" s="8">
        <v>0</v>
      </c>
      <c r="AF170" s="11">
        <v>0</v>
      </c>
      <c r="AG170" s="8">
        <v>0</v>
      </c>
      <c r="AH170" s="8">
        <v>0</v>
      </c>
      <c r="AI170" s="11">
        <v>0</v>
      </c>
      <c r="AJ170" s="8" t="s">
        <v>368</v>
      </c>
    </row>
    <row r="171" customFormat="1" ht="22" customHeight="1" spans="1:36">
      <c r="A171" s="8" t="s">
        <v>37</v>
      </c>
      <c r="B171" s="8" t="str">
        <f>VLOOKUP(F171,[1]Sheet1!$B:$E,3,FALSE)</f>
        <v>岳贝贝</v>
      </c>
      <c r="C171" s="9" t="str">
        <f>VLOOKUP(F171,[1]Sheet1!$B:$E,4,FALSE)</f>
        <v>S</v>
      </c>
      <c r="D171" s="8" t="s">
        <v>369</v>
      </c>
      <c r="E171" s="8">
        <v>4.4</v>
      </c>
      <c r="F171" s="10">
        <v>21350125</v>
      </c>
      <c r="G171" s="8">
        <v>228</v>
      </c>
      <c r="H171" s="8">
        <v>984.69</v>
      </c>
      <c r="I171" s="8">
        <v>232.16</v>
      </c>
      <c r="J171" s="8">
        <v>196.94</v>
      </c>
      <c r="K171" s="8">
        <v>4069.41</v>
      </c>
      <c r="L171" s="8">
        <v>424</v>
      </c>
      <c r="M171" s="11">
        <v>0.0613</v>
      </c>
      <c r="N171" s="11">
        <v>0.1923</v>
      </c>
      <c r="O171" s="8">
        <v>5</v>
      </c>
      <c r="P171" s="8">
        <v>4389</v>
      </c>
      <c r="Q171" s="11">
        <v>0.0841</v>
      </c>
      <c r="R171" s="11">
        <v>0.2249</v>
      </c>
      <c r="S171" s="8">
        <v>85</v>
      </c>
      <c r="T171" s="11">
        <v>0.05</v>
      </c>
      <c r="U171" s="11">
        <v>0.2212</v>
      </c>
      <c r="V171" s="11">
        <v>0.1945</v>
      </c>
      <c r="W171" s="11">
        <v>0.279</v>
      </c>
      <c r="X171" s="8">
        <v>0</v>
      </c>
      <c r="Y171" s="8">
        <v>0</v>
      </c>
      <c r="Z171" s="8">
        <v>-0.01</v>
      </c>
      <c r="AA171" s="8">
        <v>0</v>
      </c>
      <c r="AB171" s="8">
        <v>0</v>
      </c>
      <c r="AC171" s="8">
        <v>1.86</v>
      </c>
      <c r="AD171" s="8">
        <v>0</v>
      </c>
      <c r="AE171" s="8">
        <v>0</v>
      </c>
      <c r="AF171" s="11">
        <v>0</v>
      </c>
      <c r="AG171" s="8">
        <v>0</v>
      </c>
      <c r="AH171" s="8">
        <v>0</v>
      </c>
      <c r="AI171" s="11">
        <v>0</v>
      </c>
      <c r="AJ171" s="8" t="s">
        <v>370</v>
      </c>
    </row>
    <row r="172" customFormat="1" ht="22" customHeight="1" spans="1:36">
      <c r="A172" s="8" t="s">
        <v>37</v>
      </c>
      <c r="B172" s="8" t="e">
        <f>VLOOKUP(F172,[1]Sheet1!$B:$E,3,FALSE)</f>
        <v>#N/A</v>
      </c>
      <c r="C172" s="8" t="e">
        <f>VLOOKUP(F172,[1]Sheet1!$B:$E,4,FALSE)</f>
        <v>#N/A</v>
      </c>
      <c r="D172" s="8" t="s">
        <v>371</v>
      </c>
      <c r="E172" s="8">
        <v>4.4</v>
      </c>
      <c r="F172" s="10">
        <v>29925864</v>
      </c>
      <c r="G172" s="8">
        <v>854</v>
      </c>
      <c r="H172" s="8">
        <v>981.83</v>
      </c>
      <c r="I172" s="8">
        <v>54.97</v>
      </c>
      <c r="J172" s="8">
        <v>35.07</v>
      </c>
      <c r="K172" s="8">
        <v>3488.78</v>
      </c>
      <c r="L172" s="8">
        <v>2810</v>
      </c>
      <c r="M172" s="11">
        <v>0.0872</v>
      </c>
      <c r="N172" s="11">
        <v>0.1143</v>
      </c>
      <c r="O172" s="8">
        <v>28</v>
      </c>
      <c r="P172" s="8">
        <v>3999</v>
      </c>
      <c r="Q172" s="11">
        <v>0.0905</v>
      </c>
      <c r="R172" s="11">
        <v>0.2431</v>
      </c>
      <c r="S172" s="8">
        <v>90</v>
      </c>
      <c r="T172" s="11">
        <v>0.107</v>
      </c>
      <c r="U172" s="11">
        <v>0.2391</v>
      </c>
      <c r="V172" s="11">
        <v>0.2125</v>
      </c>
      <c r="W172" s="11">
        <v>0.2624</v>
      </c>
      <c r="X172" s="8">
        <v>200</v>
      </c>
      <c r="Y172" s="8">
        <v>200</v>
      </c>
      <c r="Z172" s="8">
        <v>1</v>
      </c>
      <c r="AA172" s="8">
        <v>200</v>
      </c>
      <c r="AB172" s="8">
        <v>20.37</v>
      </c>
      <c r="AC172" s="8">
        <v>3.29</v>
      </c>
      <c r="AD172" s="8">
        <v>2</v>
      </c>
      <c r="AE172" s="8">
        <v>2</v>
      </c>
      <c r="AF172" s="11">
        <v>1</v>
      </c>
      <c r="AG172" s="8">
        <v>0</v>
      </c>
      <c r="AH172" s="8">
        <v>0</v>
      </c>
      <c r="AI172" s="11">
        <v>0</v>
      </c>
      <c r="AJ172" s="8" t="s">
        <v>372</v>
      </c>
    </row>
    <row r="173" customFormat="1" ht="22" customHeight="1" spans="1:36">
      <c r="A173" s="8" t="s">
        <v>37</v>
      </c>
      <c r="B173" s="8" t="str">
        <f>VLOOKUP(F173,[1]Sheet1!$B:$E,3,FALSE)</f>
        <v>徐从众</v>
      </c>
      <c r="C173" s="9" t="str">
        <f>VLOOKUP(F173,[1]Sheet1!$B:$E,4,FALSE)</f>
        <v>S</v>
      </c>
      <c r="D173" s="8" t="s">
        <v>373</v>
      </c>
      <c r="E173" s="8">
        <v>4.7</v>
      </c>
      <c r="F173" s="10">
        <v>29690960</v>
      </c>
      <c r="G173" s="8">
        <v>1027</v>
      </c>
      <c r="H173" s="8">
        <v>958.4</v>
      </c>
      <c r="I173" s="8">
        <v>40.68</v>
      </c>
      <c r="J173" s="8">
        <v>31.95</v>
      </c>
      <c r="K173" s="8">
        <v>4737.69</v>
      </c>
      <c r="L173" s="8">
        <v>1399</v>
      </c>
      <c r="M173" s="11">
        <v>0.0994</v>
      </c>
      <c r="N173" s="11">
        <v>0.2158</v>
      </c>
      <c r="O173" s="8">
        <v>30</v>
      </c>
      <c r="P173" s="8">
        <v>3540</v>
      </c>
      <c r="Q173" s="11">
        <v>0.0992</v>
      </c>
      <c r="R173" s="11">
        <v>0.2251</v>
      </c>
      <c r="S173" s="8">
        <v>81</v>
      </c>
      <c r="T173" s="11">
        <v>0.2006</v>
      </c>
      <c r="U173" s="11">
        <v>0.3557</v>
      </c>
      <c r="V173" s="11">
        <v>0.2236</v>
      </c>
      <c r="W173" s="11">
        <v>0.3129</v>
      </c>
      <c r="X173" s="8">
        <v>68</v>
      </c>
      <c r="Y173" s="8">
        <v>67</v>
      </c>
      <c r="Z173" s="8">
        <v>1.01</v>
      </c>
      <c r="AA173" s="8">
        <v>68</v>
      </c>
      <c r="AB173" s="8">
        <v>7.1</v>
      </c>
      <c r="AC173" s="8">
        <v>1.36</v>
      </c>
      <c r="AD173" s="8">
        <v>0</v>
      </c>
      <c r="AE173" s="8">
        <v>0</v>
      </c>
      <c r="AF173" s="11">
        <v>0</v>
      </c>
      <c r="AG173" s="8">
        <v>0</v>
      </c>
      <c r="AH173" s="8">
        <v>0</v>
      </c>
      <c r="AI173" s="11">
        <v>0</v>
      </c>
      <c r="AJ173" s="8" t="s">
        <v>374</v>
      </c>
    </row>
    <row r="174" customFormat="1" ht="22" customHeight="1" spans="1:36">
      <c r="A174" s="8" t="s">
        <v>37</v>
      </c>
      <c r="B174" s="8" t="str">
        <f>VLOOKUP(F174,[1]Sheet1!$B:$E,3,FALSE)</f>
        <v>王森</v>
      </c>
      <c r="C174" s="8">
        <f>VLOOKUP(F174,[1]Sheet1!$B:$E,4,FALSE)</f>
        <v>0</v>
      </c>
      <c r="D174" s="12" t="s">
        <v>375</v>
      </c>
      <c r="E174" s="12">
        <v>4.3</v>
      </c>
      <c r="F174" s="13">
        <v>20547861</v>
      </c>
      <c r="G174" s="8">
        <v>653</v>
      </c>
      <c r="H174" s="8">
        <v>958.39</v>
      </c>
      <c r="I174" s="8">
        <v>42.85</v>
      </c>
      <c r="J174" s="8">
        <v>34.23</v>
      </c>
      <c r="K174" s="8">
        <v>5907.93</v>
      </c>
      <c r="L174" s="8">
        <v>1085</v>
      </c>
      <c r="M174" s="11">
        <v>0.1355</v>
      </c>
      <c r="N174" s="11">
        <v>0.1769</v>
      </c>
      <c r="O174" s="8">
        <v>28</v>
      </c>
      <c r="P174" s="8">
        <v>4321</v>
      </c>
      <c r="Q174" s="11">
        <v>0.1032</v>
      </c>
      <c r="R174" s="11">
        <v>0.213</v>
      </c>
      <c r="S174" s="8">
        <v>97</v>
      </c>
      <c r="T174" s="11">
        <v>0.1179</v>
      </c>
      <c r="U174" s="11">
        <v>0.2746</v>
      </c>
      <c r="V174" s="11">
        <v>0.1849</v>
      </c>
      <c r="W174" s="11">
        <v>0.2652</v>
      </c>
      <c r="X174" s="8">
        <v>0</v>
      </c>
      <c r="Y174" s="8">
        <v>0</v>
      </c>
      <c r="Z174" s="8">
        <v>-0.01</v>
      </c>
      <c r="AA174" s="8">
        <v>0</v>
      </c>
      <c r="AB174" s="8">
        <v>0</v>
      </c>
      <c r="AC174" s="8">
        <v>1.66</v>
      </c>
      <c r="AD174" s="8">
        <v>0</v>
      </c>
      <c r="AE174" s="8">
        <v>0</v>
      </c>
      <c r="AF174" s="11">
        <v>0</v>
      </c>
      <c r="AG174" s="8">
        <v>0</v>
      </c>
      <c r="AH174" s="8">
        <v>0</v>
      </c>
      <c r="AI174" s="11">
        <v>0</v>
      </c>
      <c r="AJ174" s="8" t="s">
        <v>376</v>
      </c>
    </row>
    <row r="175" customFormat="1" ht="22" customHeight="1" spans="1:36">
      <c r="A175" s="8" t="s">
        <v>37</v>
      </c>
      <c r="B175" s="8" t="str">
        <f>VLOOKUP(F175,[1]Sheet1!$B:$E,3,FALSE)</f>
        <v>岳贝贝</v>
      </c>
      <c r="C175" s="9" t="str">
        <f>VLOOKUP(F175,[1]Sheet1!$B:$E,4,FALSE)</f>
        <v>S</v>
      </c>
      <c r="D175" s="12" t="s">
        <v>377</v>
      </c>
      <c r="E175" s="12">
        <v>4.2</v>
      </c>
      <c r="F175" s="13">
        <v>33759199</v>
      </c>
      <c r="G175" s="8">
        <v>1787</v>
      </c>
      <c r="H175" s="8">
        <v>951.42</v>
      </c>
      <c r="I175" s="8">
        <v>28.56</v>
      </c>
      <c r="J175" s="8">
        <v>22.13</v>
      </c>
      <c r="K175" s="8">
        <v>4483.05</v>
      </c>
      <c r="L175" s="8">
        <v>2889</v>
      </c>
      <c r="M175" s="11">
        <v>0.0869</v>
      </c>
      <c r="N175" s="11">
        <v>0.1713</v>
      </c>
      <c r="O175" s="8">
        <v>43</v>
      </c>
      <c r="P175" s="8">
        <v>4505</v>
      </c>
      <c r="Q175" s="11">
        <v>0.0923</v>
      </c>
      <c r="R175" s="11">
        <v>0.387</v>
      </c>
      <c r="S175" s="8">
        <v>164</v>
      </c>
      <c r="T175" s="11">
        <v>0.097</v>
      </c>
      <c r="U175" s="11">
        <v>0.45</v>
      </c>
      <c r="V175" s="11">
        <v>0.2421</v>
      </c>
      <c r="W175" s="11">
        <v>0.3299</v>
      </c>
      <c r="X175" s="8">
        <v>94.11</v>
      </c>
      <c r="Y175" s="8">
        <v>85</v>
      </c>
      <c r="Z175" s="8">
        <v>1.11</v>
      </c>
      <c r="AA175" s="8">
        <v>94.11</v>
      </c>
      <c r="AB175" s="8">
        <v>9.89</v>
      </c>
      <c r="AC175" s="8">
        <v>1.62</v>
      </c>
      <c r="AD175" s="8">
        <v>6</v>
      </c>
      <c r="AE175" s="8">
        <v>6</v>
      </c>
      <c r="AF175" s="11">
        <v>1</v>
      </c>
      <c r="AG175" s="8">
        <v>0</v>
      </c>
      <c r="AH175" s="8">
        <v>0</v>
      </c>
      <c r="AI175" s="11">
        <v>0</v>
      </c>
      <c r="AJ175" s="8" t="s">
        <v>378</v>
      </c>
    </row>
    <row r="176" customFormat="1" ht="22" customHeight="1" spans="1:36">
      <c r="A176" s="8" t="s">
        <v>37</v>
      </c>
      <c r="B176" s="8" t="str">
        <f>VLOOKUP(F176,[1]Sheet1!$B:$E,3,FALSE)</f>
        <v>徐从众</v>
      </c>
      <c r="C176" s="9" t="str">
        <f>VLOOKUP(F176,[1]Sheet1!$B:$E,4,FALSE)</f>
        <v>A</v>
      </c>
      <c r="D176" s="8" t="s">
        <v>379</v>
      </c>
      <c r="E176" s="8">
        <v>4.8</v>
      </c>
      <c r="F176" s="10">
        <v>12924120</v>
      </c>
      <c r="G176" s="8">
        <v>482</v>
      </c>
      <c r="H176" s="8">
        <v>949.56</v>
      </c>
      <c r="I176" s="8">
        <v>67.17</v>
      </c>
      <c r="J176" s="8">
        <v>49.98</v>
      </c>
      <c r="K176" s="8">
        <v>3227.49</v>
      </c>
      <c r="L176" s="8">
        <v>580</v>
      </c>
      <c r="M176" s="11">
        <v>0.0931</v>
      </c>
      <c r="N176" s="11">
        <v>0.3519</v>
      </c>
      <c r="O176" s="8">
        <v>19</v>
      </c>
      <c r="P176" s="8">
        <v>7363</v>
      </c>
      <c r="Q176" s="11">
        <v>0.08</v>
      </c>
      <c r="R176" s="11">
        <v>0.2326</v>
      </c>
      <c r="S176" s="8">
        <v>139</v>
      </c>
      <c r="T176" s="11">
        <v>0.1173</v>
      </c>
      <c r="U176" s="11">
        <v>0.2316</v>
      </c>
      <c r="V176" s="11">
        <v>0.1765</v>
      </c>
      <c r="W176" s="11">
        <v>0.3286</v>
      </c>
      <c r="X176" s="8">
        <v>0</v>
      </c>
      <c r="Y176" s="8">
        <v>0</v>
      </c>
      <c r="Z176" s="8">
        <v>-0.01</v>
      </c>
      <c r="AA176" s="8">
        <v>0</v>
      </c>
      <c r="AB176" s="8">
        <v>0</v>
      </c>
      <c r="AC176" s="8">
        <v>1.2</v>
      </c>
      <c r="AD176" s="8">
        <v>0</v>
      </c>
      <c r="AE176" s="8">
        <v>0</v>
      </c>
      <c r="AF176" s="11">
        <v>0</v>
      </c>
      <c r="AG176" s="8">
        <v>0</v>
      </c>
      <c r="AH176" s="8">
        <v>0</v>
      </c>
      <c r="AI176" s="11">
        <v>0</v>
      </c>
      <c r="AJ176" s="8" t="s">
        <v>380</v>
      </c>
    </row>
    <row r="177" customFormat="1" ht="22" customHeight="1" spans="1:36">
      <c r="A177" s="8" t="s">
        <v>37</v>
      </c>
      <c r="B177" s="8" t="str">
        <f>VLOOKUP(F177,[1]Sheet1!$B:$E,3,FALSE)</f>
        <v>徐从众</v>
      </c>
      <c r="C177" s="9" t="str">
        <f>VLOOKUP(F177,[1]Sheet1!$B:$E,4,FALSE)</f>
        <v>A</v>
      </c>
      <c r="D177" s="8" t="s">
        <v>381</v>
      </c>
      <c r="E177" s="8">
        <v>4.7</v>
      </c>
      <c r="F177" s="10">
        <v>20356473</v>
      </c>
      <c r="G177" s="8">
        <v>460</v>
      </c>
      <c r="H177" s="8">
        <v>941.35</v>
      </c>
      <c r="I177" s="8">
        <v>80.64</v>
      </c>
      <c r="J177" s="8">
        <v>62.76</v>
      </c>
      <c r="K177" s="8">
        <v>3574.99</v>
      </c>
      <c r="L177" s="8">
        <v>2563</v>
      </c>
      <c r="M177" s="11">
        <v>0.0679</v>
      </c>
      <c r="N177" s="11">
        <v>0.0747</v>
      </c>
      <c r="O177" s="8">
        <v>15</v>
      </c>
      <c r="P177" s="8">
        <v>4763</v>
      </c>
      <c r="Q177" s="11">
        <v>0.0787</v>
      </c>
      <c r="R177" s="11">
        <v>0.2107</v>
      </c>
      <c r="S177" s="8">
        <v>81</v>
      </c>
      <c r="T177" s="11">
        <v>0.1561</v>
      </c>
      <c r="U177" s="11">
        <v>0.2657</v>
      </c>
      <c r="V177" s="11">
        <v>0.1838</v>
      </c>
      <c r="W177" s="11">
        <v>0.2824</v>
      </c>
      <c r="X177" s="8">
        <v>155</v>
      </c>
      <c r="Y177" s="8">
        <v>171</v>
      </c>
      <c r="Z177" s="8">
        <v>0.91</v>
      </c>
      <c r="AA177" s="8">
        <v>155</v>
      </c>
      <c r="AB177" s="8">
        <v>16.47</v>
      </c>
      <c r="AC177" s="8">
        <v>5.57</v>
      </c>
      <c r="AD177" s="8">
        <v>1</v>
      </c>
      <c r="AE177" s="8">
        <v>1</v>
      </c>
      <c r="AF177" s="11">
        <v>1</v>
      </c>
      <c r="AG177" s="8">
        <v>0</v>
      </c>
      <c r="AH177" s="8">
        <v>0</v>
      </c>
      <c r="AI177" s="11">
        <v>0</v>
      </c>
      <c r="AJ177" s="8" t="s">
        <v>382</v>
      </c>
    </row>
    <row r="178" customFormat="1" ht="22" customHeight="1" spans="1:36">
      <c r="A178" s="8" t="s">
        <v>37</v>
      </c>
      <c r="B178" s="8" t="str">
        <f>VLOOKUP(F178,[1]Sheet1!$B:$E,3,FALSE)</f>
        <v>徐从众</v>
      </c>
      <c r="C178" s="9" t="str">
        <f>VLOOKUP(F178,[1]Sheet1!$B:$E,4,FALSE)</f>
        <v>S</v>
      </c>
      <c r="D178" s="8" t="s">
        <v>383</v>
      </c>
      <c r="E178" s="8">
        <v>4.8</v>
      </c>
      <c r="F178" s="10">
        <v>27690340</v>
      </c>
      <c r="G178" s="8">
        <v>1534</v>
      </c>
      <c r="H178" s="8">
        <v>934.74</v>
      </c>
      <c r="I178" s="8">
        <v>35</v>
      </c>
      <c r="J178" s="8">
        <v>24.6</v>
      </c>
      <c r="K178" s="8">
        <v>1495.97</v>
      </c>
      <c r="L178" s="8">
        <v>2064</v>
      </c>
      <c r="M178" s="11">
        <v>0.0954</v>
      </c>
      <c r="N178" s="11">
        <v>0.1878</v>
      </c>
      <c r="O178" s="8">
        <v>38</v>
      </c>
      <c r="P178" s="8">
        <v>2529</v>
      </c>
      <c r="Q178" s="11">
        <v>0.0838</v>
      </c>
      <c r="R178" s="11">
        <v>0.2689</v>
      </c>
      <c r="S178" s="8">
        <v>58</v>
      </c>
      <c r="T178" s="11">
        <v>0.1659</v>
      </c>
      <c r="U178" s="11">
        <v>0.38</v>
      </c>
      <c r="V178" s="11">
        <v>0.2442</v>
      </c>
      <c r="W178" s="11">
        <v>0.3485</v>
      </c>
      <c r="X178" s="8">
        <v>100</v>
      </c>
      <c r="Y178" s="8">
        <v>89</v>
      </c>
      <c r="Z178" s="8">
        <v>1.12</v>
      </c>
      <c r="AA178" s="8">
        <v>100</v>
      </c>
      <c r="AB178" s="8">
        <v>10.7</v>
      </c>
      <c r="AC178" s="8">
        <v>1.35</v>
      </c>
      <c r="AD178" s="8">
        <v>0</v>
      </c>
      <c r="AE178" s="8">
        <v>0</v>
      </c>
      <c r="AF178" s="11">
        <v>0</v>
      </c>
      <c r="AG178" s="8">
        <v>0</v>
      </c>
      <c r="AH178" s="8">
        <v>0</v>
      </c>
      <c r="AI178" s="11">
        <v>0</v>
      </c>
      <c r="AJ178" s="8" t="s">
        <v>384</v>
      </c>
    </row>
    <row r="179" customFormat="1" ht="22" customHeight="1" spans="1:36">
      <c r="A179" s="8" t="s">
        <v>37</v>
      </c>
      <c r="B179" s="8" t="str">
        <f>VLOOKUP(F179,[1]Sheet1!$B:$E,3,FALSE)</f>
        <v>徐从众</v>
      </c>
      <c r="C179" s="9" t="str">
        <f>VLOOKUP(F179,[1]Sheet1!$B:$E,4,FALSE)</f>
        <v>A</v>
      </c>
      <c r="D179" s="8" t="s">
        <v>385</v>
      </c>
      <c r="E179" s="8">
        <v>4.7</v>
      </c>
      <c r="F179" s="10">
        <v>19520185</v>
      </c>
      <c r="G179" s="8">
        <v>785</v>
      </c>
      <c r="H179" s="8">
        <v>927.44</v>
      </c>
      <c r="I179" s="8">
        <v>73.76</v>
      </c>
      <c r="J179" s="8">
        <v>57.96</v>
      </c>
      <c r="K179" s="8">
        <v>4362.73</v>
      </c>
      <c r="L179" s="8">
        <v>995</v>
      </c>
      <c r="M179" s="11">
        <v>0.1085</v>
      </c>
      <c r="N179" s="11">
        <v>0.1481</v>
      </c>
      <c r="O179" s="8">
        <v>16</v>
      </c>
      <c r="P179" s="8">
        <v>5281</v>
      </c>
      <c r="Q179" s="11">
        <v>0.0752</v>
      </c>
      <c r="R179" s="11">
        <v>0.2443</v>
      </c>
      <c r="S179" s="8">
        <v>99</v>
      </c>
      <c r="T179" s="11">
        <v>0.1062</v>
      </c>
      <c r="U179" s="11">
        <v>0.3089</v>
      </c>
      <c r="V179" s="11">
        <v>0.2051</v>
      </c>
      <c r="W179" s="11">
        <v>0.2789</v>
      </c>
      <c r="X179" s="8">
        <v>0</v>
      </c>
      <c r="Y179" s="8">
        <v>0</v>
      </c>
      <c r="Z179" s="8">
        <v>-0.01</v>
      </c>
      <c r="AA179" s="8">
        <v>0</v>
      </c>
      <c r="AB179" s="8">
        <v>0</v>
      </c>
      <c r="AC179" s="8">
        <v>1.27</v>
      </c>
      <c r="AD179" s="8">
        <v>1</v>
      </c>
      <c r="AE179" s="8">
        <v>1</v>
      </c>
      <c r="AF179" s="11">
        <v>1</v>
      </c>
      <c r="AG179" s="8">
        <v>0</v>
      </c>
      <c r="AH179" s="8">
        <v>0</v>
      </c>
      <c r="AI179" s="11">
        <v>0</v>
      </c>
      <c r="AJ179" s="8" t="s">
        <v>386</v>
      </c>
    </row>
    <row r="180" customFormat="1" ht="22" customHeight="1" spans="1:36">
      <c r="A180" s="8" t="s">
        <v>37</v>
      </c>
      <c r="B180" s="8" t="str">
        <f>VLOOKUP(F180,[1]Sheet1!$B:$E,3,FALSE)</f>
        <v>岳贝贝</v>
      </c>
      <c r="C180" s="9" t="str">
        <f>VLOOKUP(F180,[1]Sheet1!$B:$E,4,FALSE)</f>
        <v>A</v>
      </c>
      <c r="D180" s="8" t="s">
        <v>387</v>
      </c>
      <c r="E180" s="8">
        <v>4.9</v>
      </c>
      <c r="F180" s="10">
        <v>29531365</v>
      </c>
      <c r="G180" s="8">
        <v>1485</v>
      </c>
      <c r="H180" s="8">
        <v>925.15</v>
      </c>
      <c r="I180" s="8">
        <v>24.64</v>
      </c>
      <c r="J180" s="8">
        <v>16.23</v>
      </c>
      <c r="K180" s="8">
        <v>4453.76</v>
      </c>
      <c r="L180" s="8">
        <v>1499</v>
      </c>
      <c r="M180" s="11">
        <v>0.0894</v>
      </c>
      <c r="N180" s="11">
        <v>0.4179</v>
      </c>
      <c r="O180" s="8">
        <v>57</v>
      </c>
      <c r="P180" s="8">
        <v>5659</v>
      </c>
      <c r="Q180" s="11">
        <v>0.0739</v>
      </c>
      <c r="R180" s="11">
        <v>0.3469</v>
      </c>
      <c r="S180" s="8">
        <v>149</v>
      </c>
      <c r="T180" s="11">
        <v>0.2131</v>
      </c>
      <c r="U180" s="11">
        <v>0.4889</v>
      </c>
      <c r="V180" s="11">
        <v>0.2012</v>
      </c>
      <c r="W180" s="11">
        <v>0.3036</v>
      </c>
      <c r="X180" s="8">
        <v>43.59</v>
      </c>
      <c r="Y180" s="8">
        <v>43</v>
      </c>
      <c r="Z180" s="8">
        <v>1.01</v>
      </c>
      <c r="AA180" s="8">
        <v>43.59</v>
      </c>
      <c r="AB180" s="8">
        <v>4.71</v>
      </c>
      <c r="AC180" s="8">
        <v>1.01</v>
      </c>
      <c r="AD180" s="8">
        <v>1</v>
      </c>
      <c r="AE180" s="8">
        <v>0</v>
      </c>
      <c r="AF180" s="11">
        <v>0</v>
      </c>
      <c r="AG180" s="8">
        <v>0</v>
      </c>
      <c r="AH180" s="8">
        <v>1</v>
      </c>
      <c r="AI180" s="11">
        <v>1</v>
      </c>
      <c r="AJ180" s="8" t="s">
        <v>388</v>
      </c>
    </row>
    <row r="181" customFormat="1" ht="22" customHeight="1" spans="1:36">
      <c r="A181" s="8" t="s">
        <v>37</v>
      </c>
      <c r="B181" s="8" t="str">
        <f>VLOOKUP(F181,[1]Sheet1!$B:$E,3,FALSE)</f>
        <v>刘欢</v>
      </c>
      <c r="C181" s="8" t="str">
        <f>VLOOKUP(F181,[1]Sheet1!$B:$E,4,FALSE)</f>
        <v>C</v>
      </c>
      <c r="D181" s="8" t="s">
        <v>389</v>
      </c>
      <c r="E181" s="8">
        <v>4.7</v>
      </c>
      <c r="F181" s="10">
        <v>30877462</v>
      </c>
      <c r="G181" s="8">
        <v>2646</v>
      </c>
      <c r="H181" s="8">
        <v>920.4</v>
      </c>
      <c r="I181" s="8">
        <v>16.82</v>
      </c>
      <c r="J181" s="8">
        <v>10</v>
      </c>
      <c r="K181" s="8">
        <v>3077.29</v>
      </c>
      <c r="L181" s="8">
        <v>4133</v>
      </c>
      <c r="M181" s="11">
        <v>0.0702</v>
      </c>
      <c r="N181" s="11">
        <v>0.2931</v>
      </c>
      <c r="O181" s="8">
        <v>92</v>
      </c>
      <c r="P181" s="8">
        <v>4399</v>
      </c>
      <c r="Q181" s="11">
        <v>0.0839</v>
      </c>
      <c r="R181" s="11">
        <v>0.3415</v>
      </c>
      <c r="S181" s="8">
        <v>132</v>
      </c>
      <c r="T181" s="11">
        <v>0.1998</v>
      </c>
      <c r="U181" s="11">
        <v>0.3504</v>
      </c>
      <c r="V181" s="11">
        <v>0.2599</v>
      </c>
      <c r="W181" s="11">
        <v>0.3381</v>
      </c>
      <c r="X181" s="8">
        <v>0</v>
      </c>
      <c r="Y181" s="8">
        <v>0</v>
      </c>
      <c r="Z181" s="8">
        <v>-0.01</v>
      </c>
      <c r="AA181" s="8">
        <v>0</v>
      </c>
      <c r="AB181" s="8">
        <v>0</v>
      </c>
      <c r="AC181" s="8">
        <v>1.56</v>
      </c>
      <c r="AD181" s="8">
        <v>0</v>
      </c>
      <c r="AE181" s="8">
        <v>0</v>
      </c>
      <c r="AF181" s="11">
        <v>0</v>
      </c>
      <c r="AG181" s="8">
        <v>0</v>
      </c>
      <c r="AH181" s="8">
        <v>0</v>
      </c>
      <c r="AI181" s="11">
        <v>0</v>
      </c>
      <c r="AJ181" s="8" t="s">
        <v>390</v>
      </c>
    </row>
    <row r="182" customFormat="1" ht="22" customHeight="1" spans="1:36">
      <c r="A182" s="8" t="s">
        <v>37</v>
      </c>
      <c r="B182" s="8" t="str">
        <f>VLOOKUP(F182,[1]Sheet1!$B:$E,3,FALSE)</f>
        <v>徐从众</v>
      </c>
      <c r="C182" s="9" t="str">
        <f>VLOOKUP(F182,[1]Sheet1!$B:$E,4,FALSE)</f>
        <v>S</v>
      </c>
      <c r="D182" s="8" t="s">
        <v>391</v>
      </c>
      <c r="E182" s="8">
        <v>4.7</v>
      </c>
      <c r="F182" s="10">
        <v>1093331</v>
      </c>
      <c r="G182" s="8">
        <v>668</v>
      </c>
      <c r="H182" s="8">
        <v>919.23</v>
      </c>
      <c r="I182" s="8">
        <v>71.43</v>
      </c>
      <c r="J182" s="8">
        <v>54.07</v>
      </c>
      <c r="K182" s="8">
        <v>3933.37</v>
      </c>
      <c r="L182" s="8">
        <v>823</v>
      </c>
      <c r="M182" s="11">
        <v>0.1057</v>
      </c>
      <c r="N182" s="11">
        <v>0.1954</v>
      </c>
      <c r="O182" s="8">
        <v>17</v>
      </c>
      <c r="P182" s="8">
        <v>3430</v>
      </c>
      <c r="Q182" s="11">
        <v>0.0875</v>
      </c>
      <c r="R182" s="11">
        <v>0.2633</v>
      </c>
      <c r="S182" s="8">
        <v>81</v>
      </c>
      <c r="T182" s="11">
        <v>0.1296</v>
      </c>
      <c r="U182" s="11">
        <v>0.3291</v>
      </c>
      <c r="V182" s="11">
        <v>0.2068</v>
      </c>
      <c r="W182" s="11">
        <v>0.2554</v>
      </c>
      <c r="X182" s="8">
        <v>0</v>
      </c>
      <c r="Y182" s="8">
        <v>0</v>
      </c>
      <c r="Z182" s="8">
        <v>-0.01</v>
      </c>
      <c r="AA182" s="8">
        <v>0</v>
      </c>
      <c r="AB182" s="8">
        <v>0</v>
      </c>
      <c r="AC182" s="8">
        <v>1.23</v>
      </c>
      <c r="AD182" s="8">
        <v>0</v>
      </c>
      <c r="AE182" s="8">
        <v>0</v>
      </c>
      <c r="AF182" s="11">
        <v>0</v>
      </c>
      <c r="AG182" s="8">
        <v>0</v>
      </c>
      <c r="AH182" s="8">
        <v>0</v>
      </c>
      <c r="AI182" s="11">
        <v>0</v>
      </c>
      <c r="AJ182" s="8" t="s">
        <v>392</v>
      </c>
    </row>
    <row r="183" customFormat="1" ht="22" customHeight="1" spans="1:36">
      <c r="A183" s="8" t="s">
        <v>37</v>
      </c>
      <c r="B183" s="8" t="str">
        <f>VLOOKUP(F183,[1]Sheet1!$B:$E,3,FALSE)</f>
        <v>刘欢</v>
      </c>
      <c r="C183" s="9" t="str">
        <f>VLOOKUP(F183,[1]Sheet1!$B:$E,4,FALSE)</f>
        <v>S</v>
      </c>
      <c r="D183" s="8" t="s">
        <v>393</v>
      </c>
      <c r="E183" s="8">
        <v>4.7</v>
      </c>
      <c r="F183" s="10">
        <v>33716762</v>
      </c>
      <c r="G183" s="8">
        <v>1057</v>
      </c>
      <c r="H183" s="8">
        <v>909.75</v>
      </c>
      <c r="I183" s="8">
        <v>49.19</v>
      </c>
      <c r="J183" s="8">
        <v>36.39</v>
      </c>
      <c r="K183" s="8">
        <v>3703.13</v>
      </c>
      <c r="L183" s="8">
        <v>2370</v>
      </c>
      <c r="M183" s="11">
        <v>0.062</v>
      </c>
      <c r="N183" s="11">
        <v>0.1633</v>
      </c>
      <c r="O183" s="8">
        <v>25</v>
      </c>
      <c r="P183" s="8">
        <v>6070</v>
      </c>
      <c r="Q183" s="11">
        <v>0.07</v>
      </c>
      <c r="R183" s="11">
        <v>0.2118</v>
      </c>
      <c r="S183" s="8">
        <v>93</v>
      </c>
      <c r="T183" s="11">
        <v>0.1626</v>
      </c>
      <c r="U183" s="11">
        <v>0.3571</v>
      </c>
      <c r="V183" s="11">
        <v>0.2431</v>
      </c>
      <c r="W183" s="11">
        <v>0.3493</v>
      </c>
      <c r="X183" s="8">
        <v>80.51</v>
      </c>
      <c r="Y183" s="8">
        <v>66</v>
      </c>
      <c r="Z183" s="8">
        <v>1.22</v>
      </c>
      <c r="AA183" s="8">
        <v>80.51</v>
      </c>
      <c r="AB183" s="8">
        <v>8.85</v>
      </c>
      <c r="AC183" s="8">
        <v>2.24</v>
      </c>
      <c r="AD183" s="8">
        <v>6</v>
      </c>
      <c r="AE183" s="8">
        <v>6</v>
      </c>
      <c r="AF183" s="11">
        <v>1</v>
      </c>
      <c r="AG183" s="8">
        <v>0</v>
      </c>
      <c r="AH183" s="8">
        <v>0</v>
      </c>
      <c r="AI183" s="11">
        <v>0</v>
      </c>
      <c r="AJ183" s="8" t="s">
        <v>394</v>
      </c>
    </row>
    <row r="184" customFormat="1" ht="22" customHeight="1" spans="1:36">
      <c r="A184" s="8" t="s">
        <v>37</v>
      </c>
      <c r="B184" s="8" t="str">
        <f>VLOOKUP(F184,[1]Sheet1!$B:$E,3,FALSE)</f>
        <v>徐从众</v>
      </c>
      <c r="C184" s="9" t="str">
        <f>VLOOKUP(F184,[1]Sheet1!$B:$E,4,FALSE)</f>
        <v>S</v>
      </c>
      <c r="D184" s="8" t="s">
        <v>395</v>
      </c>
      <c r="E184" s="8">
        <v>4.7</v>
      </c>
      <c r="F184" s="10">
        <v>32183156</v>
      </c>
      <c r="G184" s="8">
        <v>1558</v>
      </c>
      <c r="H184" s="8">
        <v>899.34</v>
      </c>
      <c r="I184" s="8">
        <v>24.74</v>
      </c>
      <c r="J184" s="8">
        <v>15.51</v>
      </c>
      <c r="K184" s="8">
        <v>3397.05</v>
      </c>
      <c r="L184" s="8">
        <v>1808</v>
      </c>
      <c r="M184" s="11">
        <v>0.0763</v>
      </c>
      <c r="N184" s="11">
        <v>0.4203</v>
      </c>
      <c r="O184" s="8">
        <v>58</v>
      </c>
      <c r="P184" s="8">
        <v>2583</v>
      </c>
      <c r="Q184" s="11">
        <v>0.1061</v>
      </c>
      <c r="R184" s="11">
        <v>0.354</v>
      </c>
      <c r="S184" s="8">
        <v>99</v>
      </c>
      <c r="T184" s="11">
        <v>0.2323</v>
      </c>
      <c r="U184" s="11">
        <v>0.4198</v>
      </c>
      <c r="V184" s="11">
        <v>0.2335</v>
      </c>
      <c r="W184" s="11">
        <v>0.3335</v>
      </c>
      <c r="X184" s="8">
        <v>71.25</v>
      </c>
      <c r="Y184" s="8">
        <v>56</v>
      </c>
      <c r="Z184" s="8">
        <v>1.27</v>
      </c>
      <c r="AA184" s="8">
        <v>71.25</v>
      </c>
      <c r="AB184" s="8">
        <v>7.92</v>
      </c>
      <c r="AC184" s="8">
        <v>1.16</v>
      </c>
      <c r="AD184" s="8">
        <v>1</v>
      </c>
      <c r="AE184" s="8">
        <v>0</v>
      </c>
      <c r="AF184" s="11">
        <v>0</v>
      </c>
      <c r="AG184" s="8">
        <v>0</v>
      </c>
      <c r="AH184" s="8">
        <v>1</v>
      </c>
      <c r="AI184" s="11">
        <v>1</v>
      </c>
      <c r="AJ184" s="8" t="s">
        <v>396</v>
      </c>
    </row>
    <row r="185" customFormat="1" ht="22" customHeight="1" spans="1:36">
      <c r="A185" s="8" t="s">
        <v>37</v>
      </c>
      <c r="B185" s="8" t="str">
        <f>VLOOKUP(F185,[1]Sheet1!$B:$E,3,FALSE)</f>
        <v>王森</v>
      </c>
      <c r="C185" s="9" t="str">
        <f>VLOOKUP(F185,[1]Sheet1!$B:$E,4,FALSE)</f>
        <v>A</v>
      </c>
      <c r="D185" s="8" t="s">
        <v>397</v>
      </c>
      <c r="E185" s="8">
        <v>4.6</v>
      </c>
      <c r="F185" s="10">
        <v>27831115</v>
      </c>
      <c r="G185" s="8">
        <v>835</v>
      </c>
      <c r="H185" s="8">
        <v>896.87</v>
      </c>
      <c r="I185" s="8">
        <v>55.51</v>
      </c>
      <c r="J185" s="8">
        <v>34.49</v>
      </c>
      <c r="K185" s="8">
        <v>4616.1</v>
      </c>
      <c r="L185" s="8">
        <v>2234</v>
      </c>
      <c r="M185" s="11">
        <v>0.0855</v>
      </c>
      <c r="N185" s="11">
        <v>0.1309</v>
      </c>
      <c r="O185" s="8">
        <v>26</v>
      </c>
      <c r="P185" s="8">
        <v>4914</v>
      </c>
      <c r="Q185" s="11">
        <v>0.0869</v>
      </c>
      <c r="R185" s="11">
        <v>0.2412</v>
      </c>
      <c r="S185" s="8">
        <v>105</v>
      </c>
      <c r="T185" s="11">
        <v>0.1264</v>
      </c>
      <c r="U185" s="11">
        <v>0.3092</v>
      </c>
      <c r="V185" s="11">
        <v>0.1756</v>
      </c>
      <c r="W185" s="11">
        <v>0.2453</v>
      </c>
      <c r="X185" s="8">
        <v>155.99</v>
      </c>
      <c r="Y185" s="8">
        <v>138</v>
      </c>
      <c r="Z185" s="8">
        <v>1.13</v>
      </c>
      <c r="AA185" s="8">
        <v>155.99</v>
      </c>
      <c r="AB185" s="8">
        <v>17.39</v>
      </c>
      <c r="AC185" s="8">
        <v>2.68</v>
      </c>
      <c r="AD185" s="8">
        <v>0</v>
      </c>
      <c r="AE185" s="8">
        <v>0</v>
      </c>
      <c r="AF185" s="11">
        <v>0</v>
      </c>
      <c r="AG185" s="8">
        <v>0</v>
      </c>
      <c r="AH185" s="8">
        <v>0</v>
      </c>
      <c r="AI185" s="11">
        <v>0</v>
      </c>
      <c r="AJ185" s="8" t="s">
        <v>398</v>
      </c>
    </row>
    <row r="186" customFormat="1" ht="22" customHeight="1" spans="1:36">
      <c r="A186" s="8" t="s">
        <v>37</v>
      </c>
      <c r="B186" s="8" t="e">
        <f>VLOOKUP(F186,[1]Sheet1!$B:$E,3,FALSE)</f>
        <v>#N/A</v>
      </c>
      <c r="C186" s="8" t="e">
        <f>VLOOKUP(F186,[1]Sheet1!$B:$E,4,FALSE)</f>
        <v>#N/A</v>
      </c>
      <c r="D186" s="8" t="s">
        <v>399</v>
      </c>
      <c r="E186" s="8">
        <v>4.8</v>
      </c>
      <c r="F186" s="10">
        <v>34132411</v>
      </c>
      <c r="G186" s="8">
        <v>239</v>
      </c>
      <c r="H186" s="8">
        <v>878.17</v>
      </c>
      <c r="I186" s="8">
        <v>64.78</v>
      </c>
      <c r="J186" s="8">
        <v>46.22</v>
      </c>
      <c r="K186" s="8">
        <v>2698.26</v>
      </c>
      <c r="L186" s="8">
        <v>936</v>
      </c>
      <c r="M186" s="11">
        <v>0.0897</v>
      </c>
      <c r="N186" s="11">
        <v>0.2143</v>
      </c>
      <c r="O186" s="8">
        <v>19</v>
      </c>
      <c r="P186" s="8">
        <v>3354</v>
      </c>
      <c r="Q186" s="11">
        <v>0.0829</v>
      </c>
      <c r="R186" s="11">
        <v>0.2842</v>
      </c>
      <c r="S186" s="8">
        <v>88</v>
      </c>
      <c r="T186" s="11">
        <v>0.2105</v>
      </c>
      <c r="U186" s="11">
        <v>0</v>
      </c>
      <c r="V186" s="11">
        <v>0.2199</v>
      </c>
      <c r="W186" s="11">
        <v>0.2967</v>
      </c>
      <c r="X186" s="8">
        <v>0</v>
      </c>
      <c r="Y186" s="8">
        <v>0</v>
      </c>
      <c r="Z186" s="8">
        <v>-0.01</v>
      </c>
      <c r="AA186" s="8">
        <v>0</v>
      </c>
      <c r="AB186" s="8">
        <v>0</v>
      </c>
      <c r="AC186" s="8">
        <v>3.92</v>
      </c>
      <c r="AD186" s="8">
        <v>0</v>
      </c>
      <c r="AE186" s="8">
        <v>0</v>
      </c>
      <c r="AF186" s="11">
        <v>0</v>
      </c>
      <c r="AG186" s="8">
        <v>0</v>
      </c>
      <c r="AH186" s="8">
        <v>0</v>
      </c>
      <c r="AI186" s="11">
        <v>0</v>
      </c>
      <c r="AJ186" s="8" t="s">
        <v>400</v>
      </c>
    </row>
    <row r="187" customFormat="1" ht="22" customHeight="1" spans="1:36">
      <c r="A187" s="8" t="s">
        <v>37</v>
      </c>
      <c r="B187" s="8" t="e">
        <f>VLOOKUP(F187,[1]Sheet1!$B:$E,3,FALSE)</f>
        <v>#N/A</v>
      </c>
      <c r="C187" s="8" t="e">
        <f>VLOOKUP(F187,[1]Sheet1!$B:$E,4,FALSE)</f>
        <v>#N/A</v>
      </c>
      <c r="D187" s="8" t="s">
        <v>401</v>
      </c>
      <c r="E187" s="8">
        <v>4.8</v>
      </c>
      <c r="F187" s="10">
        <v>34181245</v>
      </c>
      <c r="G187" s="8">
        <v>429</v>
      </c>
      <c r="H187" s="8">
        <v>872.44</v>
      </c>
      <c r="I187" s="8">
        <v>26.32</v>
      </c>
      <c r="J187" s="8">
        <v>18.18</v>
      </c>
      <c r="K187" s="8">
        <v>2989.08</v>
      </c>
      <c r="L187" s="8">
        <v>3001</v>
      </c>
      <c r="M187" s="11">
        <v>0.09</v>
      </c>
      <c r="N187" s="11">
        <v>0.1667</v>
      </c>
      <c r="O187" s="8">
        <v>48</v>
      </c>
      <c r="P187" s="8">
        <v>2891</v>
      </c>
      <c r="Q187" s="11">
        <v>0.0955</v>
      </c>
      <c r="R187" s="11">
        <v>0.3406</v>
      </c>
      <c r="S187" s="8">
        <v>96</v>
      </c>
      <c r="T187" s="11">
        <v>0.2198</v>
      </c>
      <c r="U187" s="11">
        <v>0</v>
      </c>
      <c r="V187" s="11">
        <v>0.2358</v>
      </c>
      <c r="W187" s="11">
        <v>0.3046</v>
      </c>
      <c r="X187" s="8">
        <v>33.85</v>
      </c>
      <c r="Y187" s="8">
        <v>42</v>
      </c>
      <c r="Z187" s="8">
        <v>0.81</v>
      </c>
      <c r="AA187" s="8">
        <v>33.85</v>
      </c>
      <c r="AB187" s="8">
        <v>3.88</v>
      </c>
      <c r="AC187" s="8">
        <v>7</v>
      </c>
      <c r="AD187" s="8">
        <v>0</v>
      </c>
      <c r="AE187" s="8">
        <v>0</v>
      </c>
      <c r="AF187" s="11">
        <v>0</v>
      </c>
      <c r="AG187" s="8">
        <v>0</v>
      </c>
      <c r="AH187" s="8">
        <v>0</v>
      </c>
      <c r="AI187" s="11">
        <v>0</v>
      </c>
      <c r="AJ187" s="8" t="s">
        <v>402</v>
      </c>
    </row>
    <row r="188" customFormat="1" ht="22" customHeight="1" spans="1:36">
      <c r="A188" s="8" t="s">
        <v>37</v>
      </c>
      <c r="B188" s="8" t="str">
        <f>VLOOKUP(F188,[1]Sheet1!$B:$E,3,FALSE)</f>
        <v>岳贝贝</v>
      </c>
      <c r="C188" s="8" t="str">
        <f>VLOOKUP(F188,[1]Sheet1!$B:$E,4,FALSE)</f>
        <v>B</v>
      </c>
      <c r="D188" s="12" t="s">
        <v>403</v>
      </c>
      <c r="E188" s="12">
        <v>4.3</v>
      </c>
      <c r="F188" s="13">
        <v>33482411</v>
      </c>
      <c r="G188" s="8">
        <v>798</v>
      </c>
      <c r="H188" s="8">
        <v>868.85</v>
      </c>
      <c r="I188" s="8">
        <v>31.71</v>
      </c>
      <c r="J188" s="8">
        <v>24.13</v>
      </c>
      <c r="K188" s="8">
        <v>4715.57</v>
      </c>
      <c r="L188" s="8">
        <v>2256</v>
      </c>
      <c r="M188" s="11">
        <v>0.082</v>
      </c>
      <c r="N188" s="11">
        <v>0.1892</v>
      </c>
      <c r="O188" s="8">
        <v>36</v>
      </c>
      <c r="P188" s="8">
        <v>5251</v>
      </c>
      <c r="Q188" s="11">
        <v>0.0825</v>
      </c>
      <c r="R188" s="11">
        <v>0.3048</v>
      </c>
      <c r="S188" s="8">
        <v>136</v>
      </c>
      <c r="T188" s="11">
        <v>0.1486</v>
      </c>
      <c r="U188" s="11">
        <v>0.3214</v>
      </c>
      <c r="V188" s="11">
        <v>0.2447</v>
      </c>
      <c r="W188" s="11">
        <v>0.3208</v>
      </c>
      <c r="X188" s="8">
        <v>43.76</v>
      </c>
      <c r="Y188" s="8">
        <v>47</v>
      </c>
      <c r="Z188" s="8">
        <v>0.93</v>
      </c>
      <c r="AA188" s="8">
        <v>43.76</v>
      </c>
      <c r="AB188" s="8">
        <v>5.04</v>
      </c>
      <c r="AC188" s="8">
        <v>2.83</v>
      </c>
      <c r="AD188" s="8">
        <v>0</v>
      </c>
      <c r="AE188" s="8">
        <v>0</v>
      </c>
      <c r="AF188" s="11">
        <v>0</v>
      </c>
      <c r="AG188" s="8">
        <v>0</v>
      </c>
      <c r="AH188" s="8">
        <v>0</v>
      </c>
      <c r="AI188" s="11">
        <v>0</v>
      </c>
      <c r="AJ188" s="8" t="s">
        <v>404</v>
      </c>
    </row>
    <row r="189" customFormat="1" ht="22" customHeight="1" spans="1:36">
      <c r="A189" s="8" t="s">
        <v>37</v>
      </c>
      <c r="B189" s="8" t="str">
        <f>VLOOKUP(F189,[1]Sheet1!$B:$E,3,FALSE)</f>
        <v>徐从众</v>
      </c>
      <c r="C189" s="9" t="str">
        <f>VLOOKUP(F189,[1]Sheet1!$B:$E,4,FALSE)</f>
        <v>A</v>
      </c>
      <c r="D189" s="8" t="s">
        <v>405</v>
      </c>
      <c r="E189" s="8">
        <v>4.7</v>
      </c>
      <c r="F189" s="10">
        <v>18721113</v>
      </c>
      <c r="G189" s="8">
        <v>595</v>
      </c>
      <c r="H189" s="8">
        <v>867.2</v>
      </c>
      <c r="I189" s="8">
        <v>88.05</v>
      </c>
      <c r="J189" s="8">
        <v>72.27</v>
      </c>
      <c r="K189" s="8">
        <v>3030.74</v>
      </c>
      <c r="L189" s="8">
        <v>1516</v>
      </c>
      <c r="M189" s="11">
        <v>0.0844</v>
      </c>
      <c r="N189" s="11">
        <v>0.0859</v>
      </c>
      <c r="O189" s="8">
        <v>12</v>
      </c>
      <c r="P189" s="8">
        <v>3581</v>
      </c>
      <c r="Q189" s="11">
        <v>0.0796</v>
      </c>
      <c r="R189" s="11">
        <v>0.2947</v>
      </c>
      <c r="S189" s="8">
        <v>87</v>
      </c>
      <c r="T189" s="11">
        <v>0.1461</v>
      </c>
      <c r="U189" s="11">
        <v>0.2477</v>
      </c>
      <c r="V189" s="11">
        <v>0.2269</v>
      </c>
      <c r="W189" s="11">
        <v>0.3026</v>
      </c>
      <c r="X189" s="8">
        <v>91.41</v>
      </c>
      <c r="Y189" s="8">
        <v>128</v>
      </c>
      <c r="Z189" s="8">
        <v>0.71</v>
      </c>
      <c r="AA189" s="8">
        <v>91.41</v>
      </c>
      <c r="AB189" s="8">
        <v>10.54</v>
      </c>
      <c r="AC189" s="8">
        <v>2.55</v>
      </c>
      <c r="AD189" s="8">
        <v>0</v>
      </c>
      <c r="AE189" s="8">
        <v>0</v>
      </c>
      <c r="AF189" s="11">
        <v>0</v>
      </c>
      <c r="AG189" s="8">
        <v>0</v>
      </c>
      <c r="AH189" s="8">
        <v>0</v>
      </c>
      <c r="AI189" s="11">
        <v>0</v>
      </c>
      <c r="AJ189" s="8" t="s">
        <v>406</v>
      </c>
    </row>
    <row r="190" customFormat="1" ht="22" customHeight="1" spans="1:36">
      <c r="A190" s="8" t="s">
        <v>37</v>
      </c>
      <c r="B190" s="8" t="str">
        <f>VLOOKUP(F190,[1]Sheet1!$B:$E,3,FALSE)</f>
        <v>岳贝贝</v>
      </c>
      <c r="C190" s="9" t="str">
        <f>VLOOKUP(F190,[1]Sheet1!$B:$E,4,FALSE)</f>
        <v>A</v>
      </c>
      <c r="D190" s="12" t="s">
        <v>407</v>
      </c>
      <c r="E190" s="12">
        <v>4.2</v>
      </c>
      <c r="F190" s="13">
        <v>30711930</v>
      </c>
      <c r="G190" s="8">
        <v>1011</v>
      </c>
      <c r="H190" s="8">
        <v>864.76</v>
      </c>
      <c r="I190" s="8">
        <v>29.64</v>
      </c>
      <c r="J190" s="8">
        <v>24.02</v>
      </c>
      <c r="K190" s="8">
        <v>4094.01</v>
      </c>
      <c r="L190" s="8">
        <v>2319</v>
      </c>
      <c r="M190" s="11">
        <v>0.0845</v>
      </c>
      <c r="N190" s="11">
        <v>0.1786</v>
      </c>
      <c r="O190" s="8">
        <v>36</v>
      </c>
      <c r="P190" s="8">
        <v>8053</v>
      </c>
      <c r="Q190" s="11">
        <v>0.0762</v>
      </c>
      <c r="R190" s="11">
        <v>0.316</v>
      </c>
      <c r="S190" s="8">
        <v>199</v>
      </c>
      <c r="T190" s="11">
        <v>0.1257</v>
      </c>
      <c r="U190" s="11">
        <v>0.1945</v>
      </c>
      <c r="V190" s="11">
        <v>0.2422</v>
      </c>
      <c r="W190" s="11">
        <v>0.3483</v>
      </c>
      <c r="X190" s="8">
        <v>46.51</v>
      </c>
      <c r="Y190" s="8">
        <v>55</v>
      </c>
      <c r="Z190" s="8">
        <v>0.85</v>
      </c>
      <c r="AA190" s="8">
        <v>46.51</v>
      </c>
      <c r="AB190" s="8">
        <v>5.38</v>
      </c>
      <c r="AC190" s="8">
        <v>2.29</v>
      </c>
      <c r="AD190" s="8">
        <v>1</v>
      </c>
      <c r="AE190" s="8">
        <v>1</v>
      </c>
      <c r="AF190" s="11">
        <v>1</v>
      </c>
      <c r="AG190" s="8">
        <v>0</v>
      </c>
      <c r="AH190" s="8">
        <v>0</v>
      </c>
      <c r="AI190" s="11">
        <v>0</v>
      </c>
      <c r="AJ190" s="8" t="s">
        <v>408</v>
      </c>
    </row>
    <row r="191" customFormat="1" ht="22" customHeight="1" spans="1:36">
      <c r="A191" s="8" t="s">
        <v>37</v>
      </c>
      <c r="B191" s="8" t="str">
        <f>VLOOKUP(F191,[1]Sheet1!$B:$E,3,FALSE)</f>
        <v>岳贝贝</v>
      </c>
      <c r="C191" s="8">
        <f>VLOOKUP(F191,[1]Sheet1!$B:$E,4,FALSE)</f>
        <v>0</v>
      </c>
      <c r="D191" s="12" t="s">
        <v>409</v>
      </c>
      <c r="E191" s="12">
        <v>3.9</v>
      </c>
      <c r="F191" s="13">
        <v>31235941</v>
      </c>
      <c r="G191" s="8">
        <v>1517</v>
      </c>
      <c r="H191" s="8">
        <v>864.03</v>
      </c>
      <c r="I191" s="8">
        <v>26.68</v>
      </c>
      <c r="J191" s="8">
        <v>16.94</v>
      </c>
      <c r="K191" s="8">
        <v>2663.93</v>
      </c>
      <c r="L191" s="8">
        <v>1593</v>
      </c>
      <c r="M191" s="11">
        <v>0.0866</v>
      </c>
      <c r="N191" s="11">
        <v>0.3623</v>
      </c>
      <c r="O191" s="8">
        <v>51</v>
      </c>
      <c r="P191" s="8">
        <v>3510</v>
      </c>
      <c r="Q191" s="11">
        <v>0.0846</v>
      </c>
      <c r="R191" s="11">
        <v>0.3401</v>
      </c>
      <c r="S191" s="8">
        <v>104</v>
      </c>
      <c r="T191" s="11">
        <v>0.2135</v>
      </c>
      <c r="U191" s="11">
        <v>0.4305</v>
      </c>
      <c r="V191" s="11">
        <v>0.2267</v>
      </c>
      <c r="W191" s="11">
        <v>0.3027</v>
      </c>
      <c r="X191" s="8">
        <v>53.3</v>
      </c>
      <c r="Y191" s="8">
        <v>61</v>
      </c>
      <c r="Z191" s="8">
        <v>0.87</v>
      </c>
      <c r="AA191" s="8">
        <v>53.3</v>
      </c>
      <c r="AB191" s="8">
        <v>6.17</v>
      </c>
      <c r="AC191" s="8">
        <v>1.05</v>
      </c>
      <c r="AD191" s="8">
        <v>2</v>
      </c>
      <c r="AE191" s="8">
        <v>1</v>
      </c>
      <c r="AF191" s="11">
        <v>0.5</v>
      </c>
      <c r="AG191" s="8">
        <v>0</v>
      </c>
      <c r="AH191" s="8">
        <v>1</v>
      </c>
      <c r="AI191" s="11">
        <v>0.5</v>
      </c>
      <c r="AJ191" s="8" t="s">
        <v>410</v>
      </c>
    </row>
    <row r="192" customFormat="1" ht="22" customHeight="1" spans="1:36">
      <c r="A192" s="8" t="s">
        <v>37</v>
      </c>
      <c r="B192" s="8" t="str">
        <f>VLOOKUP(F192,[1]Sheet1!$B:$E,3,FALSE)</f>
        <v>徐从众</v>
      </c>
      <c r="C192" s="9" t="str">
        <f>VLOOKUP(F192,[1]Sheet1!$B:$E,4,FALSE)</f>
        <v>S</v>
      </c>
      <c r="D192" s="8" t="s">
        <v>411</v>
      </c>
      <c r="E192" s="8">
        <v>4.9</v>
      </c>
      <c r="F192" s="10">
        <v>29303227</v>
      </c>
      <c r="G192" s="8">
        <v>1688</v>
      </c>
      <c r="H192" s="8">
        <v>855.24</v>
      </c>
      <c r="I192" s="8">
        <v>24.92</v>
      </c>
      <c r="J192" s="8">
        <v>15.27</v>
      </c>
      <c r="K192" s="8">
        <v>3152</v>
      </c>
      <c r="L192" s="8">
        <v>1697</v>
      </c>
      <c r="M192" s="11">
        <v>0.0949</v>
      </c>
      <c r="N192" s="11">
        <v>0.3478</v>
      </c>
      <c r="O192" s="8">
        <v>56</v>
      </c>
      <c r="P192" s="8">
        <v>3187</v>
      </c>
      <c r="Q192" s="11">
        <v>0.091</v>
      </c>
      <c r="R192" s="11">
        <v>0.3724</v>
      </c>
      <c r="S192" s="8">
        <v>110</v>
      </c>
      <c r="T192" s="11">
        <v>0.2651</v>
      </c>
      <c r="U192" s="11">
        <v>0.4333</v>
      </c>
      <c r="V192" s="11">
        <v>0.2268</v>
      </c>
      <c r="W192" s="11">
        <v>0.3001</v>
      </c>
      <c r="X192" s="8">
        <v>66.85</v>
      </c>
      <c r="Y192" s="8">
        <v>48</v>
      </c>
      <c r="Z192" s="8">
        <v>1.39</v>
      </c>
      <c r="AA192" s="8">
        <v>66.85</v>
      </c>
      <c r="AB192" s="8">
        <v>7.82</v>
      </c>
      <c r="AC192" s="8">
        <v>1.01</v>
      </c>
      <c r="AD192" s="8">
        <v>1</v>
      </c>
      <c r="AE192" s="8">
        <v>1</v>
      </c>
      <c r="AF192" s="11">
        <v>1</v>
      </c>
      <c r="AG192" s="8">
        <v>0</v>
      </c>
      <c r="AH192" s="8">
        <v>0</v>
      </c>
      <c r="AI192" s="11">
        <v>0</v>
      </c>
      <c r="AJ192" s="8" t="s">
        <v>412</v>
      </c>
    </row>
    <row r="193" customFormat="1" ht="22" customHeight="1" spans="1:36">
      <c r="A193" s="8" t="s">
        <v>37</v>
      </c>
      <c r="B193" s="8" t="str">
        <f>VLOOKUP(F193,[1]Sheet1!$B:$E,3,FALSE)</f>
        <v>王森</v>
      </c>
      <c r="C193" s="9" t="str">
        <f>VLOOKUP(F193,[1]Sheet1!$B:$E,4,FALSE)</f>
        <v>S</v>
      </c>
      <c r="D193" s="8" t="s">
        <v>413</v>
      </c>
      <c r="E193" s="8">
        <v>4.6</v>
      </c>
      <c r="F193" s="10">
        <v>16489061</v>
      </c>
      <c r="G193" s="8">
        <v>570</v>
      </c>
      <c r="H193" s="8">
        <v>852.48</v>
      </c>
      <c r="I193" s="8">
        <v>64.94</v>
      </c>
      <c r="J193" s="8">
        <v>53.28</v>
      </c>
      <c r="K193" s="8">
        <v>4486.36</v>
      </c>
      <c r="L193" s="8">
        <v>927</v>
      </c>
      <c r="M193" s="11">
        <v>0.109</v>
      </c>
      <c r="N193" s="11">
        <v>0.1584</v>
      </c>
      <c r="O193" s="8">
        <v>16</v>
      </c>
      <c r="P193" s="8">
        <v>5180</v>
      </c>
      <c r="Q193" s="11">
        <v>0.0869</v>
      </c>
      <c r="R193" s="11">
        <v>0.2244</v>
      </c>
      <c r="S193" s="8">
        <v>105</v>
      </c>
      <c r="T193" s="11">
        <v>0.1173</v>
      </c>
      <c r="U193" s="11">
        <v>0.33</v>
      </c>
      <c r="V193" s="11">
        <v>0.2502</v>
      </c>
      <c r="W193" s="11">
        <v>0.3429</v>
      </c>
      <c r="X193" s="8">
        <v>34.75</v>
      </c>
      <c r="Y193" s="8">
        <v>50</v>
      </c>
      <c r="Z193" s="8">
        <v>0.7</v>
      </c>
      <c r="AA193" s="8">
        <v>34.75</v>
      </c>
      <c r="AB193" s="8">
        <v>4.08</v>
      </c>
      <c r="AC193" s="8">
        <v>1.63</v>
      </c>
      <c r="AD193" s="8">
        <v>1</v>
      </c>
      <c r="AE193" s="8">
        <v>1</v>
      </c>
      <c r="AF193" s="11">
        <v>1</v>
      </c>
      <c r="AG193" s="8">
        <v>0</v>
      </c>
      <c r="AH193" s="8">
        <v>0</v>
      </c>
      <c r="AI193" s="11">
        <v>0</v>
      </c>
      <c r="AJ193" s="8" t="s">
        <v>414</v>
      </c>
    </row>
    <row r="194" customFormat="1" ht="22" customHeight="1" spans="1:36">
      <c r="A194" s="8" t="s">
        <v>37</v>
      </c>
      <c r="B194" s="8" t="str">
        <f>VLOOKUP(F194,[1]Sheet1!$B:$E,3,FALSE)</f>
        <v>徐从众</v>
      </c>
      <c r="C194" s="9" t="str">
        <f>VLOOKUP(F194,[1]Sheet1!$B:$E,4,FALSE)</f>
        <v>S</v>
      </c>
      <c r="D194" s="8" t="s">
        <v>415</v>
      </c>
      <c r="E194" s="8">
        <v>4.8</v>
      </c>
      <c r="F194" s="10">
        <v>30285835</v>
      </c>
      <c r="G194" s="8">
        <v>1394</v>
      </c>
      <c r="H194" s="8">
        <v>852.22</v>
      </c>
      <c r="I194" s="8">
        <v>27.62</v>
      </c>
      <c r="J194" s="8">
        <v>19.37</v>
      </c>
      <c r="K194" s="8">
        <v>2465.05</v>
      </c>
      <c r="L194" s="8">
        <v>1776</v>
      </c>
      <c r="M194" s="11">
        <v>0.0771</v>
      </c>
      <c r="N194" s="11">
        <v>0.2993</v>
      </c>
      <c r="O194" s="8">
        <v>44</v>
      </c>
      <c r="P194" s="8">
        <v>2764</v>
      </c>
      <c r="Q194" s="11">
        <v>0.0839</v>
      </c>
      <c r="R194" s="11">
        <v>0.3362</v>
      </c>
      <c r="S194" s="8">
        <v>80</v>
      </c>
      <c r="T194" s="11">
        <v>0.2385</v>
      </c>
      <c r="U194" s="11">
        <v>0.4643</v>
      </c>
      <c r="V194" s="11">
        <v>0.2196</v>
      </c>
      <c r="W194" s="11">
        <v>0.2894</v>
      </c>
      <c r="X194" s="8">
        <v>75.22</v>
      </c>
      <c r="Y194" s="8">
        <v>76</v>
      </c>
      <c r="Z194" s="8">
        <v>0.99</v>
      </c>
      <c r="AA194" s="8">
        <v>75.22</v>
      </c>
      <c r="AB194" s="8">
        <v>8.83</v>
      </c>
      <c r="AC194" s="8">
        <v>1.27</v>
      </c>
      <c r="AD194" s="8">
        <v>0</v>
      </c>
      <c r="AE194" s="8">
        <v>0</v>
      </c>
      <c r="AF194" s="11">
        <v>0</v>
      </c>
      <c r="AG194" s="8">
        <v>0</v>
      </c>
      <c r="AH194" s="8">
        <v>0</v>
      </c>
      <c r="AI194" s="11">
        <v>0</v>
      </c>
      <c r="AJ194" s="8" t="s">
        <v>416</v>
      </c>
    </row>
    <row r="195" customFormat="1" ht="22" customHeight="1" spans="1:36">
      <c r="A195" s="8" t="s">
        <v>37</v>
      </c>
      <c r="B195" s="8" t="str">
        <f>VLOOKUP(F195,[1]Sheet1!$B:$E,3,FALSE)</f>
        <v>王森</v>
      </c>
      <c r="C195" s="8">
        <f>VLOOKUP(F195,[1]Sheet1!$B:$E,4,FALSE)</f>
        <v>0</v>
      </c>
      <c r="D195" s="8" t="s">
        <v>417</v>
      </c>
      <c r="E195" s="8">
        <v>4.4</v>
      </c>
      <c r="F195" s="10">
        <v>10335981</v>
      </c>
      <c r="G195" s="8">
        <v>835</v>
      </c>
      <c r="H195" s="8">
        <v>847.77</v>
      </c>
      <c r="I195" s="8">
        <v>39.98</v>
      </c>
      <c r="J195" s="8">
        <v>27.35</v>
      </c>
      <c r="K195" s="8">
        <v>8290.67</v>
      </c>
      <c r="L195" s="8">
        <v>1970</v>
      </c>
      <c r="M195" s="11">
        <v>0.0822</v>
      </c>
      <c r="N195" s="11">
        <v>0.1852</v>
      </c>
      <c r="O195" s="8">
        <v>31</v>
      </c>
      <c r="P195" s="8">
        <v>10417</v>
      </c>
      <c r="Q195" s="11">
        <v>0.0839</v>
      </c>
      <c r="R195" s="11">
        <v>0.2735</v>
      </c>
      <c r="S195" s="8">
        <v>245</v>
      </c>
      <c r="T195" s="11">
        <v>0.1098</v>
      </c>
      <c r="U195" s="11">
        <v>0.1894</v>
      </c>
      <c r="V195" s="11">
        <v>0.1072</v>
      </c>
      <c r="W195" s="11">
        <v>0.2063</v>
      </c>
      <c r="X195" s="8">
        <v>21.75</v>
      </c>
      <c r="Y195" s="8">
        <v>22</v>
      </c>
      <c r="Z195" s="8">
        <v>0.99</v>
      </c>
      <c r="AA195" s="8">
        <v>21.75</v>
      </c>
      <c r="AB195" s="8">
        <v>2.57</v>
      </c>
      <c r="AC195" s="8">
        <v>2.36</v>
      </c>
      <c r="AD195" s="8">
        <v>1</v>
      </c>
      <c r="AE195" s="8">
        <v>1</v>
      </c>
      <c r="AF195" s="11">
        <v>1</v>
      </c>
      <c r="AG195" s="8">
        <v>0</v>
      </c>
      <c r="AH195" s="8">
        <v>0</v>
      </c>
      <c r="AI195" s="11">
        <v>0</v>
      </c>
      <c r="AJ195" s="8" t="s">
        <v>418</v>
      </c>
    </row>
    <row r="196" customFormat="1" ht="22" customHeight="1" spans="1:36">
      <c r="A196" s="8" t="s">
        <v>37</v>
      </c>
      <c r="B196" s="8" t="str">
        <f>VLOOKUP(F196,[1]Sheet1!$B:$E,3,FALSE)</f>
        <v>徐从众</v>
      </c>
      <c r="C196" s="9" t="str">
        <f>VLOOKUP(F196,[1]Sheet1!$B:$E,4,FALSE)</f>
        <v>S</v>
      </c>
      <c r="D196" s="8" t="s">
        <v>419</v>
      </c>
      <c r="E196" s="8">
        <v>4.8</v>
      </c>
      <c r="F196" s="10">
        <v>30544036</v>
      </c>
      <c r="G196" s="8">
        <v>1415</v>
      </c>
      <c r="H196" s="8">
        <v>836.79</v>
      </c>
      <c r="I196" s="8">
        <v>26.74</v>
      </c>
      <c r="J196" s="8">
        <v>17.8</v>
      </c>
      <c r="K196" s="8">
        <v>3160.86</v>
      </c>
      <c r="L196" s="8">
        <v>1332</v>
      </c>
      <c r="M196" s="11">
        <v>0.0781</v>
      </c>
      <c r="N196" s="11">
        <v>0.4423</v>
      </c>
      <c r="O196" s="8">
        <v>47</v>
      </c>
      <c r="P196" s="8">
        <v>3087</v>
      </c>
      <c r="Q196" s="11">
        <v>0.0923</v>
      </c>
      <c r="R196" s="11">
        <v>0.3789</v>
      </c>
      <c r="S196" s="8">
        <v>109</v>
      </c>
      <c r="T196" s="11">
        <v>0.251</v>
      </c>
      <c r="U196" s="11">
        <v>0.3969</v>
      </c>
      <c r="V196" s="11">
        <v>0.2402</v>
      </c>
      <c r="W196" s="11">
        <v>0.3378</v>
      </c>
      <c r="X196" s="8">
        <v>47.51</v>
      </c>
      <c r="Y196" s="8">
        <v>39</v>
      </c>
      <c r="Z196" s="8">
        <v>1.22</v>
      </c>
      <c r="AA196" s="8">
        <v>47.51</v>
      </c>
      <c r="AB196" s="8">
        <v>5.68</v>
      </c>
      <c r="AC196" s="8">
        <v>0.94</v>
      </c>
      <c r="AD196" s="8">
        <v>1</v>
      </c>
      <c r="AE196" s="8">
        <v>1</v>
      </c>
      <c r="AF196" s="11">
        <v>1</v>
      </c>
      <c r="AG196" s="8">
        <v>0</v>
      </c>
      <c r="AH196" s="8">
        <v>0</v>
      </c>
      <c r="AI196" s="11">
        <v>0</v>
      </c>
      <c r="AJ196" s="8" t="s">
        <v>420</v>
      </c>
    </row>
    <row r="197" customFormat="1" ht="22" customHeight="1" spans="1:36">
      <c r="A197" s="8" t="s">
        <v>37</v>
      </c>
      <c r="B197" s="8" t="e">
        <f>VLOOKUP(F197,[1]Sheet1!$B:$E,3,FALSE)</f>
        <v>#N/A</v>
      </c>
      <c r="C197" s="8" t="e">
        <f>VLOOKUP(F197,[1]Sheet1!$B:$E,4,FALSE)</f>
        <v>#N/A</v>
      </c>
      <c r="D197" s="8" t="s">
        <v>421</v>
      </c>
      <c r="E197" s="8">
        <v>4.6</v>
      </c>
      <c r="F197" s="10">
        <v>21208855</v>
      </c>
      <c r="G197" s="8">
        <v>400</v>
      </c>
      <c r="H197" s="8">
        <v>821.66</v>
      </c>
      <c r="I197" s="8">
        <v>52.94</v>
      </c>
      <c r="J197" s="8">
        <v>41.08</v>
      </c>
      <c r="K197" s="8">
        <v>2736.34</v>
      </c>
      <c r="L197" s="8">
        <v>699</v>
      </c>
      <c r="M197" s="11">
        <v>0.1259</v>
      </c>
      <c r="N197" s="11">
        <v>0.2045</v>
      </c>
      <c r="O197" s="8">
        <v>20</v>
      </c>
      <c r="P197" s="8">
        <v>3068</v>
      </c>
      <c r="Q197" s="11">
        <v>0.0828</v>
      </c>
      <c r="R197" s="11">
        <v>0.1732</v>
      </c>
      <c r="S197" s="8">
        <v>45</v>
      </c>
      <c r="T197" s="11">
        <v>0.073</v>
      </c>
      <c r="U197" s="11">
        <v>0.2679</v>
      </c>
      <c r="V197" s="11">
        <v>0.1639</v>
      </c>
      <c r="W197" s="11">
        <v>0.2299</v>
      </c>
      <c r="X197" s="8">
        <v>35.38</v>
      </c>
      <c r="Y197" s="8">
        <v>45</v>
      </c>
      <c r="Z197" s="8">
        <v>0.79</v>
      </c>
      <c r="AA197" s="8">
        <v>35.38</v>
      </c>
      <c r="AB197" s="8">
        <v>4.31</v>
      </c>
      <c r="AC197" s="8">
        <v>1.75</v>
      </c>
      <c r="AD197" s="8">
        <v>0</v>
      </c>
      <c r="AE197" s="8">
        <v>0</v>
      </c>
      <c r="AF197" s="11">
        <v>0</v>
      </c>
      <c r="AG197" s="8">
        <v>0</v>
      </c>
      <c r="AH197" s="8">
        <v>0</v>
      </c>
      <c r="AI197" s="11">
        <v>0</v>
      </c>
      <c r="AJ197" s="8" t="s">
        <v>422</v>
      </c>
    </row>
    <row r="198" customFormat="1" ht="22" customHeight="1" spans="1:36">
      <c r="A198" s="8" t="s">
        <v>37</v>
      </c>
      <c r="B198" s="8" t="str">
        <f>VLOOKUP(F198,[1]Sheet1!$B:$E,3,FALSE)</f>
        <v>王森</v>
      </c>
      <c r="C198" s="9" t="str">
        <f>VLOOKUP(F198,[1]Sheet1!$B:$E,4,FALSE)</f>
        <v>A</v>
      </c>
      <c r="D198" s="8" t="s">
        <v>423</v>
      </c>
      <c r="E198" s="8">
        <v>4.5</v>
      </c>
      <c r="F198" s="10">
        <v>13872091</v>
      </c>
      <c r="G198" s="8">
        <v>724</v>
      </c>
      <c r="H198" s="8">
        <v>820.1</v>
      </c>
      <c r="I198" s="8">
        <v>53.26</v>
      </c>
      <c r="J198" s="8">
        <v>43.16</v>
      </c>
      <c r="K198" s="8">
        <v>1852.52</v>
      </c>
      <c r="L198" s="8">
        <v>1267</v>
      </c>
      <c r="M198" s="11">
        <v>0.09</v>
      </c>
      <c r="N198" s="11">
        <v>0.1754</v>
      </c>
      <c r="O198" s="8">
        <v>19</v>
      </c>
      <c r="P198" s="8">
        <v>2437</v>
      </c>
      <c r="Q198" s="11">
        <v>0.0784</v>
      </c>
      <c r="R198" s="11">
        <v>0.2304</v>
      </c>
      <c r="S198" s="8">
        <v>46</v>
      </c>
      <c r="T198" s="11">
        <v>0.0764</v>
      </c>
      <c r="U198" s="11">
        <v>0.2996</v>
      </c>
      <c r="V198" s="11">
        <v>0.2042</v>
      </c>
      <c r="W198" s="11">
        <v>0.3107</v>
      </c>
      <c r="X198" s="8">
        <v>30.47</v>
      </c>
      <c r="Y198" s="8">
        <v>42</v>
      </c>
      <c r="Z198" s="8">
        <v>0.73</v>
      </c>
      <c r="AA198" s="8">
        <v>30.47</v>
      </c>
      <c r="AB198" s="8">
        <v>3.72</v>
      </c>
      <c r="AC198" s="8">
        <v>1.75</v>
      </c>
      <c r="AD198" s="8">
        <v>0</v>
      </c>
      <c r="AE198" s="8">
        <v>0</v>
      </c>
      <c r="AF198" s="11">
        <v>0</v>
      </c>
      <c r="AG198" s="8">
        <v>0</v>
      </c>
      <c r="AH198" s="8">
        <v>0</v>
      </c>
      <c r="AI198" s="11">
        <v>0</v>
      </c>
      <c r="AJ198" s="8" t="s">
        <v>424</v>
      </c>
    </row>
    <row r="199" customFormat="1" ht="22" customHeight="1" spans="1:36">
      <c r="A199" s="8" t="s">
        <v>37</v>
      </c>
      <c r="B199" s="8" t="str">
        <f>VLOOKUP(F199,[1]Sheet1!$B:$E,3,FALSE)</f>
        <v>王森</v>
      </c>
      <c r="C199" s="9" t="str">
        <f>VLOOKUP(F199,[1]Sheet1!$B:$E,4,FALSE)</f>
        <v>S</v>
      </c>
      <c r="D199" s="12" t="s">
        <v>425</v>
      </c>
      <c r="E199" s="12">
        <v>4.3</v>
      </c>
      <c r="F199" s="13">
        <v>27756842</v>
      </c>
      <c r="G199" s="8">
        <v>657</v>
      </c>
      <c r="H199" s="8">
        <v>816.71</v>
      </c>
      <c r="I199" s="8">
        <v>34.28</v>
      </c>
      <c r="J199" s="8">
        <v>27.22</v>
      </c>
      <c r="K199" s="8">
        <v>5843.77</v>
      </c>
      <c r="L199" s="8">
        <v>1445</v>
      </c>
      <c r="M199" s="11">
        <v>0.1218</v>
      </c>
      <c r="N199" s="11">
        <v>0.1648</v>
      </c>
      <c r="O199" s="8">
        <v>30</v>
      </c>
      <c r="P199" s="8">
        <v>5998</v>
      </c>
      <c r="Q199" s="11">
        <v>0.0879</v>
      </c>
      <c r="R199" s="11">
        <v>0.2638</v>
      </c>
      <c r="S199" s="8">
        <v>144</v>
      </c>
      <c r="T199" s="11">
        <v>0.1414</v>
      </c>
      <c r="U199" s="11">
        <v>0.2081</v>
      </c>
      <c r="V199" s="11">
        <v>0.2085</v>
      </c>
      <c r="W199" s="11">
        <v>0.3078</v>
      </c>
      <c r="X199" s="8">
        <v>50</v>
      </c>
      <c r="Y199" s="8">
        <v>54</v>
      </c>
      <c r="Z199" s="8">
        <v>0.93</v>
      </c>
      <c r="AA199" s="8">
        <v>50</v>
      </c>
      <c r="AB199" s="8">
        <v>6.12</v>
      </c>
      <c r="AC199" s="8">
        <v>2.2</v>
      </c>
      <c r="AD199" s="8">
        <v>0</v>
      </c>
      <c r="AE199" s="8">
        <v>0</v>
      </c>
      <c r="AF199" s="11">
        <v>0</v>
      </c>
      <c r="AG199" s="8">
        <v>0</v>
      </c>
      <c r="AH199" s="8">
        <v>0</v>
      </c>
      <c r="AI199" s="11">
        <v>0</v>
      </c>
      <c r="AJ199" s="8" t="s">
        <v>426</v>
      </c>
    </row>
    <row r="200" customFormat="1" ht="22" customHeight="1" spans="1:36">
      <c r="A200" s="8" t="s">
        <v>37</v>
      </c>
      <c r="B200" s="8" t="str">
        <f>VLOOKUP(F200,[1]Sheet1!$B:$E,3,FALSE)</f>
        <v>刘欢</v>
      </c>
      <c r="C200" s="9" t="str">
        <f>VLOOKUP(F200,[1]Sheet1!$B:$E,4,FALSE)</f>
        <v>S</v>
      </c>
      <c r="D200" s="8" t="s">
        <v>427</v>
      </c>
      <c r="E200" s="8">
        <v>4.5</v>
      </c>
      <c r="F200" s="10">
        <v>24746144</v>
      </c>
      <c r="G200" s="8">
        <v>530</v>
      </c>
      <c r="H200" s="8">
        <v>799.56</v>
      </c>
      <c r="I200" s="8">
        <v>61.35</v>
      </c>
      <c r="J200" s="8">
        <v>49.97</v>
      </c>
      <c r="K200" s="8">
        <v>4693.93</v>
      </c>
      <c r="L200" s="8">
        <v>1000</v>
      </c>
      <c r="M200" s="11">
        <v>0.066</v>
      </c>
      <c r="N200" s="11">
        <v>0.2424</v>
      </c>
      <c r="O200" s="8">
        <v>16</v>
      </c>
      <c r="P200" s="8">
        <v>3780</v>
      </c>
      <c r="Q200" s="11">
        <v>0.0966</v>
      </c>
      <c r="R200" s="11">
        <v>0.2411</v>
      </c>
      <c r="S200" s="8">
        <v>91</v>
      </c>
      <c r="T200" s="11">
        <v>0.1461</v>
      </c>
      <c r="U200" s="11">
        <v>0.1584</v>
      </c>
      <c r="V200" s="11">
        <v>0.2359</v>
      </c>
      <c r="W200" s="11">
        <v>0.3089</v>
      </c>
      <c r="X200" s="8">
        <v>24.95</v>
      </c>
      <c r="Y200" s="8">
        <v>38</v>
      </c>
      <c r="Z200" s="8">
        <v>0.66</v>
      </c>
      <c r="AA200" s="8">
        <v>24.95</v>
      </c>
      <c r="AB200" s="8">
        <v>3.12</v>
      </c>
      <c r="AC200" s="8">
        <v>1.89</v>
      </c>
      <c r="AD200" s="8">
        <v>1</v>
      </c>
      <c r="AE200" s="8">
        <v>1</v>
      </c>
      <c r="AF200" s="11">
        <v>1</v>
      </c>
      <c r="AG200" s="8">
        <v>0</v>
      </c>
      <c r="AH200" s="8">
        <v>0</v>
      </c>
      <c r="AI200" s="11">
        <v>0</v>
      </c>
      <c r="AJ200" s="8" t="s">
        <v>428</v>
      </c>
    </row>
    <row r="201" customFormat="1" ht="22" customHeight="1" spans="1:36">
      <c r="A201" s="8" t="s">
        <v>37</v>
      </c>
      <c r="B201" s="8" t="str">
        <f>VLOOKUP(F201,[1]Sheet1!$B:$E,3,FALSE)</f>
        <v>徐从众</v>
      </c>
      <c r="C201" s="9" t="str">
        <f>VLOOKUP(F201,[1]Sheet1!$B:$E,4,FALSE)</f>
        <v>S</v>
      </c>
      <c r="D201" s="8" t="s">
        <v>429</v>
      </c>
      <c r="E201" s="8">
        <v>4.9</v>
      </c>
      <c r="F201" s="10">
        <v>25599705</v>
      </c>
      <c r="G201" s="8">
        <v>945</v>
      </c>
      <c r="H201" s="8">
        <v>798.97</v>
      </c>
      <c r="I201" s="8">
        <v>27.42</v>
      </c>
      <c r="J201" s="8">
        <v>19.49</v>
      </c>
      <c r="K201" s="8">
        <v>3478.39</v>
      </c>
      <c r="L201" s="8">
        <v>1059</v>
      </c>
      <c r="M201" s="11">
        <v>0.0963</v>
      </c>
      <c r="N201" s="11">
        <v>0.3824</v>
      </c>
      <c r="O201" s="8">
        <v>41</v>
      </c>
      <c r="P201" s="8">
        <v>3816</v>
      </c>
      <c r="Q201" s="11">
        <v>0.0909</v>
      </c>
      <c r="R201" s="11">
        <v>0.3602</v>
      </c>
      <c r="S201" s="8">
        <v>128</v>
      </c>
      <c r="T201" s="11">
        <v>0.2214</v>
      </c>
      <c r="U201" s="11">
        <v>0.4286</v>
      </c>
      <c r="V201" s="11">
        <v>0.2382</v>
      </c>
      <c r="W201" s="11">
        <v>0.3203</v>
      </c>
      <c r="X201" s="8">
        <v>36.1</v>
      </c>
      <c r="Y201" s="8">
        <v>42</v>
      </c>
      <c r="Z201" s="8">
        <v>0.86</v>
      </c>
      <c r="AA201" s="8">
        <v>36.1</v>
      </c>
      <c r="AB201" s="8">
        <v>4.52</v>
      </c>
      <c r="AC201" s="8">
        <v>1.12</v>
      </c>
      <c r="AD201" s="8">
        <v>0</v>
      </c>
      <c r="AE201" s="8">
        <v>0</v>
      </c>
      <c r="AF201" s="11">
        <v>0</v>
      </c>
      <c r="AG201" s="8">
        <v>0</v>
      </c>
      <c r="AH201" s="8">
        <v>0</v>
      </c>
      <c r="AI201" s="11">
        <v>0</v>
      </c>
      <c r="AJ201" s="8" t="s">
        <v>430</v>
      </c>
    </row>
    <row r="202" customFormat="1" ht="22" customHeight="1" spans="1:36">
      <c r="A202" s="8" t="s">
        <v>37</v>
      </c>
      <c r="B202" s="8" t="str">
        <f>VLOOKUP(F202,[1]Sheet1!$B:$E,3,FALSE)</f>
        <v>岳贝贝</v>
      </c>
      <c r="C202" s="9" t="str">
        <f>VLOOKUP(F202,[1]Sheet1!$B:$E,4,FALSE)</f>
        <v>S</v>
      </c>
      <c r="D202" s="8" t="s">
        <v>431</v>
      </c>
      <c r="E202" s="8">
        <v>4.5</v>
      </c>
      <c r="F202" s="10">
        <v>31084482</v>
      </c>
      <c r="G202" s="8">
        <v>668</v>
      </c>
      <c r="H202" s="8">
        <v>798.15</v>
      </c>
      <c r="I202" s="8">
        <v>51.58</v>
      </c>
      <c r="J202" s="8">
        <v>38.01</v>
      </c>
      <c r="K202" s="8">
        <v>5102.3</v>
      </c>
      <c r="L202" s="8">
        <v>2134</v>
      </c>
      <c r="M202" s="11">
        <v>0.0783</v>
      </c>
      <c r="N202" s="11">
        <v>0.1198</v>
      </c>
      <c r="O202" s="8">
        <v>21</v>
      </c>
      <c r="P202" s="8">
        <v>4924</v>
      </c>
      <c r="Q202" s="11">
        <v>0.0892</v>
      </c>
      <c r="R202" s="11">
        <v>0.2597</v>
      </c>
      <c r="S202" s="8">
        <v>119</v>
      </c>
      <c r="T202" s="11">
        <v>0.1308</v>
      </c>
      <c r="U202" s="11">
        <v>0.2827</v>
      </c>
      <c r="V202" s="11">
        <v>0.2098</v>
      </c>
      <c r="W202" s="11">
        <v>0.2671</v>
      </c>
      <c r="X202" s="8">
        <v>148.58</v>
      </c>
      <c r="Y202" s="8">
        <v>132</v>
      </c>
      <c r="Z202" s="8">
        <v>1.13</v>
      </c>
      <c r="AA202" s="8">
        <v>148.58</v>
      </c>
      <c r="AB202" s="8">
        <v>18.62</v>
      </c>
      <c r="AC202" s="8">
        <v>3.19</v>
      </c>
      <c r="AD202" s="8">
        <v>1</v>
      </c>
      <c r="AE202" s="8">
        <v>1</v>
      </c>
      <c r="AF202" s="11">
        <v>1</v>
      </c>
      <c r="AG202" s="8">
        <v>0</v>
      </c>
      <c r="AH202" s="8">
        <v>0</v>
      </c>
      <c r="AI202" s="11">
        <v>0</v>
      </c>
      <c r="AJ202" s="8" t="s">
        <v>432</v>
      </c>
    </row>
    <row r="203" customFormat="1" ht="22" customHeight="1" spans="1:36">
      <c r="A203" s="8" t="s">
        <v>37</v>
      </c>
      <c r="B203" s="8" t="str">
        <f>VLOOKUP(F203,[1]Sheet1!$B:$E,3,FALSE)</f>
        <v>刘欢</v>
      </c>
      <c r="C203" s="9" t="str">
        <f>VLOOKUP(F203,[1]Sheet1!$B:$E,4,FALSE)</f>
        <v>A</v>
      </c>
      <c r="D203" s="12" t="s">
        <v>433</v>
      </c>
      <c r="E203" s="12">
        <v>4.2</v>
      </c>
      <c r="F203" s="13">
        <v>31717747</v>
      </c>
      <c r="G203" s="8">
        <v>450</v>
      </c>
      <c r="H203" s="8">
        <v>795.13</v>
      </c>
      <c r="I203" s="8">
        <v>97.25</v>
      </c>
      <c r="J203" s="8">
        <v>72.28</v>
      </c>
      <c r="K203" s="8">
        <v>3933.37</v>
      </c>
      <c r="L203" s="8">
        <v>743</v>
      </c>
      <c r="M203" s="11">
        <v>0.1144</v>
      </c>
      <c r="N203" s="11">
        <v>0.1176</v>
      </c>
      <c r="O203" s="8">
        <v>11</v>
      </c>
      <c r="P203" s="8">
        <v>3430</v>
      </c>
      <c r="Q203" s="11">
        <v>0.0875</v>
      </c>
      <c r="R203" s="11">
        <v>0.2633</v>
      </c>
      <c r="S203" s="8">
        <v>81</v>
      </c>
      <c r="T203" s="11">
        <v>0.1128</v>
      </c>
      <c r="U203" s="11">
        <v>0.2935</v>
      </c>
      <c r="V203" s="11">
        <v>0.2068</v>
      </c>
      <c r="W203" s="11">
        <v>0.2554</v>
      </c>
      <c r="X203" s="8">
        <v>16.5</v>
      </c>
      <c r="Y203" s="8">
        <v>20</v>
      </c>
      <c r="Z203" s="8">
        <v>0.83</v>
      </c>
      <c r="AA203" s="8">
        <v>16.5</v>
      </c>
      <c r="AB203" s="8">
        <v>2.08</v>
      </c>
      <c r="AC203" s="8">
        <v>1.65</v>
      </c>
      <c r="AD203" s="8">
        <v>0</v>
      </c>
      <c r="AE203" s="8">
        <v>0</v>
      </c>
      <c r="AF203" s="11">
        <v>0</v>
      </c>
      <c r="AG203" s="8">
        <v>0</v>
      </c>
      <c r="AH203" s="8">
        <v>0</v>
      </c>
      <c r="AI203" s="11">
        <v>0</v>
      </c>
      <c r="AJ203" s="8" t="s">
        <v>434</v>
      </c>
    </row>
    <row r="204" customFormat="1" ht="22" customHeight="1" spans="1:36">
      <c r="A204" s="8" t="s">
        <v>37</v>
      </c>
      <c r="B204" s="8" t="str">
        <f>VLOOKUP(F204,[1]Sheet1!$B:$E,3,FALSE)</f>
        <v>徐从众</v>
      </c>
      <c r="C204" s="9" t="str">
        <f>VLOOKUP(F204,[1]Sheet1!$B:$E,4,FALSE)</f>
        <v>A</v>
      </c>
      <c r="D204" s="12" t="s">
        <v>435</v>
      </c>
      <c r="E204" s="12">
        <v>4.2</v>
      </c>
      <c r="F204" s="13">
        <v>14191181</v>
      </c>
      <c r="G204" s="8">
        <v>420</v>
      </c>
      <c r="H204" s="8">
        <v>795.11</v>
      </c>
      <c r="I204" s="8">
        <v>88.09</v>
      </c>
      <c r="J204" s="8">
        <v>61.16</v>
      </c>
      <c r="K204" s="8">
        <v>4033.16</v>
      </c>
      <c r="L204" s="8">
        <v>889</v>
      </c>
      <c r="M204" s="11">
        <v>0.09</v>
      </c>
      <c r="N204" s="11">
        <v>0.15</v>
      </c>
      <c r="O204" s="8">
        <v>13</v>
      </c>
      <c r="P204" s="8">
        <v>5745</v>
      </c>
      <c r="Q204" s="11">
        <v>0.0816</v>
      </c>
      <c r="R204" s="11">
        <v>0.2623</v>
      </c>
      <c r="S204" s="8">
        <v>125</v>
      </c>
      <c r="T204" s="11">
        <v>0.1347</v>
      </c>
      <c r="U204" s="11">
        <v>0.2422</v>
      </c>
      <c r="V204" s="11">
        <v>0.2139</v>
      </c>
      <c r="W204" s="11">
        <v>0.3081</v>
      </c>
      <c r="X204" s="8">
        <v>31.79</v>
      </c>
      <c r="Y204" s="8">
        <v>45</v>
      </c>
      <c r="Z204" s="8">
        <v>0.71</v>
      </c>
      <c r="AA204" s="8">
        <v>31.79</v>
      </c>
      <c r="AB204" s="8">
        <v>4</v>
      </c>
      <c r="AC204" s="8">
        <v>2.12</v>
      </c>
      <c r="AD204" s="8">
        <v>0</v>
      </c>
      <c r="AE204" s="8">
        <v>0</v>
      </c>
      <c r="AF204" s="11">
        <v>0</v>
      </c>
      <c r="AG204" s="8">
        <v>0</v>
      </c>
      <c r="AH204" s="8">
        <v>0</v>
      </c>
      <c r="AI204" s="11">
        <v>0</v>
      </c>
      <c r="AJ204" s="8" t="s">
        <v>436</v>
      </c>
    </row>
    <row r="205" customFormat="1" ht="22" customHeight="1" spans="1:36">
      <c r="A205" s="8" t="s">
        <v>37</v>
      </c>
      <c r="B205" s="8" t="str">
        <f>VLOOKUP(F205,[1]Sheet1!$B:$E,3,FALSE)</f>
        <v>岳贝贝</v>
      </c>
      <c r="C205" s="9" t="str">
        <f>VLOOKUP(F205,[1]Sheet1!$B:$E,4,FALSE)</f>
        <v>A</v>
      </c>
      <c r="D205" s="8" t="s">
        <v>437</v>
      </c>
      <c r="E205" s="8">
        <v>4.6</v>
      </c>
      <c r="F205" s="10">
        <v>33452069</v>
      </c>
      <c r="G205" s="8">
        <v>445</v>
      </c>
      <c r="H205" s="8">
        <v>764.16</v>
      </c>
      <c r="I205" s="8">
        <v>81.27</v>
      </c>
      <c r="J205" s="8">
        <v>50.94</v>
      </c>
      <c r="K205" s="8">
        <v>764.16</v>
      </c>
      <c r="L205" s="8">
        <v>1252</v>
      </c>
      <c r="M205" s="11">
        <v>0.0663</v>
      </c>
      <c r="N205" s="11">
        <v>0.1807</v>
      </c>
      <c r="O205" s="8">
        <v>15</v>
      </c>
      <c r="P205" s="8">
        <v>1252</v>
      </c>
      <c r="Q205" s="11">
        <v>0.0663</v>
      </c>
      <c r="R205" s="11">
        <v>0.1807</v>
      </c>
      <c r="S205" s="8">
        <v>15</v>
      </c>
      <c r="T205" s="11">
        <v>0.0859</v>
      </c>
      <c r="U205" s="11">
        <v>0.2619</v>
      </c>
      <c r="V205" s="11">
        <v>0.106</v>
      </c>
      <c r="W205" s="11">
        <v>0.2619</v>
      </c>
      <c r="X205" s="8">
        <v>46.49</v>
      </c>
      <c r="Y205" s="8">
        <v>31</v>
      </c>
      <c r="Z205" s="8">
        <v>1.5</v>
      </c>
      <c r="AA205" s="8">
        <v>46.49</v>
      </c>
      <c r="AB205" s="8">
        <v>6.08</v>
      </c>
      <c r="AC205" s="8">
        <v>2.81</v>
      </c>
      <c r="AD205" s="8">
        <v>3</v>
      </c>
      <c r="AE205" s="8">
        <v>2</v>
      </c>
      <c r="AF205" s="11">
        <v>0.6667</v>
      </c>
      <c r="AG205" s="8">
        <v>1</v>
      </c>
      <c r="AH205" s="8">
        <v>0</v>
      </c>
      <c r="AI205" s="11">
        <v>0</v>
      </c>
      <c r="AJ205" s="8" t="s">
        <v>233</v>
      </c>
    </row>
    <row r="206" customFormat="1" ht="22" customHeight="1" spans="1:36">
      <c r="A206" s="8" t="s">
        <v>37</v>
      </c>
      <c r="B206" s="8" t="str">
        <f>VLOOKUP(F206,[1]Sheet1!$B:$E,3,FALSE)</f>
        <v>徐从众</v>
      </c>
      <c r="C206" s="9" t="str">
        <f>VLOOKUP(F206,[1]Sheet1!$B:$E,4,FALSE)</f>
        <v>A</v>
      </c>
      <c r="D206" s="8" t="s">
        <v>438</v>
      </c>
      <c r="E206" s="8">
        <v>4.6</v>
      </c>
      <c r="F206" s="10">
        <v>26840212</v>
      </c>
      <c r="G206" s="8">
        <v>356</v>
      </c>
      <c r="H206" s="8">
        <v>762.07</v>
      </c>
      <c r="I206" s="8">
        <v>84.8</v>
      </c>
      <c r="J206" s="8">
        <v>63.51</v>
      </c>
      <c r="K206" s="8">
        <v>6816.67</v>
      </c>
      <c r="L206" s="8">
        <v>1121</v>
      </c>
      <c r="M206" s="11">
        <v>0.0803</v>
      </c>
      <c r="N206" s="11">
        <v>0.1222</v>
      </c>
      <c r="O206" s="8">
        <v>12</v>
      </c>
      <c r="P206" s="8">
        <v>4741</v>
      </c>
      <c r="Q206" s="11">
        <v>0.0797</v>
      </c>
      <c r="R206" s="11">
        <v>0.2725</v>
      </c>
      <c r="S206" s="8">
        <v>107</v>
      </c>
      <c r="T206" s="11">
        <v>0.1233</v>
      </c>
      <c r="U206" s="11">
        <v>0.2409</v>
      </c>
      <c r="V206" s="11">
        <v>0.1915</v>
      </c>
      <c r="W206" s="11">
        <v>0.2775</v>
      </c>
      <c r="X206" s="8">
        <v>83.32</v>
      </c>
      <c r="Y206" s="8">
        <v>80</v>
      </c>
      <c r="Z206" s="8">
        <v>1.04</v>
      </c>
      <c r="AA206" s="8">
        <v>83.32</v>
      </c>
      <c r="AB206" s="8">
        <v>10.93</v>
      </c>
      <c r="AC206" s="8">
        <v>3.15</v>
      </c>
      <c r="AD206" s="8">
        <v>0</v>
      </c>
      <c r="AE206" s="8">
        <v>0</v>
      </c>
      <c r="AF206" s="11">
        <v>0</v>
      </c>
      <c r="AG206" s="8">
        <v>0</v>
      </c>
      <c r="AH206" s="8">
        <v>0</v>
      </c>
      <c r="AI206" s="11">
        <v>0</v>
      </c>
      <c r="AJ206" s="8" t="s">
        <v>439</v>
      </c>
    </row>
    <row r="207" customFormat="1" ht="22" customHeight="1" spans="1:36">
      <c r="A207" s="8" t="s">
        <v>37</v>
      </c>
      <c r="B207" s="8" t="str">
        <f>VLOOKUP(F207,[1]Sheet1!$B:$E,3,FALSE)</f>
        <v>岳贝贝</v>
      </c>
      <c r="C207" s="9" t="str">
        <f>VLOOKUP(F207,[1]Sheet1!$B:$E,4,FALSE)</f>
        <v>A</v>
      </c>
      <c r="D207" s="8" t="s">
        <v>440</v>
      </c>
      <c r="E207" s="8">
        <v>4.6</v>
      </c>
      <c r="F207" s="10">
        <v>21175768</v>
      </c>
      <c r="G207" s="8">
        <v>814</v>
      </c>
      <c r="H207" s="8">
        <v>760.65</v>
      </c>
      <c r="I207" s="8">
        <v>39.71</v>
      </c>
      <c r="J207" s="8">
        <v>23.77</v>
      </c>
      <c r="K207" s="8">
        <v>760.65</v>
      </c>
      <c r="L207" s="8">
        <v>1137</v>
      </c>
      <c r="M207" s="11">
        <v>0.0923</v>
      </c>
      <c r="N207" s="11">
        <v>0.2952</v>
      </c>
      <c r="O207" s="8">
        <v>32</v>
      </c>
      <c r="P207" s="8">
        <v>1137</v>
      </c>
      <c r="Q207" s="11">
        <v>0.0923</v>
      </c>
      <c r="R207" s="11">
        <v>0.2952</v>
      </c>
      <c r="S207" s="8">
        <v>32</v>
      </c>
      <c r="T207" s="11">
        <v>0.1236</v>
      </c>
      <c r="U207" s="11">
        <v>0.2509</v>
      </c>
      <c r="V207" s="11">
        <v>0.1791</v>
      </c>
      <c r="W207" s="11">
        <v>0.2509</v>
      </c>
      <c r="X207" s="8">
        <v>0</v>
      </c>
      <c r="Y207" s="8">
        <v>0</v>
      </c>
      <c r="Z207" s="8">
        <v>-0.01</v>
      </c>
      <c r="AA207" s="8">
        <v>0</v>
      </c>
      <c r="AB207" s="8">
        <v>0</v>
      </c>
      <c r="AC207" s="8">
        <v>1.4</v>
      </c>
      <c r="AD207" s="8">
        <v>0</v>
      </c>
      <c r="AE207" s="8">
        <v>0</v>
      </c>
      <c r="AF207" s="11">
        <v>0</v>
      </c>
      <c r="AG207" s="8">
        <v>0</v>
      </c>
      <c r="AH207" s="8">
        <v>0</v>
      </c>
      <c r="AI207" s="11">
        <v>0</v>
      </c>
      <c r="AJ207" s="8" t="s">
        <v>275</v>
      </c>
    </row>
    <row r="208" customFormat="1" ht="22" customHeight="1" spans="1:36">
      <c r="A208" s="8" t="s">
        <v>37</v>
      </c>
      <c r="B208" s="8" t="e">
        <f>VLOOKUP(F208,[1]Sheet1!$B:$E,3,FALSE)</f>
        <v>#N/A</v>
      </c>
      <c r="C208" s="8" t="e">
        <f>VLOOKUP(F208,[1]Sheet1!$B:$E,4,FALSE)</f>
        <v>#N/A</v>
      </c>
      <c r="D208" s="8" t="s">
        <v>441</v>
      </c>
      <c r="E208" s="8">
        <v>4.8</v>
      </c>
      <c r="F208" s="10">
        <v>26849217</v>
      </c>
      <c r="G208" s="8">
        <v>1190</v>
      </c>
      <c r="H208" s="8">
        <v>746.97</v>
      </c>
      <c r="I208" s="8">
        <v>28.14</v>
      </c>
      <c r="J208" s="8">
        <v>20.75</v>
      </c>
      <c r="K208" s="8">
        <v>2644.92</v>
      </c>
      <c r="L208" s="8">
        <v>1567</v>
      </c>
      <c r="M208" s="11">
        <v>0.0753</v>
      </c>
      <c r="N208" s="11">
        <v>0.3051</v>
      </c>
      <c r="O208" s="8">
        <v>36</v>
      </c>
      <c r="P208" s="8">
        <v>3323</v>
      </c>
      <c r="Q208" s="11">
        <v>0.0933</v>
      </c>
      <c r="R208" s="11">
        <v>0.3161</v>
      </c>
      <c r="S208" s="8">
        <v>100</v>
      </c>
      <c r="T208" s="11">
        <v>0.172</v>
      </c>
      <c r="U208" s="11">
        <v>0.3063</v>
      </c>
      <c r="V208" s="11">
        <v>0.2331</v>
      </c>
      <c r="W208" s="11">
        <v>0.33</v>
      </c>
      <c r="X208" s="8">
        <v>0</v>
      </c>
      <c r="Y208" s="8">
        <v>0</v>
      </c>
      <c r="Z208" s="8">
        <v>-0.01</v>
      </c>
      <c r="AA208" s="8">
        <v>0</v>
      </c>
      <c r="AB208" s="8">
        <v>0</v>
      </c>
      <c r="AC208" s="8">
        <v>1.32</v>
      </c>
      <c r="AD208" s="8">
        <v>0</v>
      </c>
      <c r="AE208" s="8">
        <v>0</v>
      </c>
      <c r="AF208" s="11">
        <v>0</v>
      </c>
      <c r="AG208" s="8">
        <v>0</v>
      </c>
      <c r="AH208" s="8">
        <v>0</v>
      </c>
      <c r="AI208" s="11">
        <v>0</v>
      </c>
      <c r="AJ208" s="8" t="s">
        <v>442</v>
      </c>
    </row>
    <row r="209" customFormat="1" ht="22" customHeight="1" spans="1:36">
      <c r="A209" s="8" t="s">
        <v>37</v>
      </c>
      <c r="B209" s="8" t="str">
        <f>VLOOKUP(F209,[1]Sheet1!$B:$E,3,FALSE)</f>
        <v>徐从众</v>
      </c>
      <c r="C209" s="9" t="str">
        <f>VLOOKUP(F209,[1]Sheet1!$B:$E,4,FALSE)</f>
        <v>S</v>
      </c>
      <c r="D209" s="8" t="s">
        <v>443</v>
      </c>
      <c r="E209" s="8">
        <v>4.6</v>
      </c>
      <c r="F209" s="10">
        <v>33034706</v>
      </c>
      <c r="G209" s="8">
        <v>764</v>
      </c>
      <c r="H209" s="8">
        <v>746.77</v>
      </c>
      <c r="I209" s="8">
        <v>41.54</v>
      </c>
      <c r="J209" s="8">
        <v>27.66</v>
      </c>
      <c r="K209" s="8">
        <v>2765.75</v>
      </c>
      <c r="L209" s="8">
        <v>1047</v>
      </c>
      <c r="M209" s="11">
        <v>0.0745</v>
      </c>
      <c r="N209" s="11">
        <v>0.3462</v>
      </c>
      <c r="O209" s="8">
        <v>27</v>
      </c>
      <c r="P209" s="8">
        <v>2834</v>
      </c>
      <c r="Q209" s="11">
        <v>0.0879</v>
      </c>
      <c r="R209" s="11">
        <v>0.3574</v>
      </c>
      <c r="S209" s="8">
        <v>92</v>
      </c>
      <c r="T209" s="11">
        <v>0.2113</v>
      </c>
      <c r="U209" s="11">
        <v>0.4118</v>
      </c>
      <c r="V209" s="11">
        <v>0.2298</v>
      </c>
      <c r="W209" s="11">
        <v>0.3274</v>
      </c>
      <c r="X209" s="8">
        <v>53.09</v>
      </c>
      <c r="Y209" s="8">
        <v>46</v>
      </c>
      <c r="Z209" s="8">
        <v>1.15</v>
      </c>
      <c r="AA209" s="8">
        <v>53.09</v>
      </c>
      <c r="AB209" s="8">
        <v>7.11</v>
      </c>
      <c r="AC209" s="8">
        <v>1.37</v>
      </c>
      <c r="AD209" s="8">
        <v>0</v>
      </c>
      <c r="AE209" s="8">
        <v>0</v>
      </c>
      <c r="AF209" s="11">
        <v>0</v>
      </c>
      <c r="AG209" s="8">
        <v>0</v>
      </c>
      <c r="AH209" s="8">
        <v>0</v>
      </c>
      <c r="AI209" s="11">
        <v>0</v>
      </c>
      <c r="AJ209" s="8" t="s">
        <v>444</v>
      </c>
    </row>
    <row r="210" customFormat="1" ht="22" customHeight="1" spans="1:36">
      <c r="A210" s="8" t="s">
        <v>37</v>
      </c>
      <c r="B210" s="8" t="str">
        <f>VLOOKUP(F210,[1]Sheet1!$B:$E,3,FALSE)</f>
        <v>王森</v>
      </c>
      <c r="C210" s="9" t="str">
        <f>VLOOKUP(F210,[1]Sheet1!$B:$E,4,FALSE)</f>
        <v>A</v>
      </c>
      <c r="D210" s="8" t="s">
        <v>445</v>
      </c>
      <c r="E210" s="8">
        <v>4.6</v>
      </c>
      <c r="F210" s="10">
        <v>29988412</v>
      </c>
      <c r="G210" s="8">
        <v>1269</v>
      </c>
      <c r="H210" s="8">
        <v>744.19</v>
      </c>
      <c r="I210" s="8">
        <v>26.07</v>
      </c>
      <c r="J210" s="8">
        <v>19.08</v>
      </c>
      <c r="K210" s="8">
        <v>3716.21</v>
      </c>
      <c r="L210" s="8">
        <v>2533</v>
      </c>
      <c r="M210" s="11">
        <v>0.09</v>
      </c>
      <c r="N210" s="11">
        <v>0.1711</v>
      </c>
      <c r="O210" s="8">
        <v>39</v>
      </c>
      <c r="P210" s="8">
        <v>4360</v>
      </c>
      <c r="Q210" s="11">
        <v>0.086</v>
      </c>
      <c r="R210" s="11">
        <v>0.3307</v>
      </c>
      <c r="S210" s="8">
        <v>127</v>
      </c>
      <c r="T210" s="11">
        <v>0.1854</v>
      </c>
      <c r="U210" s="11">
        <v>0.2642</v>
      </c>
      <c r="V210" s="11">
        <v>0.2125</v>
      </c>
      <c r="W210" s="11">
        <v>0.2669</v>
      </c>
      <c r="X210" s="8">
        <v>0</v>
      </c>
      <c r="Y210" s="8">
        <v>0</v>
      </c>
      <c r="Z210" s="8">
        <v>-0.01</v>
      </c>
      <c r="AA210" s="8">
        <v>0</v>
      </c>
      <c r="AB210" s="8">
        <v>0</v>
      </c>
      <c r="AC210" s="8">
        <v>2</v>
      </c>
      <c r="AD210" s="8">
        <v>1</v>
      </c>
      <c r="AE210" s="8">
        <v>1</v>
      </c>
      <c r="AF210" s="11">
        <v>1</v>
      </c>
      <c r="AG210" s="8">
        <v>0</v>
      </c>
      <c r="AH210" s="8">
        <v>0</v>
      </c>
      <c r="AI210" s="11">
        <v>0</v>
      </c>
      <c r="AJ210" s="8" t="s">
        <v>446</v>
      </c>
    </row>
    <row r="211" customFormat="1" ht="22" customHeight="1" spans="1:36">
      <c r="A211" s="8" t="s">
        <v>37</v>
      </c>
      <c r="B211" s="8" t="e">
        <f>VLOOKUP(F211,[1]Sheet1!$B:$E,3,FALSE)</f>
        <v>#N/A</v>
      </c>
      <c r="C211" s="8" t="e">
        <f>VLOOKUP(F211,[1]Sheet1!$B:$E,4,FALSE)</f>
        <v>#N/A</v>
      </c>
      <c r="D211" s="8" t="s">
        <v>447</v>
      </c>
      <c r="E211" s="8">
        <v>4.8</v>
      </c>
      <c r="F211" s="10">
        <v>34206903</v>
      </c>
      <c r="G211" s="8">
        <v>177</v>
      </c>
      <c r="H211" s="8">
        <v>741.44</v>
      </c>
      <c r="I211" s="8">
        <v>27.67</v>
      </c>
      <c r="J211" s="8">
        <v>21.18</v>
      </c>
      <c r="K211" s="8">
        <v>3300.39</v>
      </c>
      <c r="L211" s="8">
        <v>2008</v>
      </c>
      <c r="M211" s="11">
        <v>0.13</v>
      </c>
      <c r="N211" s="11">
        <v>0.1341</v>
      </c>
      <c r="O211" s="8">
        <v>35</v>
      </c>
      <c r="P211" s="8">
        <v>3730</v>
      </c>
      <c r="Q211" s="11">
        <v>0.0826</v>
      </c>
      <c r="R211" s="11">
        <v>0.3669</v>
      </c>
      <c r="S211" s="8">
        <v>117</v>
      </c>
      <c r="T211" s="11">
        <v>0.0955</v>
      </c>
      <c r="U211" s="11">
        <v>0.5</v>
      </c>
      <c r="V211" s="11">
        <v>0.2352</v>
      </c>
      <c r="W211" s="11">
        <v>0.3189</v>
      </c>
      <c r="X211" s="8">
        <v>49.17</v>
      </c>
      <c r="Y211" s="8">
        <v>53</v>
      </c>
      <c r="Z211" s="8">
        <v>0.93</v>
      </c>
      <c r="AA211" s="8">
        <v>49.17</v>
      </c>
      <c r="AB211" s="8">
        <v>6.63</v>
      </c>
      <c r="AC211" s="8">
        <v>11.34</v>
      </c>
      <c r="AD211" s="8">
        <v>2</v>
      </c>
      <c r="AE211" s="8">
        <v>2</v>
      </c>
      <c r="AF211" s="11">
        <v>1</v>
      </c>
      <c r="AG211" s="8">
        <v>0</v>
      </c>
      <c r="AH211" s="8">
        <v>0</v>
      </c>
      <c r="AI211" s="11">
        <v>0</v>
      </c>
      <c r="AJ211" s="8" t="s">
        <v>448</v>
      </c>
    </row>
    <row r="212" customFormat="1" ht="22" customHeight="1" spans="1:36">
      <c r="A212" s="8" t="s">
        <v>37</v>
      </c>
      <c r="B212" s="8" t="str">
        <f>VLOOKUP(F212,[1]Sheet1!$B:$E,3,FALSE)</f>
        <v>徐从众</v>
      </c>
      <c r="C212" s="9" t="str">
        <f>VLOOKUP(F212,[1]Sheet1!$B:$E,4,FALSE)</f>
        <v>A</v>
      </c>
      <c r="D212" s="8" t="s">
        <v>449</v>
      </c>
      <c r="E212" s="8">
        <v>4.6</v>
      </c>
      <c r="F212" s="10">
        <v>26319652</v>
      </c>
      <c r="G212" s="8">
        <v>273</v>
      </c>
      <c r="H212" s="8">
        <v>736.41</v>
      </c>
      <c r="I212" s="8">
        <v>80.02</v>
      </c>
      <c r="J212" s="8">
        <v>56.65</v>
      </c>
      <c r="K212" s="8">
        <v>2888.26</v>
      </c>
      <c r="L212" s="8">
        <v>879</v>
      </c>
      <c r="M212" s="11">
        <v>0.0899</v>
      </c>
      <c r="N212" s="11">
        <v>0.1519</v>
      </c>
      <c r="O212" s="8">
        <v>13</v>
      </c>
      <c r="P212" s="8">
        <v>3240</v>
      </c>
      <c r="Q212" s="11">
        <v>0.087</v>
      </c>
      <c r="R212" s="11">
        <v>0.2447</v>
      </c>
      <c r="S212" s="8">
        <v>71</v>
      </c>
      <c r="T212" s="11">
        <v>0.0657</v>
      </c>
      <c r="U212" s="11">
        <v>0.2273</v>
      </c>
      <c r="V212" s="11">
        <v>0.1939</v>
      </c>
      <c r="W212" s="11">
        <v>0.2661</v>
      </c>
      <c r="X212" s="8">
        <v>50</v>
      </c>
      <c r="Y212" s="8">
        <v>53</v>
      </c>
      <c r="Z212" s="8">
        <v>0.94</v>
      </c>
      <c r="AA212" s="8">
        <v>50</v>
      </c>
      <c r="AB212" s="8">
        <v>6.79</v>
      </c>
      <c r="AC212" s="8">
        <v>3.22</v>
      </c>
      <c r="AD212" s="8">
        <v>1</v>
      </c>
      <c r="AE212" s="8">
        <v>1</v>
      </c>
      <c r="AF212" s="11">
        <v>1</v>
      </c>
      <c r="AG212" s="8">
        <v>0</v>
      </c>
      <c r="AH212" s="8">
        <v>0</v>
      </c>
      <c r="AI212" s="11">
        <v>0</v>
      </c>
      <c r="AJ212" s="8" t="s">
        <v>450</v>
      </c>
    </row>
    <row r="213" customFormat="1" ht="22" customHeight="1" spans="1:36">
      <c r="A213" s="8" t="s">
        <v>37</v>
      </c>
      <c r="B213" s="8" t="str">
        <f>VLOOKUP(F213,[1]Sheet1!$B:$E,3,FALSE)</f>
        <v>岳贝贝</v>
      </c>
      <c r="C213" s="9" t="str">
        <f>VLOOKUP(F213,[1]Sheet1!$B:$E,4,FALSE)</f>
        <v>A</v>
      </c>
      <c r="D213" s="8" t="s">
        <v>451</v>
      </c>
      <c r="E213" s="8">
        <v>4.6</v>
      </c>
      <c r="F213" s="10">
        <v>32809548</v>
      </c>
      <c r="G213" s="8">
        <v>1269</v>
      </c>
      <c r="H213" s="8">
        <v>720.81</v>
      </c>
      <c r="I213" s="8">
        <v>28.96</v>
      </c>
      <c r="J213" s="8">
        <v>21.84</v>
      </c>
      <c r="K213" s="8">
        <v>2896.84</v>
      </c>
      <c r="L213" s="8">
        <v>2528</v>
      </c>
      <c r="M213" s="11">
        <v>0.0704</v>
      </c>
      <c r="N213" s="11">
        <v>0.1798</v>
      </c>
      <c r="O213" s="8">
        <v>33</v>
      </c>
      <c r="P213" s="8">
        <v>3382</v>
      </c>
      <c r="Q213" s="11">
        <v>0.092</v>
      </c>
      <c r="R213" s="11">
        <v>0.3441</v>
      </c>
      <c r="S213" s="8">
        <v>111</v>
      </c>
      <c r="T213" s="11">
        <v>0.147</v>
      </c>
      <c r="U213" s="11">
        <v>0.2964</v>
      </c>
      <c r="V213" s="11">
        <v>0.2532</v>
      </c>
      <c r="W213" s="11">
        <v>0.328</v>
      </c>
      <c r="X213" s="8">
        <v>91.28</v>
      </c>
      <c r="Y213" s="8">
        <v>107</v>
      </c>
      <c r="Z213" s="8">
        <v>0.85</v>
      </c>
      <c r="AA213" s="8">
        <v>91.28</v>
      </c>
      <c r="AB213" s="8">
        <v>12.66</v>
      </c>
      <c r="AC213" s="8">
        <v>1.99</v>
      </c>
      <c r="AD213" s="8">
        <v>0</v>
      </c>
      <c r="AE213" s="8">
        <v>0</v>
      </c>
      <c r="AF213" s="11">
        <v>0</v>
      </c>
      <c r="AG213" s="8">
        <v>0</v>
      </c>
      <c r="AH213" s="8">
        <v>0</v>
      </c>
      <c r="AI213" s="11">
        <v>0</v>
      </c>
      <c r="AJ213" s="8" t="s">
        <v>452</v>
      </c>
    </row>
    <row r="214" customFormat="1" ht="22" customHeight="1" spans="1:36">
      <c r="A214" s="8" t="s">
        <v>37</v>
      </c>
      <c r="B214" s="8" t="e">
        <f>VLOOKUP(F214,[1]Sheet1!$B:$E,3,FALSE)</f>
        <v>#N/A</v>
      </c>
      <c r="C214" s="8" t="e">
        <f>VLOOKUP(F214,[1]Sheet1!$B:$E,4,FALSE)</f>
        <v>#N/A</v>
      </c>
      <c r="D214" s="8" t="s">
        <v>453</v>
      </c>
      <c r="E214" s="8">
        <v>4.8</v>
      </c>
      <c r="F214" s="10">
        <v>31202254</v>
      </c>
      <c r="G214" s="8">
        <v>1110</v>
      </c>
      <c r="H214" s="8">
        <v>712.92</v>
      </c>
      <c r="I214" s="8">
        <v>27.65</v>
      </c>
      <c r="J214" s="8">
        <v>18.76</v>
      </c>
      <c r="K214" s="8">
        <v>3461.39</v>
      </c>
      <c r="L214" s="8">
        <v>1252</v>
      </c>
      <c r="M214" s="11">
        <v>0.0743</v>
      </c>
      <c r="N214" s="11">
        <v>0.3871</v>
      </c>
      <c r="O214" s="8">
        <v>38</v>
      </c>
      <c r="P214" s="8">
        <v>3145</v>
      </c>
      <c r="Q214" s="11">
        <v>0.0935</v>
      </c>
      <c r="R214" s="11">
        <v>0.381</v>
      </c>
      <c r="S214" s="8">
        <v>115</v>
      </c>
      <c r="T214" s="11">
        <v>0.2182</v>
      </c>
      <c r="U214" s="11">
        <v>0.3804</v>
      </c>
      <c r="V214" s="11">
        <v>0.232</v>
      </c>
      <c r="W214" s="11">
        <v>0.3054</v>
      </c>
      <c r="X214" s="8">
        <v>43.76</v>
      </c>
      <c r="Y214" s="8">
        <v>38</v>
      </c>
      <c r="Z214" s="8">
        <v>1.15</v>
      </c>
      <c r="AA214" s="8">
        <v>43.76</v>
      </c>
      <c r="AB214" s="8">
        <v>6.14</v>
      </c>
      <c r="AC214" s="8">
        <v>1.13</v>
      </c>
      <c r="AD214" s="8">
        <v>0</v>
      </c>
      <c r="AE214" s="8">
        <v>0</v>
      </c>
      <c r="AF214" s="11">
        <v>0</v>
      </c>
      <c r="AG214" s="8">
        <v>0</v>
      </c>
      <c r="AH214" s="8">
        <v>0</v>
      </c>
      <c r="AI214" s="11">
        <v>0</v>
      </c>
      <c r="AJ214" s="8" t="s">
        <v>454</v>
      </c>
    </row>
    <row r="215" customFormat="1" ht="22" customHeight="1" spans="1:36">
      <c r="A215" s="8" t="s">
        <v>37</v>
      </c>
      <c r="B215" s="8" t="str">
        <f>VLOOKUP(F215,[1]Sheet1!$B:$E,3,FALSE)</f>
        <v>徐从众</v>
      </c>
      <c r="C215" s="9" t="str">
        <f>VLOOKUP(F215,[1]Sheet1!$B:$E,4,FALSE)</f>
        <v>S</v>
      </c>
      <c r="D215" s="8" t="s">
        <v>455</v>
      </c>
      <c r="E215" s="8">
        <v>4.8</v>
      </c>
      <c r="F215" s="10">
        <v>31717972</v>
      </c>
      <c r="G215" s="8">
        <v>1934</v>
      </c>
      <c r="H215" s="8">
        <v>712.45</v>
      </c>
      <c r="I215" s="8">
        <v>13.85</v>
      </c>
      <c r="J215" s="8">
        <v>9.37</v>
      </c>
      <c r="K215" s="8">
        <v>5290.49</v>
      </c>
      <c r="L215" s="8">
        <v>2191</v>
      </c>
      <c r="M215" s="11">
        <v>0.073</v>
      </c>
      <c r="N215" s="11">
        <v>0.4313</v>
      </c>
      <c r="O215" s="8">
        <v>76</v>
      </c>
      <c r="P215" s="8">
        <v>10483</v>
      </c>
      <c r="Q215" s="11">
        <v>0.0697</v>
      </c>
      <c r="R215" s="11">
        <v>0.3858</v>
      </c>
      <c r="S215" s="8">
        <v>289</v>
      </c>
      <c r="T215" s="11">
        <v>0.1898</v>
      </c>
      <c r="U215" s="11">
        <v>0.494</v>
      </c>
      <c r="V215" s="11">
        <v>0.2518</v>
      </c>
      <c r="W215" s="11">
        <v>0.3462</v>
      </c>
      <c r="X215" s="8">
        <v>68</v>
      </c>
      <c r="Y215" s="8">
        <v>69</v>
      </c>
      <c r="Z215" s="8">
        <v>0.99</v>
      </c>
      <c r="AA215" s="8">
        <v>68</v>
      </c>
      <c r="AB215" s="8">
        <v>9.54</v>
      </c>
      <c r="AC215" s="8">
        <v>1.13</v>
      </c>
      <c r="AD215" s="8">
        <v>0</v>
      </c>
      <c r="AE215" s="8">
        <v>0</v>
      </c>
      <c r="AF215" s="11">
        <v>0</v>
      </c>
      <c r="AG215" s="8">
        <v>0</v>
      </c>
      <c r="AH215" s="8">
        <v>0</v>
      </c>
      <c r="AI215" s="11">
        <v>0</v>
      </c>
      <c r="AJ215" s="8" t="s">
        <v>456</v>
      </c>
    </row>
    <row r="216" customFormat="1" ht="22" customHeight="1" spans="1:36">
      <c r="A216" s="8" t="s">
        <v>37</v>
      </c>
      <c r="B216" s="8" t="str">
        <f>VLOOKUP(F216,[1]Sheet1!$B:$E,3,FALSE)</f>
        <v>岳贝贝</v>
      </c>
      <c r="C216" s="9" t="str">
        <f>VLOOKUP(F216,[1]Sheet1!$B:$E,4,FALSE)</f>
        <v>A</v>
      </c>
      <c r="D216" s="12" t="s">
        <v>457</v>
      </c>
      <c r="E216" s="12">
        <v>4.3</v>
      </c>
      <c r="F216" s="13">
        <v>33485243</v>
      </c>
      <c r="G216" s="8">
        <v>311</v>
      </c>
      <c r="H216" s="8">
        <v>710.23</v>
      </c>
      <c r="I216" s="8">
        <v>88.88</v>
      </c>
      <c r="J216" s="8">
        <v>59.19</v>
      </c>
      <c r="K216" s="8">
        <v>1126.37</v>
      </c>
      <c r="L216" s="8">
        <v>880</v>
      </c>
      <c r="M216" s="11">
        <v>0.0784</v>
      </c>
      <c r="N216" s="11">
        <v>0.1739</v>
      </c>
      <c r="O216" s="8">
        <v>12</v>
      </c>
      <c r="P216" s="8">
        <v>1702</v>
      </c>
      <c r="Q216" s="11">
        <v>0.0834</v>
      </c>
      <c r="R216" s="11">
        <v>0.3521</v>
      </c>
      <c r="S216" s="8">
        <v>51</v>
      </c>
      <c r="T216" s="11">
        <v>0.0469</v>
      </c>
      <c r="U216" s="11">
        <v>0.2963</v>
      </c>
      <c r="V216" s="11">
        <v>0.2515</v>
      </c>
      <c r="W216" s="11">
        <v>0.3044</v>
      </c>
      <c r="X216" s="8">
        <v>45.28</v>
      </c>
      <c r="Y216" s="8">
        <v>38</v>
      </c>
      <c r="Z216" s="8">
        <v>1.19</v>
      </c>
      <c r="AA216" s="8">
        <v>45.28</v>
      </c>
      <c r="AB216" s="8">
        <v>6.38</v>
      </c>
      <c r="AC216" s="8">
        <v>2.83</v>
      </c>
      <c r="AD216" s="8">
        <v>1</v>
      </c>
      <c r="AE216" s="8">
        <v>0</v>
      </c>
      <c r="AF216" s="11">
        <v>0</v>
      </c>
      <c r="AG216" s="8">
        <v>0</v>
      </c>
      <c r="AH216" s="8">
        <v>1</v>
      </c>
      <c r="AI216" s="11">
        <v>1</v>
      </c>
      <c r="AJ216" s="8" t="s">
        <v>458</v>
      </c>
    </row>
    <row r="217" customFormat="1" ht="22" customHeight="1" spans="1:36">
      <c r="A217" s="8" t="s">
        <v>37</v>
      </c>
      <c r="B217" s="8" t="str">
        <f>VLOOKUP(F217,[1]Sheet1!$B:$E,3,FALSE)</f>
        <v>徐从众</v>
      </c>
      <c r="C217" s="9" t="str">
        <f>VLOOKUP(F217,[1]Sheet1!$B:$E,4,FALSE)</f>
        <v>S</v>
      </c>
      <c r="D217" s="8" t="s">
        <v>459</v>
      </c>
      <c r="E217" s="8">
        <v>4.8</v>
      </c>
      <c r="F217" s="10">
        <v>33637192</v>
      </c>
      <c r="G217" s="8">
        <v>1171</v>
      </c>
      <c r="H217" s="8">
        <v>709.34</v>
      </c>
      <c r="I217" s="8">
        <v>25.95</v>
      </c>
      <c r="J217" s="8">
        <v>16.89</v>
      </c>
      <c r="K217" s="8">
        <v>4178.67</v>
      </c>
      <c r="L217" s="8">
        <v>1568</v>
      </c>
      <c r="M217" s="11">
        <v>0.0746</v>
      </c>
      <c r="N217" s="11">
        <v>0.3419</v>
      </c>
      <c r="O217" s="8">
        <v>42</v>
      </c>
      <c r="P217" s="8">
        <v>7629</v>
      </c>
      <c r="Q217" s="11">
        <v>0.0629</v>
      </c>
      <c r="R217" s="11">
        <v>0.3146</v>
      </c>
      <c r="S217" s="8">
        <v>154</v>
      </c>
      <c r="T217" s="11">
        <v>0.2263</v>
      </c>
      <c r="U217" s="11">
        <v>0.5784</v>
      </c>
      <c r="V217" s="11">
        <v>0.2215</v>
      </c>
      <c r="W217" s="11">
        <v>0.3137</v>
      </c>
      <c r="X217" s="8">
        <v>61.65</v>
      </c>
      <c r="Y217" s="8">
        <v>54</v>
      </c>
      <c r="Z217" s="8">
        <v>1.14</v>
      </c>
      <c r="AA217" s="8">
        <v>61.65</v>
      </c>
      <c r="AB217" s="8">
        <v>8.69</v>
      </c>
      <c r="AC217" s="8">
        <v>1.34</v>
      </c>
      <c r="AD217" s="8">
        <v>3</v>
      </c>
      <c r="AE217" s="8">
        <v>3</v>
      </c>
      <c r="AF217" s="11">
        <v>1</v>
      </c>
      <c r="AG217" s="8">
        <v>0</v>
      </c>
      <c r="AH217" s="8">
        <v>0</v>
      </c>
      <c r="AI217" s="11">
        <v>0</v>
      </c>
      <c r="AJ217" s="8" t="s">
        <v>460</v>
      </c>
    </row>
    <row r="218" customFormat="1" ht="22" customHeight="1" spans="1:36">
      <c r="A218" s="8" t="s">
        <v>37</v>
      </c>
      <c r="B218" s="8" t="str">
        <f>VLOOKUP(F218,[1]Sheet1!$B:$E,3,FALSE)</f>
        <v>徐从众</v>
      </c>
      <c r="C218" s="9" t="str">
        <f>VLOOKUP(F218,[1]Sheet1!$B:$E,4,FALSE)</f>
        <v>S</v>
      </c>
      <c r="D218" s="8" t="s">
        <v>461</v>
      </c>
      <c r="E218" s="8">
        <v>4.8</v>
      </c>
      <c r="F218" s="10">
        <v>22855809</v>
      </c>
      <c r="G218" s="8">
        <v>419</v>
      </c>
      <c r="H218" s="8">
        <v>709.01</v>
      </c>
      <c r="I218" s="8">
        <v>39.62</v>
      </c>
      <c r="J218" s="8">
        <v>32.23</v>
      </c>
      <c r="K218" s="8">
        <v>3304.7</v>
      </c>
      <c r="L218" s="8">
        <v>411</v>
      </c>
      <c r="M218" s="11">
        <v>0.1946</v>
      </c>
      <c r="N218" s="11">
        <v>0.275</v>
      </c>
      <c r="O218" s="8">
        <v>22</v>
      </c>
      <c r="P218" s="8">
        <v>3819</v>
      </c>
      <c r="Q218" s="11">
        <v>0.0791</v>
      </c>
      <c r="R218" s="11">
        <v>0.245</v>
      </c>
      <c r="S218" s="8">
        <v>76</v>
      </c>
      <c r="T218" s="11">
        <v>0.156</v>
      </c>
      <c r="U218" s="11">
        <v>0.4088</v>
      </c>
      <c r="V218" s="11">
        <v>0.1953</v>
      </c>
      <c r="W218" s="11">
        <v>0.2721</v>
      </c>
      <c r="X218" s="8">
        <v>0</v>
      </c>
      <c r="Y218" s="8">
        <v>0</v>
      </c>
      <c r="Z218" s="8">
        <v>-0.01</v>
      </c>
      <c r="AA218" s="8">
        <v>0</v>
      </c>
      <c r="AB218" s="8">
        <v>0</v>
      </c>
      <c r="AC218" s="8">
        <v>0.98</v>
      </c>
      <c r="AD218" s="8">
        <v>2</v>
      </c>
      <c r="AE218" s="8">
        <v>2</v>
      </c>
      <c r="AF218" s="11">
        <v>1</v>
      </c>
      <c r="AG218" s="8">
        <v>0</v>
      </c>
      <c r="AH218" s="8">
        <v>0</v>
      </c>
      <c r="AI218" s="11">
        <v>0</v>
      </c>
      <c r="AJ218" s="8" t="s">
        <v>462</v>
      </c>
    </row>
    <row r="219" customFormat="1" ht="22" customHeight="1" spans="1:36">
      <c r="A219" s="8" t="s">
        <v>37</v>
      </c>
      <c r="B219" s="8" t="str">
        <f>VLOOKUP(F219,[1]Sheet1!$B:$E,3,FALSE)</f>
        <v>徐从众</v>
      </c>
      <c r="C219" s="9" t="str">
        <f>VLOOKUP(F219,[1]Sheet1!$B:$E,4,FALSE)</f>
        <v>S</v>
      </c>
      <c r="D219" s="8" t="s">
        <v>463</v>
      </c>
      <c r="E219" s="8">
        <v>4.7</v>
      </c>
      <c r="F219" s="10">
        <v>29403351</v>
      </c>
      <c r="G219" s="8">
        <v>1210</v>
      </c>
      <c r="H219" s="8">
        <v>707.73</v>
      </c>
      <c r="I219" s="8">
        <v>27.31</v>
      </c>
      <c r="J219" s="8">
        <v>18.62</v>
      </c>
      <c r="K219" s="8">
        <v>3456.16</v>
      </c>
      <c r="L219" s="8">
        <v>1357</v>
      </c>
      <c r="M219" s="11">
        <v>0.0796</v>
      </c>
      <c r="N219" s="11">
        <v>0.3426</v>
      </c>
      <c r="O219" s="8">
        <v>38</v>
      </c>
      <c r="P219" s="8">
        <v>2849</v>
      </c>
      <c r="Q219" s="11">
        <v>0.1028</v>
      </c>
      <c r="R219" s="11">
        <v>0.3549</v>
      </c>
      <c r="S219" s="8">
        <v>107</v>
      </c>
      <c r="T219" s="11">
        <v>0.2228</v>
      </c>
      <c r="U219" s="11">
        <v>0.4088</v>
      </c>
      <c r="V219" s="11">
        <v>0.2568</v>
      </c>
      <c r="W219" s="11">
        <v>0.3323</v>
      </c>
      <c r="X219" s="8">
        <v>58</v>
      </c>
      <c r="Y219" s="8">
        <v>60</v>
      </c>
      <c r="Z219" s="8">
        <v>0.97</v>
      </c>
      <c r="AA219" s="8">
        <v>58</v>
      </c>
      <c r="AB219" s="8">
        <v>8.2</v>
      </c>
      <c r="AC219" s="8">
        <v>1.12</v>
      </c>
      <c r="AD219" s="8">
        <v>1</v>
      </c>
      <c r="AE219" s="8">
        <v>1</v>
      </c>
      <c r="AF219" s="11">
        <v>1</v>
      </c>
      <c r="AG219" s="8">
        <v>0</v>
      </c>
      <c r="AH219" s="8">
        <v>0</v>
      </c>
      <c r="AI219" s="11">
        <v>0</v>
      </c>
      <c r="AJ219" s="8" t="s">
        <v>464</v>
      </c>
    </row>
    <row r="220" customFormat="1" ht="22" customHeight="1" spans="1:36">
      <c r="A220" s="8" t="s">
        <v>37</v>
      </c>
      <c r="B220" s="8" t="e">
        <f>VLOOKUP(F220,[1]Sheet1!$B:$E,3,FALSE)</f>
        <v>#N/A</v>
      </c>
      <c r="C220" s="8" t="e">
        <f>VLOOKUP(F220,[1]Sheet1!$B:$E,4,FALSE)</f>
        <v>#N/A</v>
      </c>
      <c r="D220" s="8" t="s">
        <v>465</v>
      </c>
      <c r="E220" s="8">
        <v>4.4</v>
      </c>
      <c r="F220" s="10">
        <v>19035323</v>
      </c>
      <c r="G220" s="8">
        <v>944</v>
      </c>
      <c r="H220" s="8">
        <v>703.62</v>
      </c>
      <c r="I220" s="8">
        <v>55.49</v>
      </c>
      <c r="J220" s="8">
        <v>37.03</v>
      </c>
      <c r="K220" s="8">
        <v>3723.77</v>
      </c>
      <c r="L220" s="8">
        <v>1575</v>
      </c>
      <c r="M220" s="11">
        <v>0.0825</v>
      </c>
      <c r="N220" s="11">
        <v>0.1385</v>
      </c>
      <c r="O220" s="8">
        <v>19</v>
      </c>
      <c r="P220" s="8">
        <v>3536</v>
      </c>
      <c r="Q220" s="11">
        <v>0.0905</v>
      </c>
      <c r="R220" s="11">
        <v>0.2875</v>
      </c>
      <c r="S220" s="8">
        <v>95</v>
      </c>
      <c r="T220" s="11">
        <v>0.1068</v>
      </c>
      <c r="U220" s="11">
        <v>0.214</v>
      </c>
      <c r="V220" s="11">
        <v>0.2269</v>
      </c>
      <c r="W220" s="11">
        <v>0.3126</v>
      </c>
      <c r="X220" s="8">
        <v>37.57</v>
      </c>
      <c r="Y220" s="8">
        <v>62</v>
      </c>
      <c r="Z220" s="8">
        <v>0.61</v>
      </c>
      <c r="AA220" s="8">
        <v>37.57</v>
      </c>
      <c r="AB220" s="8">
        <v>5.34</v>
      </c>
      <c r="AC220" s="8">
        <v>1.67</v>
      </c>
      <c r="AD220" s="8">
        <v>1</v>
      </c>
      <c r="AE220" s="8">
        <v>1</v>
      </c>
      <c r="AF220" s="11">
        <v>1</v>
      </c>
      <c r="AG220" s="8">
        <v>0</v>
      </c>
      <c r="AH220" s="8">
        <v>0</v>
      </c>
      <c r="AI220" s="11">
        <v>0</v>
      </c>
      <c r="AJ220" s="8" t="s">
        <v>466</v>
      </c>
    </row>
    <row r="221" customFormat="1" ht="22" customHeight="1" spans="1:36">
      <c r="A221" s="8" t="s">
        <v>37</v>
      </c>
      <c r="B221" s="8" t="str">
        <f>VLOOKUP(F221,[1]Sheet1!$B:$E,3,FALSE)</f>
        <v>王森</v>
      </c>
      <c r="C221" s="9" t="str">
        <f>VLOOKUP(F221,[1]Sheet1!$B:$E,4,FALSE)</f>
        <v>S</v>
      </c>
      <c r="D221" s="8" t="s">
        <v>467</v>
      </c>
      <c r="E221" s="8">
        <v>4.7</v>
      </c>
      <c r="F221" s="10">
        <v>14160343</v>
      </c>
      <c r="G221" s="8">
        <v>557</v>
      </c>
      <c r="H221" s="8">
        <v>703.14</v>
      </c>
      <c r="I221" s="8">
        <v>28.34</v>
      </c>
      <c r="J221" s="8">
        <v>23.44</v>
      </c>
      <c r="K221" s="8">
        <v>4582.64</v>
      </c>
      <c r="L221" s="8">
        <v>1274</v>
      </c>
      <c r="M221" s="11">
        <v>0.1036</v>
      </c>
      <c r="N221" s="11">
        <v>0.2273</v>
      </c>
      <c r="O221" s="8">
        <v>30</v>
      </c>
      <c r="P221" s="8">
        <v>4379</v>
      </c>
      <c r="Q221" s="11">
        <v>0.0854</v>
      </c>
      <c r="R221" s="11">
        <v>0.2487</v>
      </c>
      <c r="S221" s="8">
        <v>96</v>
      </c>
      <c r="T221" s="11">
        <v>0.1884</v>
      </c>
      <c r="U221" s="11">
        <v>0.3107</v>
      </c>
      <c r="V221" s="11">
        <v>0.1941</v>
      </c>
      <c r="W221" s="11">
        <v>0.2892</v>
      </c>
      <c r="X221" s="8">
        <v>50</v>
      </c>
      <c r="Y221" s="8">
        <v>60</v>
      </c>
      <c r="Z221" s="8">
        <v>0.83</v>
      </c>
      <c r="AA221" s="8">
        <v>50</v>
      </c>
      <c r="AB221" s="8">
        <v>7.11</v>
      </c>
      <c r="AC221" s="8">
        <v>2.29</v>
      </c>
      <c r="AD221" s="8">
        <v>2</v>
      </c>
      <c r="AE221" s="8">
        <v>2</v>
      </c>
      <c r="AF221" s="11">
        <v>1</v>
      </c>
      <c r="AG221" s="8">
        <v>0</v>
      </c>
      <c r="AH221" s="8">
        <v>0</v>
      </c>
      <c r="AI221" s="11">
        <v>0</v>
      </c>
      <c r="AJ221" s="8" t="s">
        <v>468</v>
      </c>
    </row>
    <row r="222" customFormat="1" ht="22" customHeight="1" spans="1:36">
      <c r="A222" s="8" t="s">
        <v>37</v>
      </c>
      <c r="B222" s="8" t="e">
        <f>VLOOKUP(F222,[1]Sheet1!$B:$E,3,FALSE)</f>
        <v>#N/A</v>
      </c>
      <c r="C222" s="8" t="e">
        <f>VLOOKUP(F222,[1]Sheet1!$B:$E,4,FALSE)</f>
        <v>#N/A</v>
      </c>
      <c r="D222" s="12" t="s">
        <v>469</v>
      </c>
      <c r="E222" s="12">
        <v>4.3</v>
      </c>
      <c r="F222" s="13">
        <v>16014032</v>
      </c>
      <c r="G222" s="8">
        <v>784</v>
      </c>
      <c r="H222" s="8">
        <v>702.04</v>
      </c>
      <c r="I222" s="8">
        <v>36.17</v>
      </c>
      <c r="J222" s="8">
        <v>28.08</v>
      </c>
      <c r="K222" s="8">
        <v>4582.64</v>
      </c>
      <c r="L222" s="8">
        <v>1179</v>
      </c>
      <c r="M222" s="11">
        <v>0.1467</v>
      </c>
      <c r="N222" s="11">
        <v>0.1445</v>
      </c>
      <c r="O222" s="8">
        <v>25</v>
      </c>
      <c r="P222" s="8">
        <v>4379</v>
      </c>
      <c r="Q222" s="11">
        <v>0.0854</v>
      </c>
      <c r="R222" s="11">
        <v>0.2487</v>
      </c>
      <c r="S222" s="8">
        <v>96</v>
      </c>
      <c r="T222" s="11">
        <v>0.1126</v>
      </c>
      <c r="U222" s="11">
        <v>0.2045</v>
      </c>
      <c r="V222" s="11">
        <v>0.1941</v>
      </c>
      <c r="W222" s="11">
        <v>0.2892</v>
      </c>
      <c r="X222" s="8">
        <v>0</v>
      </c>
      <c r="Y222" s="8">
        <v>0</v>
      </c>
      <c r="Z222" s="8">
        <v>-0.01</v>
      </c>
      <c r="AA222" s="8">
        <v>0</v>
      </c>
      <c r="AB222" s="8">
        <v>0</v>
      </c>
      <c r="AC222" s="8">
        <v>1.5</v>
      </c>
      <c r="AD222" s="8">
        <v>0</v>
      </c>
      <c r="AE222" s="8">
        <v>0</v>
      </c>
      <c r="AF222" s="11">
        <v>0</v>
      </c>
      <c r="AG222" s="8">
        <v>0</v>
      </c>
      <c r="AH222" s="8">
        <v>0</v>
      </c>
      <c r="AI222" s="11">
        <v>0</v>
      </c>
      <c r="AJ222" s="8" t="s">
        <v>470</v>
      </c>
    </row>
    <row r="223" customFormat="1" ht="22" customHeight="1" spans="1:36">
      <c r="A223" s="8" t="s">
        <v>37</v>
      </c>
      <c r="B223" s="8" t="str">
        <f>VLOOKUP(F223,[1]Sheet1!$B:$E,3,FALSE)</f>
        <v>王森</v>
      </c>
      <c r="C223" s="9" t="str">
        <f>VLOOKUP(F223,[1]Sheet1!$B:$E,4,FALSE)</f>
        <v>A</v>
      </c>
      <c r="D223" s="8" t="s">
        <v>471</v>
      </c>
      <c r="E223" s="8">
        <v>4.7</v>
      </c>
      <c r="F223" s="10">
        <v>27399573</v>
      </c>
      <c r="G223" s="8">
        <v>498</v>
      </c>
      <c r="H223" s="8">
        <v>701.23</v>
      </c>
      <c r="I223" s="8">
        <v>77.44</v>
      </c>
      <c r="J223" s="8">
        <v>53.94</v>
      </c>
      <c r="K223" s="8">
        <v>701.23</v>
      </c>
      <c r="L223" s="8">
        <v>1263</v>
      </c>
      <c r="M223" s="11">
        <v>0.0823</v>
      </c>
      <c r="N223" s="11">
        <v>0.125</v>
      </c>
      <c r="O223" s="8">
        <v>13</v>
      </c>
      <c r="P223" s="8">
        <v>1263</v>
      </c>
      <c r="Q223" s="11">
        <v>0.0823</v>
      </c>
      <c r="R223" s="11">
        <v>0.125</v>
      </c>
      <c r="S223" s="8">
        <v>13</v>
      </c>
      <c r="T223" s="11">
        <v>0.0693</v>
      </c>
      <c r="U223" s="11">
        <v>0.2543</v>
      </c>
      <c r="V223" s="11">
        <v>0.1485</v>
      </c>
      <c r="W223" s="11">
        <v>0.2543</v>
      </c>
      <c r="X223" s="8">
        <v>61.07</v>
      </c>
      <c r="Y223" s="8">
        <v>63</v>
      </c>
      <c r="Z223" s="8">
        <v>0.97</v>
      </c>
      <c r="AA223" s="8">
        <v>61.07</v>
      </c>
      <c r="AB223" s="8">
        <v>8.71</v>
      </c>
      <c r="AC223" s="8">
        <v>2.54</v>
      </c>
      <c r="AD223" s="8">
        <v>0</v>
      </c>
      <c r="AE223" s="8">
        <v>0</v>
      </c>
      <c r="AF223" s="11">
        <v>0</v>
      </c>
      <c r="AG223" s="8">
        <v>0</v>
      </c>
      <c r="AH223" s="8">
        <v>0</v>
      </c>
      <c r="AI223" s="11">
        <v>0</v>
      </c>
      <c r="AJ223" s="8" t="s">
        <v>267</v>
      </c>
    </row>
    <row r="224" customFormat="1" ht="22" customHeight="1" spans="1:36">
      <c r="A224" s="8" t="s">
        <v>37</v>
      </c>
      <c r="B224" s="8" t="str">
        <f>VLOOKUP(F224,[1]Sheet1!$B:$E,3,FALSE)</f>
        <v>徐从众</v>
      </c>
      <c r="C224" s="9" t="str">
        <f>VLOOKUP(F224,[1]Sheet1!$B:$E,4,FALSE)</f>
        <v>A</v>
      </c>
      <c r="D224" s="8" t="s">
        <v>472</v>
      </c>
      <c r="E224" s="8">
        <v>4.6</v>
      </c>
      <c r="F224" s="10">
        <v>30628445</v>
      </c>
      <c r="G224" s="8">
        <v>480</v>
      </c>
      <c r="H224" s="8">
        <v>698.13</v>
      </c>
      <c r="I224" s="8">
        <v>42.6</v>
      </c>
      <c r="J224" s="8">
        <v>34.91</v>
      </c>
      <c r="K224" s="8">
        <v>4158.48</v>
      </c>
      <c r="L224" s="8">
        <v>1065</v>
      </c>
      <c r="M224" s="11">
        <v>0.0836</v>
      </c>
      <c r="N224" s="11">
        <v>0.2022</v>
      </c>
      <c r="O224" s="8">
        <v>20</v>
      </c>
      <c r="P224" s="8">
        <v>4808</v>
      </c>
      <c r="Q224" s="11">
        <v>0.0749</v>
      </c>
      <c r="R224" s="11">
        <v>0.2583</v>
      </c>
      <c r="S224" s="8">
        <v>97</v>
      </c>
      <c r="T224" s="11">
        <v>0.1457</v>
      </c>
      <c r="U224" s="11">
        <v>0.2871</v>
      </c>
      <c r="V224" s="11">
        <v>0.203</v>
      </c>
      <c r="W224" s="11">
        <v>0.3939</v>
      </c>
      <c r="X224" s="8">
        <v>50</v>
      </c>
      <c r="Y224" s="8">
        <v>47</v>
      </c>
      <c r="Z224" s="8">
        <v>1.06</v>
      </c>
      <c r="AA224" s="8">
        <v>50</v>
      </c>
      <c r="AB224" s="8">
        <v>7.16</v>
      </c>
      <c r="AC224" s="8">
        <v>2.22</v>
      </c>
      <c r="AD224" s="8">
        <v>0</v>
      </c>
      <c r="AE224" s="8">
        <v>0</v>
      </c>
      <c r="AF224" s="11">
        <v>0</v>
      </c>
      <c r="AG224" s="8">
        <v>0</v>
      </c>
      <c r="AH224" s="8">
        <v>0</v>
      </c>
      <c r="AI224" s="11">
        <v>0</v>
      </c>
      <c r="AJ224" s="8" t="s">
        <v>473</v>
      </c>
    </row>
    <row r="225" customFormat="1" ht="22" customHeight="1" spans="1:36">
      <c r="A225" s="8" t="s">
        <v>37</v>
      </c>
      <c r="B225" s="8" t="str">
        <f>VLOOKUP(F225,[1]Sheet1!$B:$E,3,FALSE)</f>
        <v>刘欢</v>
      </c>
      <c r="C225" s="9" t="str">
        <f>VLOOKUP(F225,[1]Sheet1!$B:$E,4,FALSE)</f>
        <v>A</v>
      </c>
      <c r="D225" s="8" t="s">
        <v>474</v>
      </c>
      <c r="E225" s="8">
        <v>4.6</v>
      </c>
      <c r="F225" s="10">
        <v>30196648</v>
      </c>
      <c r="G225" s="8">
        <v>815</v>
      </c>
      <c r="H225" s="8">
        <v>688.6</v>
      </c>
      <c r="I225" s="8">
        <v>29.18</v>
      </c>
      <c r="J225" s="8">
        <v>20.25</v>
      </c>
      <c r="K225" s="8">
        <v>3137.71</v>
      </c>
      <c r="L225" s="8">
        <v>1180</v>
      </c>
      <c r="M225" s="11">
        <v>0.0771</v>
      </c>
      <c r="N225" s="11">
        <v>0.3626</v>
      </c>
      <c r="O225" s="8">
        <v>34</v>
      </c>
      <c r="P225" s="8">
        <v>3801</v>
      </c>
      <c r="Q225" s="11">
        <v>0.0813</v>
      </c>
      <c r="R225" s="11">
        <v>0.3722</v>
      </c>
      <c r="S225" s="8">
        <v>118</v>
      </c>
      <c r="T225" s="11">
        <v>0.2201</v>
      </c>
      <c r="U225" s="11">
        <v>0.3303</v>
      </c>
      <c r="V225" s="11">
        <v>0.2253</v>
      </c>
      <c r="W225" s="11">
        <v>0.2978</v>
      </c>
      <c r="X225" s="8">
        <v>0</v>
      </c>
      <c r="Y225" s="8">
        <v>0</v>
      </c>
      <c r="Z225" s="8">
        <v>-0.01</v>
      </c>
      <c r="AA225" s="8">
        <v>0</v>
      </c>
      <c r="AB225" s="8">
        <v>0</v>
      </c>
      <c r="AC225" s="8">
        <v>1.45</v>
      </c>
      <c r="AD225" s="8">
        <v>2</v>
      </c>
      <c r="AE225" s="8">
        <v>1</v>
      </c>
      <c r="AF225" s="11">
        <v>0.5</v>
      </c>
      <c r="AG225" s="8">
        <v>0</v>
      </c>
      <c r="AH225" s="8">
        <v>1</v>
      </c>
      <c r="AI225" s="11">
        <v>0.5</v>
      </c>
      <c r="AJ225" s="8" t="s">
        <v>475</v>
      </c>
    </row>
    <row r="226" customFormat="1" ht="22" customHeight="1" spans="1:36">
      <c r="A226" s="8" t="s">
        <v>37</v>
      </c>
      <c r="B226" s="8" t="str">
        <f>VLOOKUP(F226,[1]Sheet1!$B:$E,3,FALSE)</f>
        <v>王森</v>
      </c>
      <c r="C226" s="9" t="str">
        <f>VLOOKUP(F226,[1]Sheet1!$B:$E,4,FALSE)</f>
        <v>A</v>
      </c>
      <c r="D226" s="8" t="s">
        <v>476</v>
      </c>
      <c r="E226" s="8">
        <v>4.8</v>
      </c>
      <c r="F226" s="10">
        <v>16489064</v>
      </c>
      <c r="G226" s="8">
        <v>317</v>
      </c>
      <c r="H226" s="8">
        <v>685.62</v>
      </c>
      <c r="I226" s="8">
        <v>84.15</v>
      </c>
      <c r="J226" s="8">
        <v>68.56</v>
      </c>
      <c r="K226" s="8">
        <v>4841.26</v>
      </c>
      <c r="L226" s="8">
        <v>906</v>
      </c>
      <c r="M226" s="11">
        <v>0.0982</v>
      </c>
      <c r="N226" s="11">
        <v>0.1124</v>
      </c>
      <c r="O226" s="8">
        <v>10</v>
      </c>
      <c r="P226" s="8">
        <v>3927</v>
      </c>
      <c r="Q226" s="11">
        <v>0.0914</v>
      </c>
      <c r="R226" s="11">
        <v>0.2813</v>
      </c>
      <c r="S226" s="8">
        <v>107</v>
      </c>
      <c r="T226" s="11">
        <v>0.0909</v>
      </c>
      <c r="U226" s="11">
        <v>0.3554</v>
      </c>
      <c r="V226" s="11">
        <v>0.2377</v>
      </c>
      <c r="W226" s="11">
        <v>0.2998</v>
      </c>
      <c r="X226" s="8">
        <v>49.5</v>
      </c>
      <c r="Y226" s="8">
        <v>56</v>
      </c>
      <c r="Z226" s="8">
        <v>0.88</v>
      </c>
      <c r="AA226" s="8">
        <v>49.5</v>
      </c>
      <c r="AB226" s="8">
        <v>7.22</v>
      </c>
      <c r="AC226" s="8">
        <v>2.86</v>
      </c>
      <c r="AD226" s="8">
        <v>1</v>
      </c>
      <c r="AE226" s="8">
        <v>1</v>
      </c>
      <c r="AF226" s="11">
        <v>1</v>
      </c>
      <c r="AG226" s="8">
        <v>0</v>
      </c>
      <c r="AH226" s="8">
        <v>0</v>
      </c>
      <c r="AI226" s="11">
        <v>0</v>
      </c>
      <c r="AJ226" s="8" t="s">
        <v>477</v>
      </c>
    </row>
    <row r="227" customFormat="1" ht="22" customHeight="1" spans="1:36">
      <c r="A227" s="8" t="s">
        <v>37</v>
      </c>
      <c r="B227" s="8" t="e">
        <f>VLOOKUP(F227,[1]Sheet1!$B:$E,3,FALSE)</f>
        <v>#N/A</v>
      </c>
      <c r="C227" s="8" t="e">
        <f>VLOOKUP(F227,[1]Sheet1!$B:$E,4,FALSE)</f>
        <v>#N/A</v>
      </c>
      <c r="D227" s="8" t="s">
        <v>478</v>
      </c>
      <c r="E227" s="8">
        <v>4.6</v>
      </c>
      <c r="F227" s="10">
        <v>26474721</v>
      </c>
      <c r="G227" s="8">
        <v>520</v>
      </c>
      <c r="H227" s="8">
        <v>683.48</v>
      </c>
      <c r="I227" s="8">
        <v>38.54</v>
      </c>
      <c r="J227" s="8">
        <v>29.72</v>
      </c>
      <c r="K227" s="8">
        <v>1135.75</v>
      </c>
      <c r="L227" s="8">
        <v>1536</v>
      </c>
      <c r="M227" s="11">
        <v>0.0768</v>
      </c>
      <c r="N227" s="11">
        <v>0.1949</v>
      </c>
      <c r="O227" s="8">
        <v>23</v>
      </c>
      <c r="P227" s="8">
        <v>2262</v>
      </c>
      <c r="Q227" s="11">
        <v>0.0712</v>
      </c>
      <c r="R227" s="11">
        <v>0.2795</v>
      </c>
      <c r="S227" s="8">
        <v>46</v>
      </c>
      <c r="T227" s="11">
        <v>0.1562</v>
      </c>
      <c r="U227" s="11">
        <v>0.1728</v>
      </c>
      <c r="V227" s="11">
        <v>0.1959</v>
      </c>
      <c r="W227" s="11">
        <v>0.2697</v>
      </c>
      <c r="X227" s="8">
        <v>0</v>
      </c>
      <c r="Y227" s="8">
        <v>0</v>
      </c>
      <c r="Z227" s="8">
        <v>-0.01</v>
      </c>
      <c r="AA227" s="8">
        <v>0</v>
      </c>
      <c r="AB227" s="8">
        <v>0</v>
      </c>
      <c r="AC227" s="8">
        <v>2.95</v>
      </c>
      <c r="AD227" s="8">
        <v>0</v>
      </c>
      <c r="AE227" s="8">
        <v>0</v>
      </c>
      <c r="AF227" s="11">
        <v>0</v>
      </c>
      <c r="AG227" s="8">
        <v>0</v>
      </c>
      <c r="AH227" s="8">
        <v>0</v>
      </c>
      <c r="AI227" s="11">
        <v>0</v>
      </c>
      <c r="AJ227" s="8" t="s">
        <v>479</v>
      </c>
    </row>
    <row r="228" customFormat="1" ht="22" customHeight="1" spans="1:36">
      <c r="A228" s="8" t="s">
        <v>37</v>
      </c>
      <c r="B228" s="8" t="e">
        <f>VLOOKUP(F228,[1]Sheet1!$B:$E,3,FALSE)</f>
        <v>#N/A</v>
      </c>
      <c r="C228" s="8" t="e">
        <f>VLOOKUP(F228,[1]Sheet1!$B:$E,4,FALSE)</f>
        <v>#N/A</v>
      </c>
      <c r="D228" s="8" t="s">
        <v>480</v>
      </c>
      <c r="E228" s="8">
        <v>4.6</v>
      </c>
      <c r="F228" s="10">
        <v>33769616</v>
      </c>
      <c r="G228" s="8">
        <v>294</v>
      </c>
      <c r="H228" s="8">
        <v>677.83</v>
      </c>
      <c r="I228" s="8">
        <v>49.11</v>
      </c>
      <c r="J228" s="8">
        <v>37.66</v>
      </c>
      <c r="K228" s="8">
        <v>3785.86</v>
      </c>
      <c r="L228" s="8">
        <v>350</v>
      </c>
      <c r="M228" s="11">
        <v>0.1257</v>
      </c>
      <c r="N228" s="11">
        <v>0.4091</v>
      </c>
      <c r="O228" s="8">
        <v>18</v>
      </c>
      <c r="P228" s="8">
        <v>4701</v>
      </c>
      <c r="Q228" s="11">
        <v>0.0862</v>
      </c>
      <c r="R228" s="11">
        <v>0.2025</v>
      </c>
      <c r="S228" s="8">
        <v>83</v>
      </c>
      <c r="T228" s="11">
        <v>0.2406</v>
      </c>
      <c r="U228" s="11">
        <v>0.5294</v>
      </c>
      <c r="V228" s="11">
        <v>0.1978</v>
      </c>
      <c r="W228" s="11">
        <v>0.2846</v>
      </c>
      <c r="X228" s="8">
        <v>0</v>
      </c>
      <c r="Y228" s="8">
        <v>0</v>
      </c>
      <c r="Z228" s="8">
        <v>-0.01</v>
      </c>
      <c r="AA228" s="8">
        <v>0</v>
      </c>
      <c r="AB228" s="8">
        <v>0</v>
      </c>
      <c r="AC228" s="8">
        <v>1.19</v>
      </c>
      <c r="AD228" s="8">
        <v>0</v>
      </c>
      <c r="AE228" s="8">
        <v>0</v>
      </c>
      <c r="AF228" s="11">
        <v>0</v>
      </c>
      <c r="AG228" s="8">
        <v>0</v>
      </c>
      <c r="AH228" s="8">
        <v>0</v>
      </c>
      <c r="AI228" s="11">
        <v>0</v>
      </c>
      <c r="AJ228" s="8" t="s">
        <v>481</v>
      </c>
    </row>
    <row r="229" customFormat="1" ht="22" customHeight="1" spans="1:36">
      <c r="A229" s="8" t="s">
        <v>37</v>
      </c>
      <c r="B229" s="8" t="str">
        <f>VLOOKUP(F229,[1]Sheet1!$B:$E,3,FALSE)</f>
        <v>王森</v>
      </c>
      <c r="C229" s="9" t="str">
        <f>VLOOKUP(F229,[1]Sheet1!$B:$E,4,FALSE)</f>
        <v>S</v>
      </c>
      <c r="D229" s="8" t="s">
        <v>482</v>
      </c>
      <c r="E229" s="8">
        <v>4.7</v>
      </c>
      <c r="F229" s="10">
        <v>26911062</v>
      </c>
      <c r="G229" s="8">
        <v>573</v>
      </c>
      <c r="H229" s="8">
        <v>669.04</v>
      </c>
      <c r="I229" s="8">
        <v>45.72</v>
      </c>
      <c r="J229" s="8">
        <v>35.21</v>
      </c>
      <c r="K229" s="8">
        <v>4106.11</v>
      </c>
      <c r="L229" s="8">
        <v>833</v>
      </c>
      <c r="M229" s="11">
        <v>0.1236</v>
      </c>
      <c r="N229" s="11">
        <v>0.165</v>
      </c>
      <c r="O229" s="8">
        <v>19</v>
      </c>
      <c r="P229" s="8">
        <v>4567</v>
      </c>
      <c r="Q229" s="11">
        <v>0.0889</v>
      </c>
      <c r="R229" s="11">
        <v>0.266</v>
      </c>
      <c r="S229" s="8">
        <v>112</v>
      </c>
      <c r="T229" s="11">
        <v>0.1546</v>
      </c>
      <c r="U229" s="11">
        <v>0.2995</v>
      </c>
      <c r="V229" s="11">
        <v>0.2264</v>
      </c>
      <c r="W229" s="11">
        <v>0.2789</v>
      </c>
      <c r="X229" s="8">
        <v>0</v>
      </c>
      <c r="Y229" s="8">
        <v>0</v>
      </c>
      <c r="Z229" s="8">
        <v>-0.01</v>
      </c>
      <c r="AA229" s="8">
        <v>0</v>
      </c>
      <c r="AB229" s="8">
        <v>0</v>
      </c>
      <c r="AC229" s="8">
        <v>1.45</v>
      </c>
      <c r="AD229" s="8">
        <v>5</v>
      </c>
      <c r="AE229" s="8">
        <v>5</v>
      </c>
      <c r="AF229" s="11">
        <v>1</v>
      </c>
      <c r="AG229" s="8">
        <v>0</v>
      </c>
      <c r="AH229" s="8">
        <v>0</v>
      </c>
      <c r="AI229" s="11">
        <v>0</v>
      </c>
      <c r="AJ229" s="8" t="s">
        <v>483</v>
      </c>
    </row>
    <row r="230" customFormat="1" ht="22" customHeight="1" spans="1:36">
      <c r="A230" s="8" t="s">
        <v>37</v>
      </c>
      <c r="B230" s="8" t="str">
        <f>VLOOKUP(F230,[1]Sheet1!$B:$E,3,FALSE)</f>
        <v>王森</v>
      </c>
      <c r="C230" s="9" t="str">
        <f>VLOOKUP(F230,[1]Sheet1!$B:$E,4,FALSE)</f>
        <v>A</v>
      </c>
      <c r="D230" s="8" t="s">
        <v>484</v>
      </c>
      <c r="E230" s="8">
        <v>4.6</v>
      </c>
      <c r="F230" s="10">
        <v>25142919</v>
      </c>
      <c r="G230" s="8">
        <v>1143</v>
      </c>
      <c r="H230" s="8">
        <v>663.7</v>
      </c>
      <c r="I230" s="8">
        <v>25.26</v>
      </c>
      <c r="J230" s="8">
        <v>18.96</v>
      </c>
      <c r="K230" s="8">
        <v>4930.84</v>
      </c>
      <c r="L230" s="8">
        <v>2259</v>
      </c>
      <c r="M230" s="11">
        <v>0.0863</v>
      </c>
      <c r="N230" s="11">
        <v>0.1744</v>
      </c>
      <c r="O230" s="8">
        <v>35</v>
      </c>
      <c r="P230" s="8">
        <v>5023</v>
      </c>
      <c r="Q230" s="11">
        <v>0.089</v>
      </c>
      <c r="R230" s="11">
        <v>0.2483</v>
      </c>
      <c r="S230" s="8">
        <v>115</v>
      </c>
      <c r="T230" s="11">
        <v>0.1393</v>
      </c>
      <c r="U230" s="11">
        <v>0.2308</v>
      </c>
      <c r="V230" s="11">
        <v>0.1632</v>
      </c>
      <c r="W230" s="11">
        <v>0.2697</v>
      </c>
      <c r="X230" s="8">
        <v>0</v>
      </c>
      <c r="Y230" s="8">
        <v>0</v>
      </c>
      <c r="Z230" s="8">
        <v>-0.01</v>
      </c>
      <c r="AA230" s="8">
        <v>0</v>
      </c>
      <c r="AB230" s="8">
        <v>0</v>
      </c>
      <c r="AC230" s="8">
        <v>1.98</v>
      </c>
      <c r="AD230" s="8">
        <v>4</v>
      </c>
      <c r="AE230" s="8">
        <v>3</v>
      </c>
      <c r="AF230" s="11">
        <v>0.75</v>
      </c>
      <c r="AG230" s="8">
        <v>0</v>
      </c>
      <c r="AH230" s="8">
        <v>1</v>
      </c>
      <c r="AI230" s="11">
        <v>0.25</v>
      </c>
      <c r="AJ230" s="8" t="s">
        <v>485</v>
      </c>
    </row>
    <row r="231" customFormat="1" ht="22" customHeight="1" spans="1:36">
      <c r="A231" s="8" t="s">
        <v>37</v>
      </c>
      <c r="B231" s="8" t="str">
        <f>VLOOKUP(F231,[1]Sheet1!$B:$E,3,FALSE)</f>
        <v>岳贝贝</v>
      </c>
      <c r="C231" s="9" t="str">
        <f>VLOOKUP(F231,[1]Sheet1!$B:$E,4,FALSE)</f>
        <v>A</v>
      </c>
      <c r="D231" s="8" t="s">
        <v>486</v>
      </c>
      <c r="E231" s="8">
        <v>4.8</v>
      </c>
      <c r="F231" s="10">
        <v>34109141</v>
      </c>
      <c r="G231" s="8">
        <v>247</v>
      </c>
      <c r="H231" s="8">
        <v>658.42</v>
      </c>
      <c r="I231" s="8">
        <v>59.99</v>
      </c>
      <c r="J231" s="8">
        <v>43.89</v>
      </c>
      <c r="K231" s="8">
        <v>658.42</v>
      </c>
      <c r="L231" s="8">
        <v>1577</v>
      </c>
      <c r="M231" s="11">
        <v>0.0831</v>
      </c>
      <c r="N231" s="11">
        <v>0.1145</v>
      </c>
      <c r="O231" s="8">
        <v>15</v>
      </c>
      <c r="P231" s="8">
        <v>1577</v>
      </c>
      <c r="Q231" s="11">
        <v>0.0831</v>
      </c>
      <c r="R231" s="11">
        <v>0.1145</v>
      </c>
      <c r="S231" s="8">
        <v>15</v>
      </c>
      <c r="T231" s="11">
        <v>0.1232</v>
      </c>
      <c r="U231" s="11">
        <v>0</v>
      </c>
      <c r="V231" s="11">
        <v>0.1232</v>
      </c>
      <c r="W231" s="11">
        <v>0</v>
      </c>
      <c r="X231" s="8">
        <v>82.88</v>
      </c>
      <c r="Y231" s="8">
        <v>72</v>
      </c>
      <c r="Z231" s="8">
        <v>1.15</v>
      </c>
      <c r="AA231" s="8">
        <v>82.88</v>
      </c>
      <c r="AB231" s="8">
        <v>12.59</v>
      </c>
      <c r="AC231" s="8">
        <v>6.38</v>
      </c>
      <c r="AD231" s="8">
        <v>1</v>
      </c>
      <c r="AE231" s="8">
        <v>0</v>
      </c>
      <c r="AF231" s="11">
        <v>0</v>
      </c>
      <c r="AG231" s="8">
        <v>0</v>
      </c>
      <c r="AH231" s="8">
        <v>1</v>
      </c>
      <c r="AI231" s="11">
        <v>1</v>
      </c>
      <c r="AJ231" s="8" t="s">
        <v>59</v>
      </c>
    </row>
    <row r="232" customFormat="1" ht="22" customHeight="1" spans="1:36">
      <c r="A232" s="8" t="s">
        <v>37</v>
      </c>
      <c r="B232" s="8" t="str">
        <f>VLOOKUP(F232,[1]Sheet1!$B:$E,3,FALSE)</f>
        <v>徐从众</v>
      </c>
      <c r="C232" s="9" t="str">
        <f>VLOOKUP(F232,[1]Sheet1!$B:$E,4,FALSE)</f>
        <v>S</v>
      </c>
      <c r="D232" s="8" t="s">
        <v>487</v>
      </c>
      <c r="E232" s="8">
        <v>4.8</v>
      </c>
      <c r="F232" s="10">
        <v>32014962</v>
      </c>
      <c r="G232" s="8">
        <v>1212</v>
      </c>
      <c r="H232" s="8">
        <v>653.29</v>
      </c>
      <c r="I232" s="8">
        <v>26.97</v>
      </c>
      <c r="J232" s="8">
        <v>16.33</v>
      </c>
      <c r="K232" s="8">
        <v>2716.52</v>
      </c>
      <c r="L232" s="8">
        <v>1941</v>
      </c>
      <c r="M232" s="11">
        <v>0.0721</v>
      </c>
      <c r="N232" s="11">
        <v>0.2929</v>
      </c>
      <c r="O232" s="8">
        <v>40</v>
      </c>
      <c r="P232" s="8">
        <v>2018</v>
      </c>
      <c r="Q232" s="11">
        <v>0.108</v>
      </c>
      <c r="R232" s="11">
        <v>0.3532</v>
      </c>
      <c r="S232" s="8">
        <v>78</v>
      </c>
      <c r="T232" s="11">
        <v>0.2305</v>
      </c>
      <c r="U232" s="11">
        <v>0.4734</v>
      </c>
      <c r="V232" s="11">
        <v>0.228</v>
      </c>
      <c r="W232" s="11">
        <v>0.31</v>
      </c>
      <c r="X232" s="8">
        <v>56.16</v>
      </c>
      <c r="Y232" s="8">
        <v>51</v>
      </c>
      <c r="Z232" s="8">
        <v>1.1</v>
      </c>
      <c r="AA232" s="8">
        <v>56.16</v>
      </c>
      <c r="AB232" s="8">
        <v>8.6</v>
      </c>
      <c r="AC232" s="8">
        <v>1.6</v>
      </c>
      <c r="AD232" s="8">
        <v>0</v>
      </c>
      <c r="AE232" s="8">
        <v>0</v>
      </c>
      <c r="AF232" s="11">
        <v>0</v>
      </c>
      <c r="AG232" s="8">
        <v>0</v>
      </c>
      <c r="AH232" s="8">
        <v>0</v>
      </c>
      <c r="AI232" s="11">
        <v>0</v>
      </c>
      <c r="AJ232" s="8" t="s">
        <v>488</v>
      </c>
    </row>
    <row r="233" customFormat="1" ht="22" customHeight="1" spans="1:36">
      <c r="A233" s="8" t="s">
        <v>37</v>
      </c>
      <c r="B233" s="8" t="str">
        <f>VLOOKUP(F233,[1]Sheet1!$B:$E,3,FALSE)</f>
        <v>徐从众</v>
      </c>
      <c r="C233" s="9" t="str">
        <f>VLOOKUP(F233,[1]Sheet1!$B:$E,4,FALSE)</f>
        <v>S</v>
      </c>
      <c r="D233" s="8" t="s">
        <v>489</v>
      </c>
      <c r="E233" s="8">
        <v>4.4</v>
      </c>
      <c r="F233" s="10">
        <v>33265639</v>
      </c>
      <c r="G233" s="8">
        <v>1118</v>
      </c>
      <c r="H233" s="8">
        <v>650.49</v>
      </c>
      <c r="I233" s="8">
        <v>49.88</v>
      </c>
      <c r="J233" s="8">
        <v>34.24</v>
      </c>
      <c r="K233" s="8">
        <v>2179.3</v>
      </c>
      <c r="L233" s="8">
        <v>1874</v>
      </c>
      <c r="M233" s="11">
        <v>0.0704</v>
      </c>
      <c r="N233" s="11">
        <v>0.1439</v>
      </c>
      <c r="O233" s="8">
        <v>19</v>
      </c>
      <c r="P233" s="8">
        <v>3137</v>
      </c>
      <c r="Q233" s="11">
        <v>0.0704</v>
      </c>
      <c r="R233" s="11">
        <v>0.2308</v>
      </c>
      <c r="S233" s="8">
        <v>53</v>
      </c>
      <c r="T233" s="11">
        <v>0.1384</v>
      </c>
      <c r="U233" s="11">
        <v>0.432</v>
      </c>
      <c r="V233" s="11">
        <v>0.1905</v>
      </c>
      <c r="W233" s="11">
        <v>0.3331</v>
      </c>
      <c r="X233" s="8">
        <v>41.95</v>
      </c>
      <c r="Y233" s="8">
        <v>37</v>
      </c>
      <c r="Z233" s="8">
        <v>1.13</v>
      </c>
      <c r="AA233" s="8">
        <v>41.95</v>
      </c>
      <c r="AB233" s="8">
        <v>6.45</v>
      </c>
      <c r="AC233" s="8">
        <v>1.68</v>
      </c>
      <c r="AD233" s="8">
        <v>4</v>
      </c>
      <c r="AE233" s="8">
        <v>4</v>
      </c>
      <c r="AF233" s="11">
        <v>1</v>
      </c>
      <c r="AG233" s="8">
        <v>0</v>
      </c>
      <c r="AH233" s="8">
        <v>0</v>
      </c>
      <c r="AI233" s="11">
        <v>0</v>
      </c>
      <c r="AJ233" s="8" t="s">
        <v>490</v>
      </c>
    </row>
    <row r="234" customFormat="1" ht="22" customHeight="1" spans="1:36">
      <c r="A234" s="8" t="s">
        <v>37</v>
      </c>
      <c r="B234" s="8" t="str">
        <f>VLOOKUP(F234,[1]Sheet1!$B:$E,3,FALSE)</f>
        <v>徐从众</v>
      </c>
      <c r="C234" s="9" t="str">
        <f>VLOOKUP(F234,[1]Sheet1!$B:$E,4,FALSE)</f>
        <v>A</v>
      </c>
      <c r="D234" s="8" t="s">
        <v>491</v>
      </c>
      <c r="E234" s="8">
        <v>4.5</v>
      </c>
      <c r="F234" s="10">
        <v>32065115</v>
      </c>
      <c r="G234" s="8">
        <v>708</v>
      </c>
      <c r="H234" s="8">
        <v>648.94</v>
      </c>
      <c r="I234" s="8">
        <v>39.47</v>
      </c>
      <c r="J234" s="8">
        <v>21.63</v>
      </c>
      <c r="K234" s="8">
        <v>5090.5</v>
      </c>
      <c r="L234" s="8">
        <v>1599</v>
      </c>
      <c r="M234" s="11">
        <v>0.0957</v>
      </c>
      <c r="N234" s="11">
        <v>0.2026</v>
      </c>
      <c r="O234" s="8">
        <v>30</v>
      </c>
      <c r="P234" s="8">
        <v>6097</v>
      </c>
      <c r="Q234" s="11">
        <v>0.0735</v>
      </c>
      <c r="R234" s="11">
        <v>0.2612</v>
      </c>
      <c r="S234" s="8">
        <v>120</v>
      </c>
      <c r="T234" s="11">
        <v>0.1398</v>
      </c>
      <c r="U234" s="11">
        <v>0.3015</v>
      </c>
      <c r="V234" s="11">
        <v>0.1742</v>
      </c>
      <c r="W234" s="11">
        <v>0.2635</v>
      </c>
      <c r="X234" s="8">
        <v>68</v>
      </c>
      <c r="Y234" s="8">
        <v>64</v>
      </c>
      <c r="Z234" s="8">
        <v>1.06</v>
      </c>
      <c r="AA234" s="8">
        <v>68</v>
      </c>
      <c r="AB234" s="8">
        <v>10.48</v>
      </c>
      <c r="AC234" s="8">
        <v>2.26</v>
      </c>
      <c r="AD234" s="8">
        <v>0</v>
      </c>
      <c r="AE234" s="8">
        <v>0</v>
      </c>
      <c r="AF234" s="11">
        <v>0</v>
      </c>
      <c r="AG234" s="8">
        <v>0</v>
      </c>
      <c r="AH234" s="8">
        <v>0</v>
      </c>
      <c r="AI234" s="11">
        <v>0</v>
      </c>
      <c r="AJ234" s="8" t="s">
        <v>477</v>
      </c>
    </row>
    <row r="235" customFormat="1" ht="22" customHeight="1" spans="1:36">
      <c r="A235" s="8" t="s">
        <v>37</v>
      </c>
      <c r="B235" s="8" t="str">
        <f>VLOOKUP(F235,[1]Sheet1!$B:$E,3,FALSE)</f>
        <v>刘欢</v>
      </c>
      <c r="C235" s="9" t="str">
        <f>VLOOKUP(F235,[1]Sheet1!$B:$E,4,FALSE)</f>
        <v>A</v>
      </c>
      <c r="D235" s="8" t="s">
        <v>492</v>
      </c>
      <c r="E235" s="8">
        <v>4.6</v>
      </c>
      <c r="F235" s="10">
        <v>31025063</v>
      </c>
      <c r="G235" s="8">
        <v>1698</v>
      </c>
      <c r="H235" s="8">
        <v>646.24</v>
      </c>
      <c r="I235" s="8">
        <v>19.77</v>
      </c>
      <c r="J235" s="8">
        <v>11.97</v>
      </c>
      <c r="K235" s="8">
        <v>2643.14</v>
      </c>
      <c r="L235" s="8">
        <v>1853</v>
      </c>
      <c r="M235" s="11">
        <v>0.0939</v>
      </c>
      <c r="N235" s="11">
        <v>0.2931</v>
      </c>
      <c r="O235" s="8">
        <v>54</v>
      </c>
      <c r="P235" s="8">
        <v>3804</v>
      </c>
      <c r="Q235" s="11">
        <v>0.0886</v>
      </c>
      <c r="R235" s="11">
        <v>0.3175</v>
      </c>
      <c r="S235" s="8">
        <v>113</v>
      </c>
      <c r="T235" s="11">
        <v>0.2006</v>
      </c>
      <c r="U235" s="11">
        <v>0.3995</v>
      </c>
      <c r="V235" s="11">
        <v>0.2487</v>
      </c>
      <c r="W235" s="11">
        <v>0.3133</v>
      </c>
      <c r="X235" s="8">
        <v>0</v>
      </c>
      <c r="Y235" s="8">
        <v>0</v>
      </c>
      <c r="Z235" s="8">
        <v>-0.01</v>
      </c>
      <c r="AA235" s="8">
        <v>0</v>
      </c>
      <c r="AB235" s="8">
        <v>0</v>
      </c>
      <c r="AC235" s="8">
        <v>1.09</v>
      </c>
      <c r="AD235" s="8">
        <v>0</v>
      </c>
      <c r="AE235" s="8">
        <v>0</v>
      </c>
      <c r="AF235" s="11">
        <v>0</v>
      </c>
      <c r="AG235" s="8">
        <v>0</v>
      </c>
      <c r="AH235" s="8">
        <v>0</v>
      </c>
      <c r="AI235" s="11">
        <v>0</v>
      </c>
      <c r="AJ235" s="8" t="s">
        <v>493</v>
      </c>
    </row>
    <row r="236" customFormat="1" ht="22" customHeight="1" spans="1:36">
      <c r="A236" s="8" t="s">
        <v>37</v>
      </c>
      <c r="B236" s="8" t="str">
        <f>VLOOKUP(F236,[1]Sheet1!$B:$E,3,FALSE)</f>
        <v>王森</v>
      </c>
      <c r="C236" s="8">
        <f>VLOOKUP(F236,[1]Sheet1!$B:$E,4,FALSE)</f>
        <v>0</v>
      </c>
      <c r="D236" s="8" t="s">
        <v>494</v>
      </c>
      <c r="E236" s="8">
        <v>4.8</v>
      </c>
      <c r="F236" s="10">
        <v>33835828</v>
      </c>
      <c r="G236" s="8">
        <v>408</v>
      </c>
      <c r="H236" s="8">
        <v>642.91</v>
      </c>
      <c r="I236" s="8">
        <v>66.25</v>
      </c>
      <c r="J236" s="8">
        <v>49.45</v>
      </c>
      <c r="K236" s="8">
        <v>642.91</v>
      </c>
      <c r="L236" s="8">
        <v>1106</v>
      </c>
      <c r="M236" s="11">
        <v>0.1329</v>
      </c>
      <c r="N236" s="11">
        <v>0.0816</v>
      </c>
      <c r="O236" s="8">
        <v>13</v>
      </c>
      <c r="P236" s="8">
        <v>1106</v>
      </c>
      <c r="Q236" s="11">
        <v>0.1329</v>
      </c>
      <c r="R236" s="11">
        <v>0.0816</v>
      </c>
      <c r="S236" s="8">
        <v>13</v>
      </c>
      <c r="T236" s="11">
        <v>0.1483</v>
      </c>
      <c r="U236" s="11">
        <v>0.3125</v>
      </c>
      <c r="V236" s="11">
        <v>0.1562</v>
      </c>
      <c r="W236" s="11">
        <v>0.3125</v>
      </c>
      <c r="X236" s="8">
        <v>47.53</v>
      </c>
      <c r="Y236" s="8">
        <v>54</v>
      </c>
      <c r="Z236" s="8">
        <v>0.88</v>
      </c>
      <c r="AA236" s="8">
        <v>47.53</v>
      </c>
      <c r="AB236" s="8">
        <v>7.39</v>
      </c>
      <c r="AC236" s="8">
        <v>2.71</v>
      </c>
      <c r="AD236" s="8">
        <v>3</v>
      </c>
      <c r="AE236" s="8">
        <v>3</v>
      </c>
      <c r="AF236" s="11">
        <v>1</v>
      </c>
      <c r="AG236" s="8">
        <v>0</v>
      </c>
      <c r="AH236" s="8">
        <v>0</v>
      </c>
      <c r="AI236" s="11">
        <v>0</v>
      </c>
      <c r="AJ236" s="8" t="s">
        <v>495</v>
      </c>
    </row>
    <row r="237" customFormat="1" ht="22" customHeight="1" spans="1:36">
      <c r="A237" s="8" t="s">
        <v>37</v>
      </c>
      <c r="B237" s="8" t="str">
        <f>VLOOKUP(F237,[1]Sheet1!$B:$E,3,FALSE)</f>
        <v>徐从众</v>
      </c>
      <c r="C237" s="9" t="str">
        <f>VLOOKUP(F237,[1]Sheet1!$B:$E,4,FALSE)</f>
        <v>A</v>
      </c>
      <c r="D237" s="8" t="s">
        <v>496</v>
      </c>
      <c r="E237" s="8">
        <v>5</v>
      </c>
      <c r="F237" s="10">
        <v>28179185</v>
      </c>
      <c r="G237" s="8">
        <v>1328</v>
      </c>
      <c r="H237" s="8">
        <v>641.2</v>
      </c>
      <c r="I237" s="8">
        <v>25.89</v>
      </c>
      <c r="J237" s="8">
        <v>14.91</v>
      </c>
      <c r="K237" s="8">
        <v>4260.52</v>
      </c>
      <c r="L237" s="8">
        <v>1113</v>
      </c>
      <c r="M237" s="11">
        <v>0.0907</v>
      </c>
      <c r="N237" s="11">
        <v>0.4257</v>
      </c>
      <c r="O237" s="8">
        <v>43</v>
      </c>
      <c r="P237" s="8">
        <v>4897</v>
      </c>
      <c r="Q237" s="11">
        <v>0.0882</v>
      </c>
      <c r="R237" s="11">
        <v>0.3981</v>
      </c>
      <c r="S237" s="8">
        <v>176</v>
      </c>
      <c r="T237" s="11">
        <v>0.2969</v>
      </c>
      <c r="U237" s="11">
        <v>0.4673</v>
      </c>
      <c r="V237" s="11">
        <v>0.2522</v>
      </c>
      <c r="W237" s="11">
        <v>0.35</v>
      </c>
      <c r="X237" s="8">
        <v>66.43</v>
      </c>
      <c r="Y237" s="8">
        <v>52</v>
      </c>
      <c r="Z237" s="8">
        <v>1.28</v>
      </c>
      <c r="AA237" s="8">
        <v>66.43</v>
      </c>
      <c r="AB237" s="8">
        <v>10.36</v>
      </c>
      <c r="AC237" s="8">
        <v>0.84</v>
      </c>
      <c r="AD237" s="8">
        <v>6</v>
      </c>
      <c r="AE237" s="8">
        <v>6</v>
      </c>
      <c r="AF237" s="11">
        <v>1</v>
      </c>
      <c r="AG237" s="8">
        <v>0</v>
      </c>
      <c r="AH237" s="8">
        <v>0</v>
      </c>
      <c r="AI237" s="11">
        <v>0</v>
      </c>
      <c r="AJ237" s="8" t="s">
        <v>497</v>
      </c>
    </row>
    <row r="238" customFormat="1" ht="22" customHeight="1" spans="1:36">
      <c r="A238" s="8" t="s">
        <v>37</v>
      </c>
      <c r="B238" s="8" t="str">
        <f>VLOOKUP(F238,[1]Sheet1!$B:$E,3,FALSE)</f>
        <v>王森</v>
      </c>
      <c r="C238" s="9" t="str">
        <f>VLOOKUP(F238,[1]Sheet1!$B:$E,4,FALSE)</f>
        <v>S</v>
      </c>
      <c r="D238" s="12" t="s">
        <v>498</v>
      </c>
      <c r="E238" s="12">
        <v>4.3</v>
      </c>
      <c r="F238" s="13">
        <v>25003955</v>
      </c>
      <c r="G238" s="8">
        <v>669</v>
      </c>
      <c r="H238" s="8">
        <v>636.29</v>
      </c>
      <c r="I238" s="8">
        <v>35.04</v>
      </c>
      <c r="J238" s="8">
        <v>25.45</v>
      </c>
      <c r="K238" s="8">
        <v>3788.23</v>
      </c>
      <c r="L238" s="8">
        <v>1598</v>
      </c>
      <c r="M238" s="11">
        <v>0.1045</v>
      </c>
      <c r="N238" s="11">
        <v>0.1317</v>
      </c>
      <c r="O238" s="8">
        <v>25</v>
      </c>
      <c r="P238" s="8">
        <v>3830</v>
      </c>
      <c r="Q238" s="11">
        <v>0.0987</v>
      </c>
      <c r="R238" s="11">
        <v>0.2566</v>
      </c>
      <c r="S238" s="8">
        <v>99</v>
      </c>
      <c r="T238" s="11">
        <v>0.1247</v>
      </c>
      <c r="U238" s="11">
        <v>0.2609</v>
      </c>
      <c r="V238" s="11">
        <v>0.2226</v>
      </c>
      <c r="W238" s="11">
        <v>0.315</v>
      </c>
      <c r="X238" s="8">
        <v>49.65</v>
      </c>
      <c r="Y238" s="8">
        <v>53</v>
      </c>
      <c r="Z238" s="8">
        <v>0.94</v>
      </c>
      <c r="AA238" s="8">
        <v>49.65</v>
      </c>
      <c r="AB238" s="8">
        <v>7.8</v>
      </c>
      <c r="AC238" s="8">
        <v>2.39</v>
      </c>
      <c r="AD238" s="8">
        <v>3</v>
      </c>
      <c r="AE238" s="8">
        <v>2</v>
      </c>
      <c r="AF238" s="11">
        <v>0.6667</v>
      </c>
      <c r="AG238" s="8">
        <v>0</v>
      </c>
      <c r="AH238" s="8">
        <v>1</v>
      </c>
      <c r="AI238" s="11">
        <v>0.3333</v>
      </c>
      <c r="AJ238" s="8" t="s">
        <v>499</v>
      </c>
    </row>
    <row r="239" customFormat="1" ht="22" customHeight="1" spans="1:36">
      <c r="A239" s="8" t="s">
        <v>37</v>
      </c>
      <c r="B239" s="8" t="e">
        <f>VLOOKUP(F239,[1]Sheet1!$B:$E,3,FALSE)</f>
        <v>#N/A</v>
      </c>
      <c r="C239" s="8" t="e">
        <f>VLOOKUP(F239,[1]Sheet1!$B:$E,4,FALSE)</f>
        <v>#N/A</v>
      </c>
      <c r="D239" s="12" t="s">
        <v>500</v>
      </c>
      <c r="E239" s="12">
        <v>4.3</v>
      </c>
      <c r="F239" s="13">
        <v>8181698</v>
      </c>
      <c r="G239" s="8">
        <v>351</v>
      </c>
      <c r="H239" s="8">
        <v>632.36</v>
      </c>
      <c r="I239" s="8">
        <v>59.92</v>
      </c>
      <c r="J239" s="8">
        <v>45.17</v>
      </c>
      <c r="K239" s="8">
        <v>3771.32</v>
      </c>
      <c r="L239" s="8">
        <v>639</v>
      </c>
      <c r="M239" s="11">
        <v>0.1362</v>
      </c>
      <c r="N239" s="11">
        <v>0.1609</v>
      </c>
      <c r="O239" s="8">
        <v>14</v>
      </c>
      <c r="P239" s="8">
        <v>5136</v>
      </c>
      <c r="Q239" s="11">
        <v>0.0769</v>
      </c>
      <c r="R239" s="11">
        <v>0.2228</v>
      </c>
      <c r="S239" s="8">
        <v>90</v>
      </c>
      <c r="T239" s="11">
        <v>0.1339</v>
      </c>
      <c r="U239" s="11">
        <v>0.3043</v>
      </c>
      <c r="V239" s="11">
        <v>0.189</v>
      </c>
      <c r="W239" s="11">
        <v>0.2902</v>
      </c>
      <c r="X239" s="8">
        <v>0</v>
      </c>
      <c r="Y239" s="8">
        <v>0</v>
      </c>
      <c r="Z239" s="8">
        <v>-0.01</v>
      </c>
      <c r="AA239" s="8">
        <v>0</v>
      </c>
      <c r="AB239" s="8">
        <v>0</v>
      </c>
      <c r="AC239" s="8">
        <v>1.82</v>
      </c>
      <c r="AD239" s="8">
        <v>2</v>
      </c>
      <c r="AE239" s="8">
        <v>2</v>
      </c>
      <c r="AF239" s="11">
        <v>1</v>
      </c>
      <c r="AG239" s="8">
        <v>0</v>
      </c>
      <c r="AH239" s="8">
        <v>0</v>
      </c>
      <c r="AI239" s="11">
        <v>0</v>
      </c>
      <c r="AJ239" s="8" t="s">
        <v>501</v>
      </c>
    </row>
    <row r="240" customFormat="1" ht="22" customHeight="1" spans="1:36">
      <c r="A240" s="8" t="s">
        <v>37</v>
      </c>
      <c r="B240" s="8" t="e">
        <f>VLOOKUP(F240,[1]Sheet1!$B:$E,3,FALSE)</f>
        <v>#N/A</v>
      </c>
      <c r="C240" s="8" t="e">
        <f>VLOOKUP(F240,[1]Sheet1!$B:$E,4,FALSE)</f>
        <v>#N/A</v>
      </c>
      <c r="D240" s="8" t="s">
        <v>502</v>
      </c>
      <c r="E240" s="8">
        <v>4.6</v>
      </c>
      <c r="F240" s="10">
        <v>15700505</v>
      </c>
      <c r="G240" s="8">
        <v>550</v>
      </c>
      <c r="H240" s="8">
        <v>628.85</v>
      </c>
      <c r="I240" s="8">
        <v>43.52</v>
      </c>
      <c r="J240" s="8">
        <v>29.95</v>
      </c>
      <c r="K240" s="8">
        <v>3491.54</v>
      </c>
      <c r="L240" s="8">
        <v>1247</v>
      </c>
      <c r="M240" s="11">
        <v>0.0658</v>
      </c>
      <c r="N240" s="11">
        <v>0.2561</v>
      </c>
      <c r="O240" s="8">
        <v>21</v>
      </c>
      <c r="P240" s="8">
        <v>1225</v>
      </c>
      <c r="Q240" s="11">
        <v>0.1069</v>
      </c>
      <c r="R240" s="11">
        <v>0.2672</v>
      </c>
      <c r="S240" s="8">
        <v>36</v>
      </c>
      <c r="T240" s="11">
        <v>0.0893</v>
      </c>
      <c r="U240" s="11">
        <v>0.2087</v>
      </c>
      <c r="V240" s="11">
        <v>0.2568</v>
      </c>
      <c r="W240" s="11">
        <v>0.3085</v>
      </c>
      <c r="X240" s="8">
        <v>35.66</v>
      </c>
      <c r="Y240" s="8">
        <v>46</v>
      </c>
      <c r="Z240" s="8">
        <v>0.78</v>
      </c>
      <c r="AA240" s="8">
        <v>35.66</v>
      </c>
      <c r="AB240" s="8">
        <v>5.67</v>
      </c>
      <c r="AC240" s="8">
        <v>2.27</v>
      </c>
      <c r="AD240" s="8">
        <v>3</v>
      </c>
      <c r="AE240" s="8">
        <v>3</v>
      </c>
      <c r="AF240" s="11">
        <v>1</v>
      </c>
      <c r="AG240" s="8">
        <v>0</v>
      </c>
      <c r="AH240" s="8">
        <v>0</v>
      </c>
      <c r="AI240" s="11">
        <v>0</v>
      </c>
      <c r="AJ240" s="8" t="s">
        <v>503</v>
      </c>
    </row>
    <row r="241" customFormat="1" ht="22" customHeight="1" spans="1:36">
      <c r="A241" s="8" t="s">
        <v>37</v>
      </c>
      <c r="B241" s="8" t="str">
        <f>VLOOKUP(F241,[1]Sheet1!$B:$E,3,FALSE)</f>
        <v>王森</v>
      </c>
      <c r="C241" s="9" t="str">
        <f>VLOOKUP(F241,[1]Sheet1!$B:$E,4,FALSE)</f>
        <v>A</v>
      </c>
      <c r="D241" s="8" t="s">
        <v>504</v>
      </c>
      <c r="E241" s="8">
        <v>4.6</v>
      </c>
      <c r="F241" s="10">
        <v>29755384</v>
      </c>
      <c r="G241" s="8">
        <v>906</v>
      </c>
      <c r="H241" s="8">
        <v>625.36</v>
      </c>
      <c r="I241" s="8">
        <v>27.26</v>
      </c>
      <c r="J241" s="8">
        <v>18.95</v>
      </c>
      <c r="K241" s="8">
        <v>2220.87</v>
      </c>
      <c r="L241" s="8">
        <v>1338</v>
      </c>
      <c r="M241" s="11">
        <v>0.1241</v>
      </c>
      <c r="N241" s="11">
        <v>0.1988</v>
      </c>
      <c r="O241" s="8">
        <v>33</v>
      </c>
      <c r="P241" s="8">
        <v>2864</v>
      </c>
      <c r="Q241" s="11">
        <v>0.0821</v>
      </c>
      <c r="R241" s="11">
        <v>0.2468</v>
      </c>
      <c r="S241" s="8">
        <v>61</v>
      </c>
      <c r="T241" s="11">
        <v>0.1699</v>
      </c>
      <c r="U241" s="11">
        <v>0.2904</v>
      </c>
      <c r="V241" s="11">
        <v>0.1982</v>
      </c>
      <c r="W241" s="11">
        <v>0.292</v>
      </c>
      <c r="X241" s="8">
        <v>0</v>
      </c>
      <c r="Y241" s="8">
        <v>0</v>
      </c>
      <c r="Z241" s="8">
        <v>-0.01</v>
      </c>
      <c r="AA241" s="8">
        <v>0</v>
      </c>
      <c r="AB241" s="8">
        <v>0</v>
      </c>
      <c r="AC241" s="8">
        <v>1.48</v>
      </c>
      <c r="AD241" s="8">
        <v>1</v>
      </c>
      <c r="AE241" s="8">
        <v>1</v>
      </c>
      <c r="AF241" s="11">
        <v>1</v>
      </c>
      <c r="AG241" s="8">
        <v>0</v>
      </c>
      <c r="AH241" s="8">
        <v>0</v>
      </c>
      <c r="AI241" s="11">
        <v>0</v>
      </c>
      <c r="AJ241" s="8" t="s">
        <v>505</v>
      </c>
    </row>
    <row r="242" customFormat="1" ht="22" customHeight="1" spans="1:36">
      <c r="A242" s="8" t="s">
        <v>37</v>
      </c>
      <c r="B242" s="8" t="str">
        <f>VLOOKUP(F242,[1]Sheet1!$B:$E,3,FALSE)</f>
        <v>徐从众</v>
      </c>
      <c r="C242" s="9" t="str">
        <f>VLOOKUP(F242,[1]Sheet1!$B:$E,4,FALSE)</f>
        <v>S</v>
      </c>
      <c r="D242" s="8" t="s">
        <v>506</v>
      </c>
      <c r="E242" s="8">
        <v>4.7</v>
      </c>
      <c r="F242" s="10">
        <v>28384641</v>
      </c>
      <c r="G242" s="8">
        <v>270</v>
      </c>
      <c r="H242" s="8">
        <v>613.71</v>
      </c>
      <c r="I242" s="8">
        <v>126.97</v>
      </c>
      <c r="J242" s="8">
        <v>102.29</v>
      </c>
      <c r="K242" s="8">
        <v>2444.85</v>
      </c>
      <c r="L242" s="8">
        <v>583</v>
      </c>
      <c r="M242" s="11">
        <v>0.1269</v>
      </c>
      <c r="N242" s="11">
        <v>0.0811</v>
      </c>
      <c r="O242" s="8">
        <v>6</v>
      </c>
      <c r="P242" s="8">
        <v>2572</v>
      </c>
      <c r="Q242" s="11">
        <v>0.0883</v>
      </c>
      <c r="R242" s="11">
        <v>0.2555</v>
      </c>
      <c r="S242" s="8">
        <v>61</v>
      </c>
      <c r="T242" s="11">
        <v>0.1136</v>
      </c>
      <c r="U242" s="11">
        <v>0.3151</v>
      </c>
      <c r="V242" s="11">
        <v>0.2204</v>
      </c>
      <c r="W242" s="11">
        <v>0.2981</v>
      </c>
      <c r="X242" s="8">
        <v>0</v>
      </c>
      <c r="Y242" s="8">
        <v>0</v>
      </c>
      <c r="Z242" s="8">
        <v>-0.01</v>
      </c>
      <c r="AA242" s="8">
        <v>0</v>
      </c>
      <c r="AB242" s="8">
        <v>0</v>
      </c>
      <c r="AC242" s="8">
        <v>2.16</v>
      </c>
      <c r="AD242" s="8">
        <v>0</v>
      </c>
      <c r="AE242" s="8">
        <v>0</v>
      </c>
      <c r="AF242" s="11">
        <v>0</v>
      </c>
      <c r="AG242" s="8">
        <v>0</v>
      </c>
      <c r="AH242" s="8">
        <v>0</v>
      </c>
      <c r="AI242" s="11">
        <v>0</v>
      </c>
      <c r="AJ242" s="8" t="s">
        <v>507</v>
      </c>
    </row>
    <row r="243" customFormat="1" ht="22" customHeight="1" spans="1:36">
      <c r="A243" s="8" t="s">
        <v>37</v>
      </c>
      <c r="B243" s="8" t="str">
        <f>VLOOKUP(F243,[1]Sheet1!$B:$E,3,FALSE)</f>
        <v>刘欢</v>
      </c>
      <c r="C243" s="9" t="str">
        <f>VLOOKUP(F243,[1]Sheet1!$B:$E,4,FALSE)</f>
        <v>A</v>
      </c>
      <c r="D243" s="8" t="s">
        <v>508</v>
      </c>
      <c r="E243" s="8">
        <v>4.7</v>
      </c>
      <c r="F243" s="10">
        <v>5600060</v>
      </c>
      <c r="G243" s="8">
        <v>451</v>
      </c>
      <c r="H243" s="8">
        <v>613.51</v>
      </c>
      <c r="I243" s="8">
        <v>48.74</v>
      </c>
      <c r="J243" s="8">
        <v>36.09</v>
      </c>
      <c r="K243" s="8">
        <v>2886.43</v>
      </c>
      <c r="L243" s="8">
        <v>993</v>
      </c>
      <c r="M243" s="11">
        <v>0.0765</v>
      </c>
      <c r="N243" s="11">
        <v>0.2237</v>
      </c>
      <c r="O243" s="8">
        <v>17</v>
      </c>
      <c r="P243" s="8">
        <v>2660</v>
      </c>
      <c r="Q243" s="11">
        <v>0.1045</v>
      </c>
      <c r="R243" s="11">
        <v>0.3345</v>
      </c>
      <c r="S243" s="8">
        <v>96</v>
      </c>
      <c r="T243" s="11">
        <v>0.1596</v>
      </c>
      <c r="U243" s="11">
        <v>0.367</v>
      </c>
      <c r="V243" s="11">
        <v>0.2497</v>
      </c>
      <c r="W243" s="11">
        <v>0.3398</v>
      </c>
      <c r="X243" s="8">
        <v>16.63</v>
      </c>
      <c r="Y243" s="8">
        <v>29</v>
      </c>
      <c r="Z243" s="8">
        <v>0.57</v>
      </c>
      <c r="AA243" s="8">
        <v>16.63</v>
      </c>
      <c r="AB243" s="8">
        <v>2.71</v>
      </c>
      <c r="AC243" s="8">
        <v>2.2</v>
      </c>
      <c r="AD243" s="8">
        <v>1</v>
      </c>
      <c r="AE243" s="8">
        <v>1</v>
      </c>
      <c r="AF243" s="11">
        <v>1</v>
      </c>
      <c r="AG243" s="8">
        <v>0</v>
      </c>
      <c r="AH243" s="8">
        <v>0</v>
      </c>
      <c r="AI243" s="11">
        <v>0</v>
      </c>
      <c r="AJ243" s="8" t="s">
        <v>509</v>
      </c>
    </row>
    <row r="244" customFormat="1" ht="22" customHeight="1" spans="1:36">
      <c r="A244" s="8" t="s">
        <v>37</v>
      </c>
      <c r="B244" s="8" t="str">
        <f>VLOOKUP(F244,[1]Sheet1!$B:$E,3,FALSE)</f>
        <v>岳贝贝</v>
      </c>
      <c r="C244" s="8" t="str">
        <f>VLOOKUP(F244,[1]Sheet1!$B:$E,4,FALSE)</f>
        <v>B</v>
      </c>
      <c r="D244" s="8" t="s">
        <v>510</v>
      </c>
      <c r="E244" s="8">
        <v>4.5</v>
      </c>
      <c r="F244" s="10">
        <v>32899913</v>
      </c>
      <c r="G244" s="8">
        <v>992</v>
      </c>
      <c r="H244" s="8">
        <v>605.9</v>
      </c>
      <c r="I244" s="8">
        <v>30.4</v>
      </c>
      <c r="J244" s="8">
        <v>20.2</v>
      </c>
      <c r="K244" s="8">
        <v>5369.44</v>
      </c>
      <c r="L244" s="8">
        <v>1359</v>
      </c>
      <c r="M244" s="11">
        <v>0.0868</v>
      </c>
      <c r="N244" s="11">
        <v>0.2627</v>
      </c>
      <c r="O244" s="8">
        <v>30</v>
      </c>
      <c r="P244" s="8">
        <v>6319</v>
      </c>
      <c r="Q244" s="11">
        <v>0.0755</v>
      </c>
      <c r="R244" s="11">
        <v>0.3857</v>
      </c>
      <c r="S244" s="8">
        <v>188</v>
      </c>
      <c r="T244" s="11">
        <v>0.1236</v>
      </c>
      <c r="U244" s="11">
        <v>0.3217</v>
      </c>
      <c r="V244" s="11">
        <v>0.2373</v>
      </c>
      <c r="W244" s="11">
        <v>0.3227</v>
      </c>
      <c r="X244" s="8">
        <v>0</v>
      </c>
      <c r="Y244" s="8">
        <v>0</v>
      </c>
      <c r="Z244" s="8">
        <v>-0.01</v>
      </c>
      <c r="AA244" s="8">
        <v>0</v>
      </c>
      <c r="AB244" s="8">
        <v>0</v>
      </c>
      <c r="AC244" s="8">
        <v>1.37</v>
      </c>
      <c r="AD244" s="8">
        <v>0</v>
      </c>
      <c r="AE244" s="8">
        <v>0</v>
      </c>
      <c r="AF244" s="11">
        <v>0</v>
      </c>
      <c r="AG244" s="8">
        <v>0</v>
      </c>
      <c r="AH244" s="8">
        <v>0</v>
      </c>
      <c r="AI244" s="11">
        <v>0</v>
      </c>
      <c r="AJ244" s="8" t="s">
        <v>511</v>
      </c>
    </row>
    <row r="245" customFormat="1" ht="22" customHeight="1" spans="1:36">
      <c r="A245" s="8" t="s">
        <v>37</v>
      </c>
      <c r="B245" s="8" t="str">
        <f>VLOOKUP(F245,[1]Sheet1!$B:$E,3,FALSE)</f>
        <v>岳贝贝</v>
      </c>
      <c r="C245" s="8" t="str">
        <f>VLOOKUP(F245,[1]Sheet1!$B:$E,4,FALSE)</f>
        <v>B</v>
      </c>
      <c r="D245" s="8" t="s">
        <v>512</v>
      </c>
      <c r="E245" s="8">
        <v>4.5</v>
      </c>
      <c r="F245" s="10">
        <v>33323560</v>
      </c>
      <c r="G245" s="8">
        <v>1180</v>
      </c>
      <c r="H245" s="8">
        <v>605.85</v>
      </c>
      <c r="I245" s="8">
        <v>28.69</v>
      </c>
      <c r="J245" s="8">
        <v>22.44</v>
      </c>
      <c r="K245" s="8">
        <v>3782.46</v>
      </c>
      <c r="L245" s="8">
        <v>1112</v>
      </c>
      <c r="M245" s="11">
        <v>0.0908</v>
      </c>
      <c r="N245" s="11">
        <v>0.2574</v>
      </c>
      <c r="O245" s="8">
        <v>27</v>
      </c>
      <c r="P245" s="8">
        <v>4124</v>
      </c>
      <c r="Q245" s="11">
        <v>0.08</v>
      </c>
      <c r="R245" s="11">
        <v>0.303</v>
      </c>
      <c r="S245" s="8">
        <v>102</v>
      </c>
      <c r="T245" s="11">
        <v>0.1323</v>
      </c>
      <c r="U245" s="11">
        <v>0.2172</v>
      </c>
      <c r="V245" s="11">
        <v>0.2045</v>
      </c>
      <c r="W245" s="11">
        <v>0.2621</v>
      </c>
      <c r="X245" s="8">
        <v>77.25</v>
      </c>
      <c r="Y245" s="8">
        <v>69</v>
      </c>
      <c r="Z245" s="8">
        <v>1.12</v>
      </c>
      <c r="AA245" s="8">
        <v>77.25</v>
      </c>
      <c r="AB245" s="8">
        <v>12.75</v>
      </c>
      <c r="AC245" s="8">
        <v>0.94</v>
      </c>
      <c r="AD245" s="8">
        <v>2</v>
      </c>
      <c r="AE245" s="8">
        <v>2</v>
      </c>
      <c r="AF245" s="11">
        <v>1</v>
      </c>
      <c r="AG245" s="8">
        <v>0</v>
      </c>
      <c r="AH245" s="8">
        <v>0</v>
      </c>
      <c r="AI245" s="11">
        <v>0</v>
      </c>
      <c r="AJ245" s="8" t="s">
        <v>513</v>
      </c>
    </row>
    <row r="246" customFormat="1" ht="22" customHeight="1" spans="1:36">
      <c r="A246" s="8" t="s">
        <v>37</v>
      </c>
      <c r="B246" s="8" t="str">
        <f>VLOOKUP(F246,[1]Sheet1!$B:$E,3,FALSE)</f>
        <v>岳贝贝</v>
      </c>
      <c r="C246" s="8" t="str">
        <f>VLOOKUP(F246,[1]Sheet1!$B:$E,4,FALSE)</f>
        <v>B</v>
      </c>
      <c r="D246" s="8" t="s">
        <v>514</v>
      </c>
      <c r="E246" s="8">
        <v>4.4</v>
      </c>
      <c r="F246" s="10">
        <v>31968647</v>
      </c>
      <c r="G246" s="8">
        <v>928</v>
      </c>
      <c r="H246" s="8">
        <v>603.1</v>
      </c>
      <c r="I246" s="8">
        <v>16.49</v>
      </c>
      <c r="J246" s="8">
        <v>12.06</v>
      </c>
      <c r="K246" s="8">
        <v>2269.13</v>
      </c>
      <c r="L246" s="8">
        <v>2828</v>
      </c>
      <c r="M246" s="11">
        <v>0.0527</v>
      </c>
      <c r="N246" s="11">
        <v>0.2886</v>
      </c>
      <c r="O246" s="8">
        <v>50</v>
      </c>
      <c r="P246" s="8">
        <v>4001</v>
      </c>
      <c r="Q246" s="11">
        <v>0.091</v>
      </c>
      <c r="R246" s="11">
        <v>0.3214</v>
      </c>
      <c r="S246" s="8">
        <v>126</v>
      </c>
      <c r="T246" s="11">
        <v>0.1172</v>
      </c>
      <c r="U246" s="11">
        <v>0.3782</v>
      </c>
      <c r="V246" s="11">
        <v>0.2533</v>
      </c>
      <c r="W246" s="11">
        <v>0.3186</v>
      </c>
      <c r="X246" s="8">
        <v>0</v>
      </c>
      <c r="Y246" s="8">
        <v>0</v>
      </c>
      <c r="Z246" s="8">
        <v>-0.01</v>
      </c>
      <c r="AA246" s="8">
        <v>0</v>
      </c>
      <c r="AB246" s="8">
        <v>0</v>
      </c>
      <c r="AC246" s="8">
        <v>3.05</v>
      </c>
      <c r="AD246" s="8">
        <v>0</v>
      </c>
      <c r="AE246" s="8">
        <v>0</v>
      </c>
      <c r="AF246" s="11">
        <v>0</v>
      </c>
      <c r="AG246" s="8">
        <v>0</v>
      </c>
      <c r="AH246" s="8">
        <v>0</v>
      </c>
      <c r="AI246" s="11">
        <v>0</v>
      </c>
      <c r="AJ246" s="8" t="s">
        <v>515</v>
      </c>
    </row>
    <row r="247" customFormat="1" ht="22" customHeight="1" spans="1:36">
      <c r="A247" s="8" t="s">
        <v>37</v>
      </c>
      <c r="B247" s="8" t="str">
        <f>VLOOKUP(F247,[1]Sheet1!$B:$E,3,FALSE)</f>
        <v>刘欢</v>
      </c>
      <c r="C247" s="8" t="str">
        <f>VLOOKUP(F247,[1]Sheet1!$B:$E,4,FALSE)</f>
        <v>B</v>
      </c>
      <c r="D247" s="12" t="s">
        <v>516</v>
      </c>
      <c r="E247" s="12">
        <v>4.3</v>
      </c>
      <c r="F247" s="13">
        <v>32828492</v>
      </c>
      <c r="G247" s="8">
        <v>639</v>
      </c>
      <c r="H247" s="8">
        <v>595.46</v>
      </c>
      <c r="I247" s="8">
        <v>35.68</v>
      </c>
      <c r="J247" s="8">
        <v>22.05</v>
      </c>
      <c r="K247" s="8">
        <v>2288.71</v>
      </c>
      <c r="L247" s="8">
        <v>1134</v>
      </c>
      <c r="M247" s="11">
        <v>0.1049</v>
      </c>
      <c r="N247" s="11">
        <v>0.2269</v>
      </c>
      <c r="O247" s="8">
        <v>27</v>
      </c>
      <c r="P247" s="8">
        <v>3777</v>
      </c>
      <c r="Q247" s="11">
        <v>0.0686</v>
      </c>
      <c r="R247" s="11">
        <v>0.251</v>
      </c>
      <c r="S247" s="8">
        <v>67</v>
      </c>
      <c r="T247" s="11">
        <v>0.04</v>
      </c>
      <c r="U247" s="11">
        <v>0.2273</v>
      </c>
      <c r="V247" s="11">
        <v>0.1432</v>
      </c>
      <c r="W247" s="11">
        <v>0.2119</v>
      </c>
      <c r="X247" s="8">
        <v>50</v>
      </c>
      <c r="Y247" s="8">
        <v>61</v>
      </c>
      <c r="Z247" s="8">
        <v>0.82</v>
      </c>
      <c r="AA247" s="8">
        <v>50</v>
      </c>
      <c r="AB247" s="8">
        <v>8.4</v>
      </c>
      <c r="AC247" s="8">
        <v>1.77</v>
      </c>
      <c r="AD247" s="8">
        <v>2</v>
      </c>
      <c r="AE247" s="8">
        <v>2</v>
      </c>
      <c r="AF247" s="11">
        <v>1</v>
      </c>
      <c r="AG247" s="8">
        <v>0</v>
      </c>
      <c r="AH247" s="8">
        <v>0</v>
      </c>
      <c r="AI247" s="11">
        <v>0</v>
      </c>
      <c r="AJ247" s="8" t="s">
        <v>517</v>
      </c>
    </row>
    <row r="248" customFormat="1" ht="22" customHeight="1" spans="1:36">
      <c r="A248" s="8" t="s">
        <v>37</v>
      </c>
      <c r="B248" s="8" t="str">
        <f>VLOOKUP(F248,[1]Sheet1!$B:$E,3,FALSE)</f>
        <v>刘欢</v>
      </c>
      <c r="C248" s="9" t="str">
        <f>VLOOKUP(F248,[1]Sheet1!$B:$E,4,FALSE)</f>
        <v>S</v>
      </c>
      <c r="D248" s="8" t="s">
        <v>518</v>
      </c>
      <c r="E248" s="8">
        <v>4.5</v>
      </c>
      <c r="F248" s="10">
        <v>29992242</v>
      </c>
      <c r="G248" s="8">
        <v>690</v>
      </c>
      <c r="H248" s="8">
        <v>590.63</v>
      </c>
      <c r="I248" s="8">
        <v>40.57</v>
      </c>
      <c r="J248" s="8">
        <v>28.13</v>
      </c>
      <c r="K248" s="8">
        <v>3214.7</v>
      </c>
      <c r="L248" s="8">
        <v>1266</v>
      </c>
      <c r="M248" s="11">
        <v>0.0798</v>
      </c>
      <c r="N248" s="11">
        <v>0.2079</v>
      </c>
      <c r="O248" s="8">
        <v>21</v>
      </c>
      <c r="P248" s="8">
        <v>3855</v>
      </c>
      <c r="Q248" s="11">
        <v>0.0778</v>
      </c>
      <c r="R248" s="11">
        <v>0.3833</v>
      </c>
      <c r="S248" s="8">
        <v>118</v>
      </c>
      <c r="T248" s="11">
        <v>0.145</v>
      </c>
      <c r="U248" s="11">
        <v>0.2967</v>
      </c>
      <c r="V248" s="11">
        <v>0.2217</v>
      </c>
      <c r="W248" s="11">
        <v>0.3158</v>
      </c>
      <c r="X248" s="8">
        <v>55.75</v>
      </c>
      <c r="Y248" s="8">
        <v>52</v>
      </c>
      <c r="Z248" s="8">
        <v>1.07</v>
      </c>
      <c r="AA248" s="8">
        <v>55.75</v>
      </c>
      <c r="AB248" s="8">
        <v>9.44</v>
      </c>
      <c r="AC248" s="8">
        <v>1.83</v>
      </c>
      <c r="AD248" s="8">
        <v>0</v>
      </c>
      <c r="AE248" s="8">
        <v>0</v>
      </c>
      <c r="AF248" s="11">
        <v>0</v>
      </c>
      <c r="AG248" s="8">
        <v>0</v>
      </c>
      <c r="AH248" s="8">
        <v>0</v>
      </c>
      <c r="AI248" s="11">
        <v>0</v>
      </c>
      <c r="AJ248" s="8" t="s">
        <v>519</v>
      </c>
    </row>
    <row r="249" customFormat="1" ht="22" customHeight="1" spans="1:36">
      <c r="A249" s="8" t="s">
        <v>37</v>
      </c>
      <c r="B249" s="8" t="str">
        <f>VLOOKUP(F249,[1]Sheet1!$B:$E,3,FALSE)</f>
        <v>岳贝贝</v>
      </c>
      <c r="C249" s="9" t="str">
        <f>VLOOKUP(F249,[1]Sheet1!$B:$E,4,FALSE)</f>
        <v>A</v>
      </c>
      <c r="D249" s="8" t="s">
        <v>520</v>
      </c>
      <c r="E249" s="8">
        <v>4.4</v>
      </c>
      <c r="F249" s="10">
        <v>27607561</v>
      </c>
      <c r="G249" s="8">
        <v>1056</v>
      </c>
      <c r="H249" s="8">
        <v>589.67</v>
      </c>
      <c r="I249" s="8">
        <v>30.73</v>
      </c>
      <c r="J249" s="8">
        <v>19.66</v>
      </c>
      <c r="K249" s="8">
        <v>4253.26</v>
      </c>
      <c r="L249" s="8">
        <v>1949</v>
      </c>
      <c r="M249" s="11">
        <v>0.0621</v>
      </c>
      <c r="N249" s="11">
        <v>0.2479</v>
      </c>
      <c r="O249" s="8">
        <v>30</v>
      </c>
      <c r="P249" s="8">
        <v>4778</v>
      </c>
      <c r="Q249" s="11">
        <v>0.0806</v>
      </c>
      <c r="R249" s="11">
        <v>0.3247</v>
      </c>
      <c r="S249" s="8">
        <v>128</v>
      </c>
      <c r="T249" s="11">
        <v>0.1094</v>
      </c>
      <c r="U249" s="11">
        <v>0.2202</v>
      </c>
      <c r="V249" s="11">
        <v>0.2266</v>
      </c>
      <c r="W249" s="11">
        <v>0.2808</v>
      </c>
      <c r="X249" s="8">
        <v>79.33</v>
      </c>
      <c r="Y249" s="8">
        <v>62</v>
      </c>
      <c r="Z249" s="8">
        <v>1.28</v>
      </c>
      <c r="AA249" s="8">
        <v>79.33</v>
      </c>
      <c r="AB249" s="8">
        <v>13.45</v>
      </c>
      <c r="AC249" s="8">
        <v>1.85</v>
      </c>
      <c r="AD249" s="8">
        <v>0</v>
      </c>
      <c r="AE249" s="8">
        <v>0</v>
      </c>
      <c r="AF249" s="11">
        <v>0</v>
      </c>
      <c r="AG249" s="8">
        <v>0</v>
      </c>
      <c r="AH249" s="8">
        <v>0</v>
      </c>
      <c r="AI249" s="11">
        <v>0</v>
      </c>
      <c r="AJ249" s="8" t="s">
        <v>521</v>
      </c>
    </row>
    <row r="250" customFormat="1" ht="22" customHeight="1" spans="1:36">
      <c r="A250" s="8" t="s">
        <v>37</v>
      </c>
      <c r="B250" s="8" t="e">
        <f>VLOOKUP(F250,[1]Sheet1!$B:$E,3,FALSE)</f>
        <v>#N/A</v>
      </c>
      <c r="C250" s="8" t="e">
        <f>VLOOKUP(F250,[1]Sheet1!$B:$E,4,FALSE)</f>
        <v>#N/A</v>
      </c>
      <c r="D250" s="8" t="s">
        <v>522</v>
      </c>
      <c r="E250" s="8">
        <v>4.8</v>
      </c>
      <c r="F250" s="10">
        <v>31745782</v>
      </c>
      <c r="G250" s="8">
        <v>1118</v>
      </c>
      <c r="H250" s="8">
        <v>587.51</v>
      </c>
      <c r="I250" s="8">
        <v>30.68</v>
      </c>
      <c r="J250" s="8">
        <v>19.58</v>
      </c>
      <c r="K250" s="8">
        <v>3957.41</v>
      </c>
      <c r="L250" s="8">
        <v>1217</v>
      </c>
      <c r="M250" s="11">
        <v>0.0863</v>
      </c>
      <c r="N250" s="11">
        <v>0.2762</v>
      </c>
      <c r="O250" s="8">
        <v>30</v>
      </c>
      <c r="P250" s="8">
        <v>5562</v>
      </c>
      <c r="Q250" s="11">
        <v>0.0759</v>
      </c>
      <c r="R250" s="11">
        <v>0.3768</v>
      </c>
      <c r="S250" s="8">
        <v>165</v>
      </c>
      <c r="T250" s="11">
        <v>0.1894</v>
      </c>
      <c r="U250" s="11">
        <v>0.4385</v>
      </c>
      <c r="V250" s="11">
        <v>0.2086</v>
      </c>
      <c r="W250" s="11">
        <v>0.312</v>
      </c>
      <c r="X250" s="8">
        <v>90</v>
      </c>
      <c r="Y250" s="8">
        <v>79</v>
      </c>
      <c r="Z250" s="8">
        <v>1.14</v>
      </c>
      <c r="AA250" s="8">
        <v>90</v>
      </c>
      <c r="AB250" s="8">
        <v>15.32</v>
      </c>
      <c r="AC250" s="8">
        <v>1.09</v>
      </c>
      <c r="AD250" s="8">
        <v>1</v>
      </c>
      <c r="AE250" s="8">
        <v>1</v>
      </c>
      <c r="AF250" s="11">
        <v>1</v>
      </c>
      <c r="AG250" s="8">
        <v>0</v>
      </c>
      <c r="AH250" s="8">
        <v>0</v>
      </c>
      <c r="AI250" s="11">
        <v>0</v>
      </c>
      <c r="AJ250" s="8" t="s">
        <v>523</v>
      </c>
    </row>
    <row r="251" customFormat="1" ht="22" customHeight="1" spans="1:36">
      <c r="A251" s="8" t="s">
        <v>37</v>
      </c>
      <c r="B251" s="8" t="str">
        <f>VLOOKUP(F251,[1]Sheet1!$B:$E,3,FALSE)</f>
        <v>刘欢</v>
      </c>
      <c r="C251" s="9" t="str">
        <f>VLOOKUP(F251,[1]Sheet1!$B:$E,4,FALSE)</f>
        <v>S</v>
      </c>
      <c r="D251" s="8" t="s">
        <v>524</v>
      </c>
      <c r="E251" s="8">
        <v>4.5</v>
      </c>
      <c r="F251" s="10">
        <v>27688407</v>
      </c>
      <c r="G251" s="8">
        <v>487</v>
      </c>
      <c r="H251" s="8">
        <v>583.12</v>
      </c>
      <c r="I251" s="8">
        <v>41.58</v>
      </c>
      <c r="J251" s="8">
        <v>30.69</v>
      </c>
      <c r="K251" s="8">
        <v>4124.64</v>
      </c>
      <c r="L251" s="8">
        <v>1533</v>
      </c>
      <c r="M251" s="11">
        <v>0.1024</v>
      </c>
      <c r="N251" s="11">
        <v>0.1146</v>
      </c>
      <c r="O251" s="8">
        <v>19</v>
      </c>
      <c r="P251" s="8">
        <v>3755</v>
      </c>
      <c r="Q251" s="11">
        <v>0.098</v>
      </c>
      <c r="R251" s="11">
        <v>0.2391</v>
      </c>
      <c r="S251" s="8">
        <v>91</v>
      </c>
      <c r="T251" s="11">
        <v>0.1268</v>
      </c>
      <c r="U251" s="11">
        <v>0.331</v>
      </c>
      <c r="V251" s="11">
        <v>0.2356</v>
      </c>
      <c r="W251" s="11">
        <v>0.2763</v>
      </c>
      <c r="X251" s="8">
        <v>90</v>
      </c>
      <c r="Y251" s="8">
        <v>89</v>
      </c>
      <c r="Z251" s="8">
        <v>1.01</v>
      </c>
      <c r="AA251" s="8">
        <v>90</v>
      </c>
      <c r="AB251" s="8">
        <v>15.43</v>
      </c>
      <c r="AC251" s="8">
        <v>3.15</v>
      </c>
      <c r="AD251" s="8">
        <v>0</v>
      </c>
      <c r="AE251" s="8">
        <v>0</v>
      </c>
      <c r="AF251" s="11">
        <v>0</v>
      </c>
      <c r="AG251" s="8">
        <v>0</v>
      </c>
      <c r="AH251" s="8">
        <v>0</v>
      </c>
      <c r="AI251" s="11">
        <v>0</v>
      </c>
      <c r="AJ251" s="8" t="s">
        <v>525</v>
      </c>
    </row>
    <row r="252" customFormat="1" ht="22" customHeight="1" spans="1:36">
      <c r="A252" s="8" t="s">
        <v>37</v>
      </c>
      <c r="B252" s="8" t="str">
        <f>VLOOKUP(F252,[1]Sheet1!$B:$E,3,FALSE)</f>
        <v>岳贝贝</v>
      </c>
      <c r="C252" s="8" t="str">
        <f>VLOOKUP(F252,[1]Sheet1!$B:$E,4,FALSE)</f>
        <v>D</v>
      </c>
      <c r="D252" s="8" t="s">
        <v>526</v>
      </c>
      <c r="E252" s="8">
        <v>4.5</v>
      </c>
      <c r="F252" s="10">
        <v>30052702</v>
      </c>
      <c r="G252" s="8">
        <v>927</v>
      </c>
      <c r="H252" s="8">
        <v>580.17</v>
      </c>
      <c r="I252" s="8">
        <v>19.51</v>
      </c>
      <c r="J252" s="8">
        <v>11.84</v>
      </c>
      <c r="K252" s="8">
        <v>2006.92</v>
      </c>
      <c r="L252" s="8">
        <v>1791</v>
      </c>
      <c r="M252" s="11">
        <v>0.0832</v>
      </c>
      <c r="N252" s="11">
        <v>0.3087</v>
      </c>
      <c r="O252" s="8">
        <v>49</v>
      </c>
      <c r="P252" s="8">
        <v>2031</v>
      </c>
      <c r="Q252" s="11">
        <v>0.1019</v>
      </c>
      <c r="R252" s="11">
        <v>0.3768</v>
      </c>
      <c r="S252" s="8">
        <v>83</v>
      </c>
      <c r="T252" s="11">
        <v>0.154</v>
      </c>
      <c r="U252" s="11">
        <v>0.2584</v>
      </c>
      <c r="V252" s="11">
        <v>0.2554</v>
      </c>
      <c r="W252" s="11">
        <v>0.3424</v>
      </c>
      <c r="X252" s="8">
        <v>20.32</v>
      </c>
      <c r="Y252" s="8">
        <v>30</v>
      </c>
      <c r="Z252" s="8">
        <v>0.68</v>
      </c>
      <c r="AA252" s="8">
        <v>20.32</v>
      </c>
      <c r="AB252" s="8">
        <v>3.5</v>
      </c>
      <c r="AC252" s="8">
        <v>1.93</v>
      </c>
      <c r="AD252" s="8">
        <v>2</v>
      </c>
      <c r="AE252" s="8">
        <v>1</v>
      </c>
      <c r="AF252" s="11">
        <v>0.5</v>
      </c>
      <c r="AG252" s="8">
        <v>1</v>
      </c>
      <c r="AH252" s="8">
        <v>0</v>
      </c>
      <c r="AI252" s="11">
        <v>0</v>
      </c>
      <c r="AJ252" s="8" t="s">
        <v>527</v>
      </c>
    </row>
    <row r="253" customFormat="1" ht="22" customHeight="1" spans="1:36">
      <c r="A253" s="8" t="s">
        <v>37</v>
      </c>
      <c r="B253" s="8" t="e">
        <f>VLOOKUP(F253,[1]Sheet1!$B:$E,3,FALSE)</f>
        <v>#N/A</v>
      </c>
      <c r="C253" s="8" t="e">
        <f>VLOOKUP(F253,[1]Sheet1!$B:$E,4,FALSE)</f>
        <v>#N/A</v>
      </c>
      <c r="D253" s="8" t="s">
        <v>528</v>
      </c>
      <c r="E253" s="8">
        <v>4.4</v>
      </c>
      <c r="F253" s="10">
        <v>34032226</v>
      </c>
      <c r="G253" s="8">
        <v>324</v>
      </c>
      <c r="H253" s="8">
        <v>568.9</v>
      </c>
      <c r="I253" s="8">
        <v>46.73</v>
      </c>
      <c r="J253" s="8">
        <v>33.46</v>
      </c>
      <c r="K253" s="8">
        <v>1349.06</v>
      </c>
      <c r="L253" s="8">
        <v>1003</v>
      </c>
      <c r="M253" s="11">
        <v>0.1256</v>
      </c>
      <c r="N253" s="11">
        <v>0.1349</v>
      </c>
      <c r="O253" s="8">
        <v>17</v>
      </c>
      <c r="P253" s="8">
        <v>2430</v>
      </c>
      <c r="Q253" s="11">
        <v>0.072</v>
      </c>
      <c r="R253" s="11">
        <v>0.24</v>
      </c>
      <c r="S253" s="8">
        <v>43</v>
      </c>
      <c r="T253" s="11">
        <v>0.1367</v>
      </c>
      <c r="U253" s="11">
        <v>1</v>
      </c>
      <c r="V253" s="11">
        <v>0.1749</v>
      </c>
      <c r="W253" s="11">
        <v>0.2242</v>
      </c>
      <c r="X253" s="8">
        <v>1.35</v>
      </c>
      <c r="Y253" s="8">
        <v>37</v>
      </c>
      <c r="Z253" s="8">
        <v>0.04</v>
      </c>
      <c r="AA253" s="8">
        <v>1.35</v>
      </c>
      <c r="AB253" s="8">
        <v>0.24</v>
      </c>
      <c r="AC253" s="8">
        <v>3.1</v>
      </c>
      <c r="AD253" s="8">
        <v>3</v>
      </c>
      <c r="AE253" s="8">
        <v>3</v>
      </c>
      <c r="AF253" s="11">
        <v>1</v>
      </c>
      <c r="AG253" s="8">
        <v>0</v>
      </c>
      <c r="AH253" s="8">
        <v>0</v>
      </c>
      <c r="AI253" s="11">
        <v>0</v>
      </c>
      <c r="AJ253" s="8" t="s">
        <v>529</v>
      </c>
    </row>
    <row r="254" customFormat="1" ht="22" customHeight="1" spans="1:36">
      <c r="A254" s="8" t="s">
        <v>37</v>
      </c>
      <c r="B254" s="8" t="str">
        <f>VLOOKUP(F254,[1]Sheet1!$B:$E,3,FALSE)</f>
        <v>岳贝贝</v>
      </c>
      <c r="C254" s="9" t="str">
        <f>VLOOKUP(F254,[1]Sheet1!$B:$E,4,FALSE)</f>
        <v>A</v>
      </c>
      <c r="D254" s="8" t="s">
        <v>530</v>
      </c>
      <c r="E254" s="8">
        <v>4.8</v>
      </c>
      <c r="F254" s="10">
        <v>32578094</v>
      </c>
      <c r="G254" s="8">
        <v>564</v>
      </c>
      <c r="H254" s="8">
        <v>555.78</v>
      </c>
      <c r="I254" s="8">
        <v>48.88</v>
      </c>
      <c r="J254" s="8">
        <v>30.88</v>
      </c>
      <c r="K254" s="8">
        <v>555.78</v>
      </c>
      <c r="L254" s="8">
        <v>1288</v>
      </c>
      <c r="M254" s="11">
        <v>0.0691</v>
      </c>
      <c r="N254" s="11">
        <v>0.2022</v>
      </c>
      <c r="O254" s="8">
        <v>18</v>
      </c>
      <c r="P254" s="8">
        <v>1288</v>
      </c>
      <c r="Q254" s="11">
        <v>0.0691</v>
      </c>
      <c r="R254" s="11">
        <v>0.2022</v>
      </c>
      <c r="S254" s="8">
        <v>18</v>
      </c>
      <c r="T254" s="11">
        <v>0.1543</v>
      </c>
      <c r="U254" s="11">
        <v>0.3267</v>
      </c>
      <c r="V254" s="11">
        <v>0.1941</v>
      </c>
      <c r="W254" s="11">
        <v>0.3267</v>
      </c>
      <c r="X254" s="8">
        <v>47.58</v>
      </c>
      <c r="Y254" s="8">
        <v>40</v>
      </c>
      <c r="Z254" s="8">
        <v>1.19</v>
      </c>
      <c r="AA254" s="8">
        <v>47.58</v>
      </c>
      <c r="AB254" s="8">
        <v>8.56</v>
      </c>
      <c r="AC254" s="8">
        <v>2.28</v>
      </c>
      <c r="AD254" s="8">
        <v>0</v>
      </c>
      <c r="AE254" s="8">
        <v>0</v>
      </c>
      <c r="AF254" s="11">
        <v>0</v>
      </c>
      <c r="AG254" s="8">
        <v>0</v>
      </c>
      <c r="AH254" s="8">
        <v>0</v>
      </c>
      <c r="AI254" s="11">
        <v>0</v>
      </c>
      <c r="AJ254" s="8" t="s">
        <v>45</v>
      </c>
    </row>
    <row r="255" customFormat="1" ht="22" customHeight="1" spans="1:36">
      <c r="A255" s="8" t="s">
        <v>37</v>
      </c>
      <c r="B255" s="8" t="str">
        <f>VLOOKUP(F255,[1]Sheet1!$B:$E,3,FALSE)</f>
        <v>岳贝贝</v>
      </c>
      <c r="C255" s="8" t="str">
        <f>VLOOKUP(F255,[1]Sheet1!$B:$E,4,FALSE)</f>
        <v>B</v>
      </c>
      <c r="D255" s="8" t="s">
        <v>531</v>
      </c>
      <c r="E255" s="8">
        <v>4.5</v>
      </c>
      <c r="F255" s="10">
        <v>25395878</v>
      </c>
      <c r="G255" s="8">
        <v>661</v>
      </c>
      <c r="H255" s="8">
        <v>555.26</v>
      </c>
      <c r="I255" s="8">
        <v>29.42</v>
      </c>
      <c r="J255" s="8">
        <v>19.83</v>
      </c>
      <c r="K255" s="8">
        <v>8742.29</v>
      </c>
      <c r="L255" s="8">
        <v>1629</v>
      </c>
      <c r="M255" s="11">
        <v>0.0608</v>
      </c>
      <c r="N255" s="11">
        <v>0.2828</v>
      </c>
      <c r="O255" s="8">
        <v>28</v>
      </c>
      <c r="P255" s="8">
        <v>6569</v>
      </c>
      <c r="Q255" s="11">
        <v>0.09</v>
      </c>
      <c r="R255" s="11">
        <v>0.3892</v>
      </c>
      <c r="S255" s="8">
        <v>236</v>
      </c>
      <c r="T255" s="11">
        <v>0.1044</v>
      </c>
      <c r="U255" s="11">
        <v>0.1316</v>
      </c>
      <c r="V255" s="11">
        <v>0.2466</v>
      </c>
      <c r="W255" s="11">
        <v>0.337</v>
      </c>
      <c r="X255" s="8">
        <v>50</v>
      </c>
      <c r="Y255" s="8">
        <v>59</v>
      </c>
      <c r="Z255" s="8">
        <v>0.85</v>
      </c>
      <c r="AA255" s="8">
        <v>50</v>
      </c>
      <c r="AB255" s="8">
        <v>9</v>
      </c>
      <c r="AC255" s="8">
        <v>2.46</v>
      </c>
      <c r="AD255" s="8">
        <v>0</v>
      </c>
      <c r="AE255" s="8">
        <v>0</v>
      </c>
      <c r="AF255" s="11">
        <v>0</v>
      </c>
      <c r="AG255" s="8">
        <v>0</v>
      </c>
      <c r="AH255" s="8">
        <v>0</v>
      </c>
      <c r="AI255" s="11">
        <v>0</v>
      </c>
      <c r="AJ255" s="8" t="s">
        <v>532</v>
      </c>
    </row>
    <row r="256" customFormat="1" ht="22" customHeight="1" spans="1:36">
      <c r="A256" s="8" t="s">
        <v>37</v>
      </c>
      <c r="B256" s="8" t="str">
        <f>VLOOKUP(F256,[1]Sheet1!$B:$E,3,FALSE)</f>
        <v>徐从众</v>
      </c>
      <c r="C256" s="9" t="str">
        <f>VLOOKUP(F256,[1]Sheet1!$B:$E,4,FALSE)</f>
        <v>A</v>
      </c>
      <c r="D256" s="8" t="s">
        <v>533</v>
      </c>
      <c r="E256" s="8">
        <v>4.5</v>
      </c>
      <c r="F256" s="10">
        <v>26899279</v>
      </c>
      <c r="G256" s="8">
        <v>343</v>
      </c>
      <c r="H256" s="8">
        <v>553.41</v>
      </c>
      <c r="I256" s="8">
        <v>72.77</v>
      </c>
      <c r="J256" s="8">
        <v>50.31</v>
      </c>
      <c r="K256" s="8">
        <v>2904.68</v>
      </c>
      <c r="L256" s="8">
        <v>948</v>
      </c>
      <c r="M256" s="11">
        <v>0.0897</v>
      </c>
      <c r="N256" s="11">
        <v>0.1294</v>
      </c>
      <c r="O256" s="8">
        <v>11</v>
      </c>
      <c r="P256" s="8">
        <v>4118</v>
      </c>
      <c r="Q256" s="11">
        <v>0.0743</v>
      </c>
      <c r="R256" s="11">
        <v>0.2124</v>
      </c>
      <c r="S256" s="8">
        <v>67</v>
      </c>
      <c r="T256" s="11">
        <v>0.0962</v>
      </c>
      <c r="U256" s="11">
        <v>0.2281</v>
      </c>
      <c r="V256" s="11">
        <v>0.1817</v>
      </c>
      <c r="W256" s="11">
        <v>0.2723</v>
      </c>
      <c r="X256" s="8">
        <v>54.08</v>
      </c>
      <c r="Y256" s="8">
        <v>76</v>
      </c>
      <c r="Z256" s="8">
        <v>0.71</v>
      </c>
      <c r="AA256" s="8">
        <v>54.08</v>
      </c>
      <c r="AB256" s="8">
        <v>9.77</v>
      </c>
      <c r="AC256" s="8">
        <v>2.76</v>
      </c>
      <c r="AD256" s="8">
        <v>0</v>
      </c>
      <c r="AE256" s="8">
        <v>0</v>
      </c>
      <c r="AF256" s="11">
        <v>0</v>
      </c>
      <c r="AG256" s="8">
        <v>0</v>
      </c>
      <c r="AH256" s="8">
        <v>0</v>
      </c>
      <c r="AI256" s="11">
        <v>0</v>
      </c>
      <c r="AJ256" s="8" t="s">
        <v>534</v>
      </c>
    </row>
    <row r="257" customFormat="1" ht="22" customHeight="1" spans="1:36">
      <c r="A257" s="8" t="s">
        <v>37</v>
      </c>
      <c r="B257" s="8" t="e">
        <f>VLOOKUP(F257,[1]Sheet1!$B:$E,3,FALSE)</f>
        <v>#N/A</v>
      </c>
      <c r="C257" s="8" t="e">
        <f>VLOOKUP(F257,[1]Sheet1!$B:$E,4,FALSE)</f>
        <v>#N/A</v>
      </c>
      <c r="D257" s="8" t="s">
        <v>535</v>
      </c>
      <c r="E257" s="8">
        <v>4.7</v>
      </c>
      <c r="F257" s="10">
        <v>34088387</v>
      </c>
      <c r="G257" s="8">
        <v>539</v>
      </c>
      <c r="H257" s="8">
        <v>551.93</v>
      </c>
      <c r="I257" s="8">
        <v>26.1</v>
      </c>
      <c r="J257" s="8">
        <v>13.46</v>
      </c>
      <c r="K257" s="8">
        <v>2886.43</v>
      </c>
      <c r="L257" s="8">
        <v>2083</v>
      </c>
      <c r="M257" s="11">
        <v>0.1272</v>
      </c>
      <c r="N257" s="11">
        <v>0.1509</v>
      </c>
      <c r="O257" s="8">
        <v>41</v>
      </c>
      <c r="P257" s="8">
        <v>2660</v>
      </c>
      <c r="Q257" s="11">
        <v>0.1045</v>
      </c>
      <c r="R257" s="11">
        <v>0.3345</v>
      </c>
      <c r="S257" s="8">
        <v>96</v>
      </c>
      <c r="T257" s="11">
        <v>0.1931</v>
      </c>
      <c r="U257" s="11">
        <v>0</v>
      </c>
      <c r="V257" s="11">
        <v>0.2497</v>
      </c>
      <c r="W257" s="11">
        <v>0.3398</v>
      </c>
      <c r="X257" s="8">
        <v>0</v>
      </c>
      <c r="Y257" s="8">
        <v>0</v>
      </c>
      <c r="Z257" s="8">
        <v>-0.01</v>
      </c>
      <c r="AA257" s="8">
        <v>0</v>
      </c>
      <c r="AB257" s="8">
        <v>0</v>
      </c>
      <c r="AC257" s="8">
        <v>3.86</v>
      </c>
      <c r="AD257" s="8">
        <v>6</v>
      </c>
      <c r="AE257" s="8">
        <v>6</v>
      </c>
      <c r="AF257" s="11">
        <v>1</v>
      </c>
      <c r="AG257" s="8">
        <v>0</v>
      </c>
      <c r="AH257" s="8">
        <v>0</v>
      </c>
      <c r="AI257" s="11">
        <v>0</v>
      </c>
      <c r="AJ257" s="8" t="s">
        <v>536</v>
      </c>
    </row>
    <row r="258" customFormat="1" ht="22" customHeight="1" spans="1:36">
      <c r="A258" s="8" t="s">
        <v>37</v>
      </c>
      <c r="B258" s="8" t="e">
        <f>VLOOKUP(F258,[1]Sheet1!$B:$E,3,FALSE)</f>
        <v>#N/A</v>
      </c>
      <c r="C258" s="8" t="e">
        <f>VLOOKUP(F258,[1]Sheet1!$B:$E,4,FALSE)</f>
        <v>#N/A</v>
      </c>
      <c r="D258" s="8" t="s">
        <v>537</v>
      </c>
      <c r="E258" s="8">
        <v>4.4</v>
      </c>
      <c r="F258" s="10">
        <v>16549107</v>
      </c>
      <c r="G258" s="8">
        <v>576</v>
      </c>
      <c r="H258" s="8">
        <v>551.43</v>
      </c>
      <c r="I258" s="8">
        <v>45.21</v>
      </c>
      <c r="J258" s="8">
        <v>29.02</v>
      </c>
      <c r="K258" s="8">
        <v>4708.75</v>
      </c>
      <c r="L258" s="8">
        <v>1295</v>
      </c>
      <c r="M258" s="11">
        <v>0.1097</v>
      </c>
      <c r="N258" s="11">
        <v>0.1268</v>
      </c>
      <c r="O258" s="8">
        <v>19</v>
      </c>
      <c r="P258" s="8">
        <v>3841</v>
      </c>
      <c r="Q258" s="11">
        <v>0.0937</v>
      </c>
      <c r="R258" s="11">
        <v>0.2278</v>
      </c>
      <c r="S258" s="8">
        <v>85</v>
      </c>
      <c r="T258" s="11">
        <v>0.1121</v>
      </c>
      <c r="U258" s="11">
        <v>0.1983</v>
      </c>
      <c r="V258" s="11">
        <v>0.2072</v>
      </c>
      <c r="W258" s="11">
        <v>0.2735</v>
      </c>
      <c r="X258" s="8">
        <v>0</v>
      </c>
      <c r="Y258" s="8">
        <v>0</v>
      </c>
      <c r="Z258" s="8">
        <v>-0.01</v>
      </c>
      <c r="AA258" s="8">
        <v>0</v>
      </c>
      <c r="AB258" s="8">
        <v>0</v>
      </c>
      <c r="AC258" s="8">
        <v>2.25</v>
      </c>
      <c r="AD258" s="8">
        <v>2</v>
      </c>
      <c r="AE258" s="8">
        <v>2</v>
      </c>
      <c r="AF258" s="11">
        <v>1</v>
      </c>
      <c r="AG258" s="8">
        <v>0</v>
      </c>
      <c r="AH258" s="8">
        <v>0</v>
      </c>
      <c r="AI258" s="11">
        <v>0</v>
      </c>
      <c r="AJ258" s="8" t="s">
        <v>538</v>
      </c>
    </row>
    <row r="259" customFormat="1" ht="22" customHeight="1" spans="1:36">
      <c r="A259" s="8" t="s">
        <v>37</v>
      </c>
      <c r="B259" s="8" t="str">
        <f>VLOOKUP(F259,[1]Sheet1!$B:$E,3,FALSE)</f>
        <v>徐从众</v>
      </c>
      <c r="C259" s="9" t="str">
        <f>VLOOKUP(F259,[1]Sheet1!$B:$E,4,FALSE)</f>
        <v>A</v>
      </c>
      <c r="D259" s="8" t="s">
        <v>539</v>
      </c>
      <c r="E259" s="8">
        <v>4.7</v>
      </c>
      <c r="F259" s="10">
        <v>18845063</v>
      </c>
      <c r="G259" s="8">
        <v>400</v>
      </c>
      <c r="H259" s="8">
        <v>549.42</v>
      </c>
      <c r="I259" s="8">
        <v>56.96</v>
      </c>
      <c r="J259" s="8">
        <v>42.26</v>
      </c>
      <c r="K259" s="8">
        <v>2835.26</v>
      </c>
      <c r="L259" s="8">
        <v>608</v>
      </c>
      <c r="M259" s="11">
        <v>0.1135</v>
      </c>
      <c r="N259" s="11">
        <v>0.2029</v>
      </c>
      <c r="O259" s="8">
        <v>13</v>
      </c>
      <c r="P259" s="8">
        <v>2324</v>
      </c>
      <c r="Q259" s="11">
        <v>0.0818</v>
      </c>
      <c r="R259" s="11">
        <v>0.2737</v>
      </c>
      <c r="S259" s="8">
        <v>54</v>
      </c>
      <c r="T259" s="11">
        <v>0.1338</v>
      </c>
      <c r="U259" s="11">
        <v>0.1983</v>
      </c>
      <c r="V259" s="11">
        <v>0.2013</v>
      </c>
      <c r="W259" s="11">
        <v>0.2801</v>
      </c>
      <c r="X259" s="8">
        <v>0</v>
      </c>
      <c r="Y259" s="8">
        <v>0</v>
      </c>
      <c r="Z259" s="8">
        <v>-0.01</v>
      </c>
      <c r="AA259" s="8">
        <v>0</v>
      </c>
      <c r="AB259" s="8">
        <v>0</v>
      </c>
      <c r="AC259" s="8">
        <v>1.52</v>
      </c>
      <c r="AD259" s="8">
        <v>1</v>
      </c>
      <c r="AE259" s="8">
        <v>1</v>
      </c>
      <c r="AF259" s="11">
        <v>1</v>
      </c>
      <c r="AG259" s="8">
        <v>0</v>
      </c>
      <c r="AH259" s="8">
        <v>0</v>
      </c>
      <c r="AI259" s="11">
        <v>0</v>
      </c>
      <c r="AJ259" s="8" t="s">
        <v>540</v>
      </c>
    </row>
    <row r="260" customFormat="1" ht="22" customHeight="1" spans="1:36">
      <c r="A260" s="8" t="s">
        <v>37</v>
      </c>
      <c r="B260" s="8" t="str">
        <f>VLOOKUP(F260,[1]Sheet1!$B:$E,3,FALSE)</f>
        <v>岳贝贝</v>
      </c>
      <c r="C260" s="8" t="str">
        <f>VLOOKUP(F260,[1]Sheet1!$B:$E,4,FALSE)</f>
        <v>B</v>
      </c>
      <c r="D260" s="8" t="s">
        <v>541</v>
      </c>
      <c r="E260" s="8">
        <v>4.7</v>
      </c>
      <c r="F260" s="10">
        <v>29092917</v>
      </c>
      <c r="G260" s="8">
        <v>486</v>
      </c>
      <c r="H260" s="8">
        <v>546.21</v>
      </c>
      <c r="I260" s="8">
        <v>41.6</v>
      </c>
      <c r="J260" s="8">
        <v>28.75</v>
      </c>
      <c r="K260" s="8">
        <v>1886.55</v>
      </c>
      <c r="L260" s="8">
        <v>1065</v>
      </c>
      <c r="M260" s="11">
        <v>0.0958</v>
      </c>
      <c r="N260" s="11">
        <v>0.1765</v>
      </c>
      <c r="O260" s="8">
        <v>19</v>
      </c>
      <c r="P260" s="8">
        <v>1881</v>
      </c>
      <c r="Q260" s="11">
        <v>0.0835</v>
      </c>
      <c r="R260" s="11">
        <v>0.2166</v>
      </c>
      <c r="S260" s="8">
        <v>36</v>
      </c>
      <c r="T260" s="11">
        <v>0.145</v>
      </c>
      <c r="U260" s="11">
        <v>0.3158</v>
      </c>
      <c r="V260" s="11">
        <v>0.227</v>
      </c>
      <c r="W260" s="11">
        <v>0.3163</v>
      </c>
      <c r="X260" s="8">
        <v>50</v>
      </c>
      <c r="Y260" s="8">
        <v>46</v>
      </c>
      <c r="Z260" s="8">
        <v>1.09</v>
      </c>
      <c r="AA260" s="8">
        <v>50</v>
      </c>
      <c r="AB260" s="8">
        <v>9.15</v>
      </c>
      <c r="AC260" s="8">
        <v>2.19</v>
      </c>
      <c r="AD260" s="8">
        <v>1</v>
      </c>
      <c r="AE260" s="8">
        <v>1</v>
      </c>
      <c r="AF260" s="11">
        <v>1</v>
      </c>
      <c r="AG260" s="8">
        <v>0</v>
      </c>
      <c r="AH260" s="8">
        <v>0</v>
      </c>
      <c r="AI260" s="11">
        <v>0</v>
      </c>
      <c r="AJ260" s="8" t="s">
        <v>542</v>
      </c>
    </row>
    <row r="261" customFormat="1" ht="22" customHeight="1" spans="1:36">
      <c r="A261" s="8" t="s">
        <v>37</v>
      </c>
      <c r="B261" s="8" t="str">
        <f>VLOOKUP(F261,[1]Sheet1!$B:$E,3,FALSE)</f>
        <v>岳贝贝</v>
      </c>
      <c r="C261" s="8" t="str">
        <f>VLOOKUP(F261,[1]Sheet1!$B:$E,4,FALSE)</f>
        <v>B</v>
      </c>
      <c r="D261" s="8" t="s">
        <v>543</v>
      </c>
      <c r="E261" s="8">
        <v>4.5</v>
      </c>
      <c r="F261" s="10">
        <v>31957574</v>
      </c>
      <c r="G261" s="8">
        <v>728</v>
      </c>
      <c r="H261" s="8">
        <v>545.71</v>
      </c>
      <c r="I261" s="8">
        <v>25.45</v>
      </c>
      <c r="J261" s="8">
        <v>17.05</v>
      </c>
      <c r="K261" s="8">
        <v>3587.73</v>
      </c>
      <c r="L261" s="8">
        <v>1081</v>
      </c>
      <c r="M261" s="11">
        <v>0.0638</v>
      </c>
      <c r="N261" s="11">
        <v>0.4493</v>
      </c>
      <c r="O261" s="8">
        <v>32</v>
      </c>
      <c r="P261" s="8">
        <v>4433</v>
      </c>
      <c r="Q261" s="11">
        <v>0.0866</v>
      </c>
      <c r="R261" s="11">
        <v>0.362</v>
      </c>
      <c r="S261" s="8">
        <v>143</v>
      </c>
      <c r="T261" s="11">
        <v>0.1405</v>
      </c>
      <c r="U261" s="11">
        <v>0.2928</v>
      </c>
      <c r="V261" s="11">
        <v>0.2291</v>
      </c>
      <c r="W261" s="11">
        <v>0.3276</v>
      </c>
      <c r="X261" s="8">
        <v>22.39</v>
      </c>
      <c r="Y261" s="8">
        <v>38</v>
      </c>
      <c r="Z261" s="8">
        <v>0.59</v>
      </c>
      <c r="AA261" s="8">
        <v>22.39</v>
      </c>
      <c r="AB261" s="8">
        <v>4.1</v>
      </c>
      <c r="AC261" s="8">
        <v>1.48</v>
      </c>
      <c r="AD261" s="8">
        <v>1</v>
      </c>
      <c r="AE261" s="8">
        <v>1</v>
      </c>
      <c r="AF261" s="11">
        <v>1</v>
      </c>
      <c r="AG261" s="8">
        <v>0</v>
      </c>
      <c r="AH261" s="8">
        <v>0</v>
      </c>
      <c r="AI261" s="11">
        <v>0</v>
      </c>
      <c r="AJ261" s="8" t="s">
        <v>544</v>
      </c>
    </row>
    <row r="262" customFormat="1" ht="22" customHeight="1" spans="1:36">
      <c r="A262" s="8" t="s">
        <v>37</v>
      </c>
      <c r="B262" s="8" t="str">
        <f>VLOOKUP(F262,[1]Sheet1!$B:$E,3,FALSE)</f>
        <v>刘欢</v>
      </c>
      <c r="C262" s="8" t="str">
        <f>VLOOKUP(F262,[1]Sheet1!$B:$E,4,FALSE)</f>
        <v>B</v>
      </c>
      <c r="D262" s="8" t="s">
        <v>545</v>
      </c>
      <c r="E262" s="8">
        <v>4.4</v>
      </c>
      <c r="F262" s="10">
        <v>31932829</v>
      </c>
      <c r="G262" s="8">
        <v>723</v>
      </c>
      <c r="H262" s="8">
        <v>543.06</v>
      </c>
      <c r="I262" s="8">
        <v>28.6</v>
      </c>
      <c r="J262" s="8">
        <v>19.4</v>
      </c>
      <c r="K262" s="8">
        <v>2915</v>
      </c>
      <c r="L262" s="8">
        <v>797</v>
      </c>
      <c r="M262" s="11">
        <v>0.1079</v>
      </c>
      <c r="N262" s="11">
        <v>0.3256</v>
      </c>
      <c r="O262" s="8">
        <v>28</v>
      </c>
      <c r="P262" s="8">
        <v>3400</v>
      </c>
      <c r="Q262" s="11">
        <v>0.0771</v>
      </c>
      <c r="R262" s="11">
        <v>0.3969</v>
      </c>
      <c r="S262" s="8">
        <v>108</v>
      </c>
      <c r="T262" s="11">
        <v>0.1563</v>
      </c>
      <c r="U262" s="11">
        <v>0.3166</v>
      </c>
      <c r="V262" s="11">
        <v>0.2353</v>
      </c>
      <c r="W262" s="11">
        <v>0.3217</v>
      </c>
      <c r="X262" s="8">
        <v>0</v>
      </c>
      <c r="Y262" s="8">
        <v>0</v>
      </c>
      <c r="Z262" s="8">
        <v>-0.01</v>
      </c>
      <c r="AA262" s="8">
        <v>0</v>
      </c>
      <c r="AB262" s="8">
        <v>0</v>
      </c>
      <c r="AC262" s="8">
        <v>1.1</v>
      </c>
      <c r="AD262" s="8">
        <v>1</v>
      </c>
      <c r="AE262" s="8">
        <v>1</v>
      </c>
      <c r="AF262" s="11">
        <v>1</v>
      </c>
      <c r="AG262" s="8">
        <v>0</v>
      </c>
      <c r="AH262" s="8">
        <v>0</v>
      </c>
      <c r="AI262" s="11">
        <v>0</v>
      </c>
      <c r="AJ262" s="8" t="s">
        <v>546</v>
      </c>
    </row>
    <row r="263" customFormat="1" ht="22" customHeight="1" spans="1:36">
      <c r="A263" s="8" t="s">
        <v>37</v>
      </c>
      <c r="B263" s="8" t="str">
        <f>VLOOKUP(F263,[1]Sheet1!$B:$E,3,FALSE)</f>
        <v>徐从众</v>
      </c>
      <c r="C263" s="9" t="str">
        <f>VLOOKUP(F263,[1]Sheet1!$B:$E,4,FALSE)</f>
        <v>A</v>
      </c>
      <c r="D263" s="8" t="s">
        <v>547</v>
      </c>
      <c r="E263" s="8">
        <v>4.7</v>
      </c>
      <c r="F263" s="10">
        <v>20291324</v>
      </c>
      <c r="G263" s="8">
        <v>443</v>
      </c>
      <c r="H263" s="8">
        <v>539.7</v>
      </c>
      <c r="I263" s="8">
        <v>49.56</v>
      </c>
      <c r="J263" s="8">
        <v>35.98</v>
      </c>
      <c r="K263" s="8">
        <v>2538.91</v>
      </c>
      <c r="L263" s="8">
        <v>1580</v>
      </c>
      <c r="M263" s="11">
        <v>0.0734</v>
      </c>
      <c r="N263" s="11">
        <v>0.1121</v>
      </c>
      <c r="O263" s="8">
        <v>15</v>
      </c>
      <c r="P263" s="8">
        <v>3681</v>
      </c>
      <c r="Q263" s="11">
        <v>0.0793</v>
      </c>
      <c r="R263" s="11">
        <v>0.1712</v>
      </c>
      <c r="S263" s="8">
        <v>52</v>
      </c>
      <c r="T263" s="11">
        <v>0.0924</v>
      </c>
      <c r="U263" s="11">
        <v>0.1871</v>
      </c>
      <c r="V263" s="11">
        <v>0.1809</v>
      </c>
      <c r="W263" s="11">
        <v>0.2304</v>
      </c>
      <c r="X263" s="8">
        <v>85.72</v>
      </c>
      <c r="Y263" s="8">
        <v>81</v>
      </c>
      <c r="Z263" s="8">
        <v>1.06</v>
      </c>
      <c r="AA263" s="8">
        <v>85.72</v>
      </c>
      <c r="AB263" s="8">
        <v>15.88</v>
      </c>
      <c r="AC263" s="8">
        <v>3.57</v>
      </c>
      <c r="AD263" s="8">
        <v>1</v>
      </c>
      <c r="AE263" s="8">
        <v>1</v>
      </c>
      <c r="AF263" s="11">
        <v>1</v>
      </c>
      <c r="AG263" s="8">
        <v>0</v>
      </c>
      <c r="AH263" s="8">
        <v>0</v>
      </c>
      <c r="AI263" s="11">
        <v>0</v>
      </c>
      <c r="AJ263" s="8" t="s">
        <v>548</v>
      </c>
    </row>
    <row r="264" customFormat="1" ht="22" customHeight="1" spans="1:36">
      <c r="A264" s="8" t="s">
        <v>37</v>
      </c>
      <c r="B264" s="8" t="str">
        <f>VLOOKUP(F264,[1]Sheet1!$B:$E,3,FALSE)</f>
        <v>徐从众</v>
      </c>
      <c r="C264" s="9" t="str">
        <f>VLOOKUP(F264,[1]Sheet1!$B:$E,4,FALSE)</f>
        <v>A</v>
      </c>
      <c r="D264" s="8" t="s">
        <v>549</v>
      </c>
      <c r="E264" s="8">
        <v>4.8</v>
      </c>
      <c r="F264" s="10">
        <v>5478932</v>
      </c>
      <c r="G264" s="8">
        <v>747</v>
      </c>
      <c r="H264" s="8">
        <v>539.44</v>
      </c>
      <c r="I264" s="8">
        <v>33.64</v>
      </c>
      <c r="J264" s="8">
        <v>22.48</v>
      </c>
      <c r="K264" s="8">
        <v>4453.76</v>
      </c>
      <c r="L264" s="8">
        <v>857</v>
      </c>
      <c r="M264" s="11">
        <v>0.0992</v>
      </c>
      <c r="N264" s="11">
        <v>0.2706</v>
      </c>
      <c r="O264" s="8">
        <v>24</v>
      </c>
      <c r="P264" s="8">
        <v>5659</v>
      </c>
      <c r="Q264" s="11">
        <v>0.0739</v>
      </c>
      <c r="R264" s="11">
        <v>0.3469</v>
      </c>
      <c r="S264" s="8">
        <v>149</v>
      </c>
      <c r="T264" s="11">
        <v>0.1148</v>
      </c>
      <c r="U264" s="11">
        <v>0.2876</v>
      </c>
      <c r="V264" s="11">
        <v>0.2012</v>
      </c>
      <c r="W264" s="11">
        <v>0.3036</v>
      </c>
      <c r="X264" s="8">
        <v>39.32</v>
      </c>
      <c r="Y264" s="8">
        <v>47</v>
      </c>
      <c r="Z264" s="8">
        <v>0.84</v>
      </c>
      <c r="AA264" s="8">
        <v>39.32</v>
      </c>
      <c r="AB264" s="8">
        <v>7.29</v>
      </c>
      <c r="AC264" s="8">
        <v>1.15</v>
      </c>
      <c r="AD264" s="8">
        <v>2</v>
      </c>
      <c r="AE264" s="8">
        <v>2</v>
      </c>
      <c r="AF264" s="11">
        <v>1</v>
      </c>
      <c r="AG264" s="8">
        <v>0</v>
      </c>
      <c r="AH264" s="8">
        <v>0</v>
      </c>
      <c r="AI264" s="11">
        <v>0</v>
      </c>
      <c r="AJ264" s="8" t="s">
        <v>550</v>
      </c>
    </row>
    <row r="265" customFormat="1" ht="22" customHeight="1" spans="1:36">
      <c r="A265" s="8" t="s">
        <v>37</v>
      </c>
      <c r="B265" s="8" t="str">
        <f>VLOOKUP(F265,[1]Sheet1!$B:$E,3,FALSE)</f>
        <v>徐从众</v>
      </c>
      <c r="C265" s="9" t="str">
        <f>VLOOKUP(F265,[1]Sheet1!$B:$E,4,FALSE)</f>
        <v>S</v>
      </c>
      <c r="D265" s="8" t="s">
        <v>551</v>
      </c>
      <c r="E265" s="8">
        <v>4.8</v>
      </c>
      <c r="F265" s="10">
        <v>32715785</v>
      </c>
      <c r="G265" s="8">
        <v>760</v>
      </c>
      <c r="H265" s="8">
        <v>537.82</v>
      </c>
      <c r="I265" s="8">
        <v>25.76</v>
      </c>
      <c r="J265" s="8">
        <v>16.81</v>
      </c>
      <c r="K265" s="8">
        <v>4197.09</v>
      </c>
      <c r="L265" s="8">
        <v>1596</v>
      </c>
      <c r="M265" s="11">
        <v>0.0508</v>
      </c>
      <c r="N265" s="11">
        <v>0.3951</v>
      </c>
      <c r="O265" s="8">
        <v>32</v>
      </c>
      <c r="P265" s="8">
        <v>4565</v>
      </c>
      <c r="Q265" s="11">
        <v>0.0791</v>
      </c>
      <c r="R265" s="11">
        <v>0.3767</v>
      </c>
      <c r="S265" s="8">
        <v>140</v>
      </c>
      <c r="T265" s="11">
        <v>0.2094</v>
      </c>
      <c r="U265" s="11">
        <v>0.5</v>
      </c>
      <c r="V265" s="11">
        <v>0.2167</v>
      </c>
      <c r="W265" s="11">
        <v>0.3194</v>
      </c>
      <c r="X265" s="8">
        <v>58</v>
      </c>
      <c r="Y265" s="8">
        <v>48</v>
      </c>
      <c r="Z265" s="8">
        <v>1.21</v>
      </c>
      <c r="AA265" s="8">
        <v>61.1</v>
      </c>
      <c r="AB265" s="8">
        <v>11.36</v>
      </c>
      <c r="AC265" s="8">
        <v>2.1</v>
      </c>
      <c r="AD265" s="8">
        <v>0</v>
      </c>
      <c r="AE265" s="8">
        <v>0</v>
      </c>
      <c r="AF265" s="11">
        <v>0</v>
      </c>
      <c r="AG265" s="8">
        <v>0</v>
      </c>
      <c r="AH265" s="8">
        <v>0</v>
      </c>
      <c r="AI265" s="11">
        <v>0</v>
      </c>
      <c r="AJ265" s="8" t="s">
        <v>552</v>
      </c>
    </row>
    <row r="266" customFormat="1" ht="22" customHeight="1" spans="1:36">
      <c r="A266" s="8" t="s">
        <v>37</v>
      </c>
      <c r="B266" s="8" t="e">
        <f>VLOOKUP(F266,[1]Sheet1!$B:$E,3,FALSE)</f>
        <v>#N/A</v>
      </c>
      <c r="C266" s="8" t="e">
        <f>VLOOKUP(F266,[1]Sheet1!$B:$E,4,FALSE)</f>
        <v>#N/A</v>
      </c>
      <c r="D266" s="8" t="s">
        <v>553</v>
      </c>
      <c r="E266" s="8">
        <v>4.8</v>
      </c>
      <c r="F266" s="10">
        <v>34117569</v>
      </c>
      <c r="G266" s="8">
        <v>80</v>
      </c>
      <c r="H266" s="8">
        <v>535.48</v>
      </c>
      <c r="I266" s="8">
        <v>75.63</v>
      </c>
      <c r="J266" s="8">
        <v>59.5</v>
      </c>
      <c r="K266" s="8">
        <v>5102.3</v>
      </c>
      <c r="L266" s="8">
        <v>1720</v>
      </c>
      <c r="M266" s="11">
        <v>0.0622</v>
      </c>
      <c r="N266" s="11">
        <v>0.0841</v>
      </c>
      <c r="O266" s="8">
        <v>9</v>
      </c>
      <c r="P266" s="8">
        <v>4924</v>
      </c>
      <c r="Q266" s="11">
        <v>0.0892</v>
      </c>
      <c r="R266" s="11">
        <v>0.2597</v>
      </c>
      <c r="S266" s="8">
        <v>119</v>
      </c>
      <c r="T266" s="11">
        <v>0.0986</v>
      </c>
      <c r="U266" s="11">
        <v>0</v>
      </c>
      <c r="V266" s="11">
        <v>0.2098</v>
      </c>
      <c r="W266" s="11">
        <v>0.2671</v>
      </c>
      <c r="X266" s="8">
        <v>86.04</v>
      </c>
      <c r="Y266" s="8">
        <v>99</v>
      </c>
      <c r="Z266" s="8">
        <v>0.87</v>
      </c>
      <c r="AA266" s="8">
        <v>86.04</v>
      </c>
      <c r="AB266" s="8">
        <v>16.07</v>
      </c>
      <c r="AC266" s="8">
        <v>21.5</v>
      </c>
      <c r="AD266" s="8">
        <v>2</v>
      </c>
      <c r="AE266" s="8">
        <v>2</v>
      </c>
      <c r="AF266" s="11">
        <v>1</v>
      </c>
      <c r="AG266" s="8">
        <v>0</v>
      </c>
      <c r="AH266" s="8">
        <v>0</v>
      </c>
      <c r="AI266" s="11">
        <v>0</v>
      </c>
      <c r="AJ266" s="8" t="s">
        <v>554</v>
      </c>
    </row>
    <row r="267" customFormat="1" ht="22" customHeight="1" spans="1:36">
      <c r="A267" s="8" t="s">
        <v>37</v>
      </c>
      <c r="B267" s="8" t="str">
        <f>VLOOKUP(F267,[1]Sheet1!$B:$E,3,FALSE)</f>
        <v>徐从众</v>
      </c>
      <c r="C267" s="9" t="str">
        <f>VLOOKUP(F267,[1]Sheet1!$B:$E,4,FALSE)</f>
        <v>A</v>
      </c>
      <c r="D267" s="8" t="s">
        <v>555</v>
      </c>
      <c r="E267" s="8">
        <v>4.7</v>
      </c>
      <c r="F267" s="10">
        <v>28212417</v>
      </c>
      <c r="G267" s="8">
        <v>370</v>
      </c>
      <c r="H267" s="8">
        <v>532.17</v>
      </c>
      <c r="I267" s="8">
        <v>80.99</v>
      </c>
      <c r="J267" s="8">
        <v>59.13</v>
      </c>
      <c r="K267" s="8">
        <v>3655.05</v>
      </c>
      <c r="L267" s="8">
        <v>404</v>
      </c>
      <c r="M267" s="11">
        <v>0.1213</v>
      </c>
      <c r="N267" s="11">
        <v>0.1837</v>
      </c>
      <c r="O267" s="8">
        <v>9</v>
      </c>
      <c r="P267" s="8">
        <v>2880</v>
      </c>
      <c r="Q267" s="11">
        <v>0.0882</v>
      </c>
      <c r="R267" s="11">
        <v>0.252</v>
      </c>
      <c r="S267" s="8">
        <v>65</v>
      </c>
      <c r="T267" s="11">
        <v>0.1098</v>
      </c>
      <c r="U267" s="11">
        <v>0.2182</v>
      </c>
      <c r="V267" s="11">
        <v>0.1936</v>
      </c>
      <c r="W267" s="11">
        <v>0.2653</v>
      </c>
      <c r="X267" s="8">
        <v>0</v>
      </c>
      <c r="Y267" s="8">
        <v>0</v>
      </c>
      <c r="Z267" s="8">
        <v>-0.01</v>
      </c>
      <c r="AA267" s="8">
        <v>0</v>
      </c>
      <c r="AB267" s="8">
        <v>0</v>
      </c>
      <c r="AC267" s="8">
        <v>1.09</v>
      </c>
      <c r="AD267" s="8">
        <v>1</v>
      </c>
      <c r="AE267" s="8">
        <v>1</v>
      </c>
      <c r="AF267" s="11">
        <v>1</v>
      </c>
      <c r="AG267" s="8">
        <v>0</v>
      </c>
      <c r="AH267" s="8">
        <v>0</v>
      </c>
      <c r="AI267" s="11">
        <v>0</v>
      </c>
      <c r="AJ267" s="8" t="s">
        <v>556</v>
      </c>
    </row>
    <row r="268" customFormat="1" ht="22" customHeight="1" spans="1:36">
      <c r="A268" s="8" t="s">
        <v>37</v>
      </c>
      <c r="B268" s="8" t="e">
        <f>VLOOKUP(F268,[1]Sheet1!$B:$E,3,FALSE)</f>
        <v>#N/A</v>
      </c>
      <c r="C268" s="8" t="e">
        <f>VLOOKUP(F268,[1]Sheet1!$B:$E,4,FALSE)</f>
        <v>#N/A</v>
      </c>
      <c r="D268" s="8" t="s">
        <v>557</v>
      </c>
      <c r="E268" s="8">
        <v>4.6</v>
      </c>
      <c r="F268" s="10">
        <v>27315709</v>
      </c>
      <c r="G268" s="8">
        <v>1323</v>
      </c>
      <c r="H268" s="8">
        <v>531.1</v>
      </c>
      <c r="I268" s="8">
        <v>26.57</v>
      </c>
      <c r="J268" s="8">
        <v>16.09</v>
      </c>
      <c r="K268" s="8">
        <v>3649.06</v>
      </c>
      <c r="L268" s="8">
        <v>1886</v>
      </c>
      <c r="M268" s="11">
        <v>0.061</v>
      </c>
      <c r="N268" s="11">
        <v>0.3043</v>
      </c>
      <c r="O268" s="8">
        <v>33</v>
      </c>
      <c r="P268" s="8">
        <v>3156</v>
      </c>
      <c r="Q268" s="11">
        <v>0.1004</v>
      </c>
      <c r="R268" s="11">
        <v>0.3249</v>
      </c>
      <c r="S268" s="8">
        <v>106</v>
      </c>
      <c r="T268" s="11">
        <v>0.1331</v>
      </c>
      <c r="U268" s="11">
        <v>0.3503</v>
      </c>
      <c r="V268" s="11">
        <v>0.2342</v>
      </c>
      <c r="W268" s="11">
        <v>0.3097</v>
      </c>
      <c r="X268" s="8">
        <v>49.01</v>
      </c>
      <c r="Y268" s="8">
        <v>63</v>
      </c>
      <c r="Z268" s="8">
        <v>0.78</v>
      </c>
      <c r="AA268" s="8">
        <v>49.01</v>
      </c>
      <c r="AB268" s="8">
        <v>9.23</v>
      </c>
      <c r="AC268" s="8">
        <v>1.43</v>
      </c>
      <c r="AD268" s="8">
        <v>1</v>
      </c>
      <c r="AE268" s="8">
        <v>1</v>
      </c>
      <c r="AF268" s="11">
        <v>1</v>
      </c>
      <c r="AG268" s="8">
        <v>0</v>
      </c>
      <c r="AH268" s="8">
        <v>0</v>
      </c>
      <c r="AI268" s="11">
        <v>0</v>
      </c>
      <c r="AJ268" s="8" t="s">
        <v>558</v>
      </c>
    </row>
    <row r="269" customFormat="1" ht="22" customHeight="1" spans="1:36">
      <c r="A269" s="8" t="s">
        <v>37</v>
      </c>
      <c r="B269" s="8" t="e">
        <f>VLOOKUP(F269,[1]Sheet1!$B:$E,3,FALSE)</f>
        <v>#N/A</v>
      </c>
      <c r="C269" s="8" t="e">
        <f>VLOOKUP(F269,[1]Sheet1!$B:$E,4,FALSE)</f>
        <v>#N/A</v>
      </c>
      <c r="D269" s="8" t="s">
        <v>559</v>
      </c>
      <c r="E269" s="8">
        <v>4.7</v>
      </c>
      <c r="F269" s="10">
        <v>21097193</v>
      </c>
      <c r="G269" s="8">
        <v>284</v>
      </c>
      <c r="H269" s="8">
        <v>527.83</v>
      </c>
      <c r="I269" s="8">
        <v>67.15</v>
      </c>
      <c r="J269" s="8">
        <v>47.98</v>
      </c>
      <c r="K269" s="8">
        <v>3703.13</v>
      </c>
      <c r="L269" s="8">
        <v>611</v>
      </c>
      <c r="M269" s="11">
        <v>0.0736</v>
      </c>
      <c r="N269" s="11">
        <v>0.2444</v>
      </c>
      <c r="O269" s="8">
        <v>11</v>
      </c>
      <c r="P269" s="8">
        <v>6070</v>
      </c>
      <c r="Q269" s="11">
        <v>0.07</v>
      </c>
      <c r="R269" s="11">
        <v>0.2118</v>
      </c>
      <c r="S269" s="8">
        <v>93</v>
      </c>
      <c r="T269" s="11">
        <v>0.114</v>
      </c>
      <c r="U269" s="11">
        <v>0.2364</v>
      </c>
      <c r="V269" s="11">
        <v>0.2431</v>
      </c>
      <c r="W269" s="11">
        <v>0.3493</v>
      </c>
      <c r="X269" s="8">
        <v>39.78</v>
      </c>
      <c r="Y269" s="8">
        <v>37</v>
      </c>
      <c r="Z269" s="8">
        <v>1.08</v>
      </c>
      <c r="AA269" s="8">
        <v>39.78</v>
      </c>
      <c r="AB269" s="8">
        <v>7.54</v>
      </c>
      <c r="AC269" s="8">
        <v>2.15</v>
      </c>
      <c r="AD269" s="8">
        <v>0</v>
      </c>
      <c r="AE269" s="8">
        <v>0</v>
      </c>
      <c r="AF269" s="11">
        <v>0</v>
      </c>
      <c r="AG269" s="8">
        <v>0</v>
      </c>
      <c r="AH269" s="8">
        <v>0</v>
      </c>
      <c r="AI269" s="11">
        <v>0</v>
      </c>
      <c r="AJ269" s="8" t="s">
        <v>560</v>
      </c>
    </row>
    <row r="270" customFormat="1" ht="22" customHeight="1" spans="1:36">
      <c r="A270" s="8" t="s">
        <v>37</v>
      </c>
      <c r="B270" s="8" t="str">
        <f>VLOOKUP(F270,[1]Sheet1!$B:$E,3,FALSE)</f>
        <v>王森</v>
      </c>
      <c r="C270" s="9" t="str">
        <f>VLOOKUP(F270,[1]Sheet1!$B:$E,4,FALSE)</f>
        <v>A</v>
      </c>
      <c r="D270" s="8" t="s">
        <v>561</v>
      </c>
      <c r="E270" s="8">
        <v>4.7</v>
      </c>
      <c r="F270" s="10">
        <v>24690010</v>
      </c>
      <c r="G270" s="8">
        <v>715</v>
      </c>
      <c r="H270" s="8">
        <v>526.09</v>
      </c>
      <c r="I270" s="8">
        <v>23.14</v>
      </c>
      <c r="J270" s="8">
        <v>18.14</v>
      </c>
      <c r="K270" s="8">
        <v>1812.88</v>
      </c>
      <c r="L270" s="8">
        <v>1218</v>
      </c>
      <c r="M270" s="11">
        <v>0.1018</v>
      </c>
      <c r="N270" s="11">
        <v>0.2339</v>
      </c>
      <c r="O270" s="8">
        <v>29</v>
      </c>
      <c r="P270" s="8">
        <v>2441</v>
      </c>
      <c r="Q270" s="11">
        <v>0.0815</v>
      </c>
      <c r="R270" s="11">
        <v>0.2814</v>
      </c>
      <c r="S270" s="8">
        <v>59</v>
      </c>
      <c r="T270" s="11">
        <v>0.1424</v>
      </c>
      <c r="U270" s="11">
        <v>0.2731</v>
      </c>
      <c r="V270" s="11">
        <v>0.2094</v>
      </c>
      <c r="W270" s="11">
        <v>0.2873</v>
      </c>
      <c r="X270" s="8">
        <v>0</v>
      </c>
      <c r="Y270" s="8">
        <v>0</v>
      </c>
      <c r="Z270" s="8">
        <v>-0.01</v>
      </c>
      <c r="AA270" s="8">
        <v>0</v>
      </c>
      <c r="AB270" s="8">
        <v>0</v>
      </c>
      <c r="AC270" s="8">
        <v>1.7</v>
      </c>
      <c r="AD270" s="8">
        <v>2</v>
      </c>
      <c r="AE270" s="8">
        <v>2</v>
      </c>
      <c r="AF270" s="11">
        <v>1</v>
      </c>
      <c r="AG270" s="8">
        <v>0</v>
      </c>
      <c r="AH270" s="8">
        <v>0</v>
      </c>
      <c r="AI270" s="11">
        <v>0</v>
      </c>
      <c r="AJ270" s="8" t="s">
        <v>562</v>
      </c>
    </row>
    <row r="271" customFormat="1" ht="22" customHeight="1" spans="1:36">
      <c r="A271" s="8" t="s">
        <v>37</v>
      </c>
      <c r="B271" s="8" t="e">
        <f>VLOOKUP(F271,[1]Sheet1!$B:$E,3,FALSE)</f>
        <v>#N/A</v>
      </c>
      <c r="C271" s="8" t="e">
        <f>VLOOKUP(F271,[1]Sheet1!$B:$E,4,FALSE)</f>
        <v>#N/A</v>
      </c>
      <c r="D271" s="8" t="s">
        <v>563</v>
      </c>
      <c r="E271" s="8">
        <v>4.8</v>
      </c>
      <c r="F271" s="10">
        <v>34128257</v>
      </c>
      <c r="G271" s="8">
        <v>290</v>
      </c>
      <c r="H271" s="8">
        <v>524.9</v>
      </c>
      <c r="I271" s="8">
        <v>30.63</v>
      </c>
      <c r="J271" s="8">
        <v>22.82</v>
      </c>
      <c r="K271" s="8">
        <v>3468.57</v>
      </c>
      <c r="L271" s="8">
        <v>2235</v>
      </c>
      <c r="M271" s="11">
        <v>0.043</v>
      </c>
      <c r="N271" s="11">
        <v>0.2396</v>
      </c>
      <c r="O271" s="8">
        <v>23</v>
      </c>
      <c r="P271" s="8">
        <v>4946</v>
      </c>
      <c r="Q271" s="11">
        <v>0.0833</v>
      </c>
      <c r="R271" s="11">
        <v>0.2913</v>
      </c>
      <c r="S271" s="8">
        <v>122</v>
      </c>
      <c r="T271" s="11">
        <v>0.2266</v>
      </c>
      <c r="U271" s="11">
        <v>0</v>
      </c>
      <c r="V271" s="11">
        <v>0.211</v>
      </c>
      <c r="W271" s="11">
        <v>0.2779</v>
      </c>
      <c r="X271" s="8">
        <v>61.44</v>
      </c>
      <c r="Y271" s="8">
        <v>52</v>
      </c>
      <c r="Z271" s="8">
        <v>1.18</v>
      </c>
      <c r="AA271" s="8">
        <v>61.44</v>
      </c>
      <c r="AB271" s="8">
        <v>11.71</v>
      </c>
      <c r="AC271" s="8">
        <v>7.71</v>
      </c>
      <c r="AD271" s="8">
        <v>2</v>
      </c>
      <c r="AE271" s="8">
        <v>2</v>
      </c>
      <c r="AF271" s="11">
        <v>1</v>
      </c>
      <c r="AG271" s="8">
        <v>0</v>
      </c>
      <c r="AH271" s="8">
        <v>0</v>
      </c>
      <c r="AI271" s="11">
        <v>0</v>
      </c>
      <c r="AJ271" s="8" t="s">
        <v>564</v>
      </c>
    </row>
    <row r="272" customFormat="1" ht="22" customHeight="1" spans="1:36">
      <c r="A272" s="8" t="s">
        <v>37</v>
      </c>
      <c r="B272" s="8" t="str">
        <f>VLOOKUP(F272,[1]Sheet1!$B:$E,3,FALSE)</f>
        <v>徐从众</v>
      </c>
      <c r="C272" s="9" t="str">
        <f>VLOOKUP(F272,[1]Sheet1!$B:$E,4,FALSE)</f>
        <v>A</v>
      </c>
      <c r="D272" s="8" t="s">
        <v>565</v>
      </c>
      <c r="E272" s="8">
        <v>4.6</v>
      </c>
      <c r="F272" s="10">
        <v>20791949</v>
      </c>
      <c r="G272" s="8">
        <v>451</v>
      </c>
      <c r="H272" s="8">
        <v>523.02</v>
      </c>
      <c r="I272" s="8">
        <v>52.52</v>
      </c>
      <c r="J272" s="8">
        <v>40.23</v>
      </c>
      <c r="K272" s="8">
        <v>2408.2</v>
      </c>
      <c r="L272" s="8">
        <v>1826</v>
      </c>
      <c r="M272" s="11">
        <v>0.0745</v>
      </c>
      <c r="N272" s="11">
        <v>0.0809</v>
      </c>
      <c r="O272" s="8">
        <v>13</v>
      </c>
      <c r="P272" s="8">
        <v>2916</v>
      </c>
      <c r="Q272" s="11">
        <v>0.083</v>
      </c>
      <c r="R272" s="11">
        <v>0.2107</v>
      </c>
      <c r="S272" s="8">
        <v>52</v>
      </c>
      <c r="T272" s="11">
        <v>0.0932</v>
      </c>
      <c r="U272" s="11">
        <v>0.2098</v>
      </c>
      <c r="V272" s="11">
        <v>0.1898</v>
      </c>
      <c r="W272" s="11">
        <v>0.2374</v>
      </c>
      <c r="X272" s="8">
        <v>99.02</v>
      </c>
      <c r="Y272" s="8">
        <v>110</v>
      </c>
      <c r="Z272" s="8">
        <v>0.9</v>
      </c>
      <c r="AA272" s="8">
        <v>99.02</v>
      </c>
      <c r="AB272" s="8">
        <v>18.93</v>
      </c>
      <c r="AC272" s="8">
        <v>4.05</v>
      </c>
      <c r="AD272" s="8">
        <v>1</v>
      </c>
      <c r="AE272" s="8">
        <v>1</v>
      </c>
      <c r="AF272" s="11">
        <v>1</v>
      </c>
      <c r="AG272" s="8">
        <v>0</v>
      </c>
      <c r="AH272" s="8">
        <v>0</v>
      </c>
      <c r="AI272" s="11">
        <v>0</v>
      </c>
      <c r="AJ272" s="8" t="s">
        <v>566</v>
      </c>
    </row>
    <row r="273" customFormat="1" ht="22" customHeight="1" spans="1:36">
      <c r="A273" s="8" t="s">
        <v>37</v>
      </c>
      <c r="B273" s="8" t="str">
        <f>VLOOKUP(F273,[1]Sheet1!$B:$E,3,FALSE)</f>
        <v>徐从众</v>
      </c>
      <c r="C273" s="9" t="str">
        <f>VLOOKUP(F273,[1]Sheet1!$B:$E,4,FALSE)</f>
        <v>S</v>
      </c>
      <c r="D273" s="8" t="s">
        <v>567</v>
      </c>
      <c r="E273" s="8">
        <v>4.9</v>
      </c>
      <c r="F273" s="10">
        <v>32184802</v>
      </c>
      <c r="G273" s="8">
        <v>956</v>
      </c>
      <c r="H273" s="8">
        <v>515.1</v>
      </c>
      <c r="I273" s="8">
        <v>24.09</v>
      </c>
      <c r="J273" s="8">
        <v>14.72</v>
      </c>
      <c r="K273" s="8">
        <v>3391.97</v>
      </c>
      <c r="L273" s="8">
        <v>1364</v>
      </c>
      <c r="M273" s="11">
        <v>0.0711</v>
      </c>
      <c r="N273" s="11">
        <v>0.3402</v>
      </c>
      <c r="O273" s="8">
        <v>35</v>
      </c>
      <c r="P273" s="8">
        <v>3648</v>
      </c>
      <c r="Q273" s="11">
        <v>0.0844</v>
      </c>
      <c r="R273" s="11">
        <v>0.3409</v>
      </c>
      <c r="S273" s="8">
        <v>108</v>
      </c>
      <c r="T273" s="11">
        <v>0.1926</v>
      </c>
      <c r="U273" s="11">
        <v>0.4878</v>
      </c>
      <c r="V273" s="11">
        <v>0.205</v>
      </c>
      <c r="W273" s="11">
        <v>0.2969</v>
      </c>
      <c r="X273" s="8">
        <v>58.1</v>
      </c>
      <c r="Y273" s="8">
        <v>47</v>
      </c>
      <c r="Z273" s="8">
        <v>1.24</v>
      </c>
      <c r="AA273" s="8">
        <v>58.1</v>
      </c>
      <c r="AB273" s="8">
        <v>11.28</v>
      </c>
      <c r="AC273" s="8">
        <v>1.43</v>
      </c>
      <c r="AD273" s="8">
        <v>0</v>
      </c>
      <c r="AE273" s="8">
        <v>0</v>
      </c>
      <c r="AF273" s="11">
        <v>0</v>
      </c>
      <c r="AG273" s="8">
        <v>0</v>
      </c>
      <c r="AH273" s="8">
        <v>0</v>
      </c>
      <c r="AI273" s="11">
        <v>0</v>
      </c>
      <c r="AJ273" s="8" t="s">
        <v>568</v>
      </c>
    </row>
    <row r="274" customFormat="1" ht="22" customHeight="1" spans="1:36">
      <c r="A274" s="8" t="s">
        <v>37</v>
      </c>
      <c r="B274" s="8" t="str">
        <f>VLOOKUP(F274,[1]Sheet1!$B:$E,3,FALSE)</f>
        <v>岳贝贝</v>
      </c>
      <c r="C274" s="8" t="str">
        <f>VLOOKUP(F274,[1]Sheet1!$B:$E,4,FALSE)</f>
        <v>B</v>
      </c>
      <c r="D274" s="8" t="s">
        <v>569</v>
      </c>
      <c r="E274" s="8">
        <v>4.5</v>
      </c>
      <c r="F274" s="10">
        <v>33237112</v>
      </c>
      <c r="G274" s="8">
        <v>323</v>
      </c>
      <c r="H274" s="8">
        <v>500.44</v>
      </c>
      <c r="I274" s="8">
        <v>59.16</v>
      </c>
      <c r="J274" s="8">
        <v>41.7</v>
      </c>
      <c r="K274" s="8">
        <v>3420.32</v>
      </c>
      <c r="L274" s="8">
        <v>787</v>
      </c>
      <c r="M274" s="11">
        <v>0.0584</v>
      </c>
      <c r="N274" s="11">
        <v>0.2609</v>
      </c>
      <c r="O274" s="8">
        <v>12</v>
      </c>
      <c r="P274" s="8">
        <v>3567</v>
      </c>
      <c r="Q274" s="11">
        <v>0.0805</v>
      </c>
      <c r="R274" s="11">
        <v>0.2334</v>
      </c>
      <c r="S274" s="8">
        <v>71</v>
      </c>
      <c r="T274" s="11">
        <v>0.1354</v>
      </c>
      <c r="U274" s="11">
        <v>0.2963</v>
      </c>
      <c r="V274" s="11">
        <v>0.2147</v>
      </c>
      <c r="W274" s="11">
        <v>0.2658</v>
      </c>
      <c r="X274" s="8">
        <v>18.96</v>
      </c>
      <c r="Y274" s="8">
        <v>18</v>
      </c>
      <c r="Z274" s="8">
        <v>1.05</v>
      </c>
      <c r="AA274" s="8">
        <v>18.96</v>
      </c>
      <c r="AB274" s="8">
        <v>3.79</v>
      </c>
      <c r="AC274" s="8">
        <v>2.44</v>
      </c>
      <c r="AD274" s="8">
        <v>2</v>
      </c>
      <c r="AE274" s="8">
        <v>1</v>
      </c>
      <c r="AF274" s="11">
        <v>0.5</v>
      </c>
      <c r="AG274" s="8">
        <v>0</v>
      </c>
      <c r="AH274" s="8">
        <v>1</v>
      </c>
      <c r="AI274" s="11">
        <v>0.5</v>
      </c>
      <c r="AJ274" s="8" t="s">
        <v>570</v>
      </c>
    </row>
    <row r="275" customFormat="1" ht="22" customHeight="1" spans="1:36">
      <c r="A275" s="8" t="s">
        <v>37</v>
      </c>
      <c r="B275" s="8" t="str">
        <f>VLOOKUP(F275,[1]Sheet1!$B:$E,3,FALSE)</f>
        <v>岳贝贝</v>
      </c>
      <c r="C275" s="8" t="str">
        <f>VLOOKUP(F275,[1]Sheet1!$B:$E,4,FALSE)</f>
        <v>B</v>
      </c>
      <c r="D275" s="8" t="s">
        <v>571</v>
      </c>
      <c r="E275" s="8">
        <v>4.7</v>
      </c>
      <c r="F275" s="10">
        <v>26838134</v>
      </c>
      <c r="G275" s="8">
        <v>923</v>
      </c>
      <c r="H275" s="8">
        <v>494.37</v>
      </c>
      <c r="I275" s="8">
        <v>22.94</v>
      </c>
      <c r="J275" s="8">
        <v>14.54</v>
      </c>
      <c r="K275" s="8">
        <v>4197.09</v>
      </c>
      <c r="L275" s="8">
        <v>1104</v>
      </c>
      <c r="M275" s="11">
        <v>0.0897</v>
      </c>
      <c r="N275" s="11">
        <v>0.3434</v>
      </c>
      <c r="O275" s="8">
        <v>34</v>
      </c>
      <c r="P275" s="8">
        <v>4565</v>
      </c>
      <c r="Q275" s="11">
        <v>0.0791</v>
      </c>
      <c r="R275" s="11">
        <v>0.3767</v>
      </c>
      <c r="S275" s="8">
        <v>140</v>
      </c>
      <c r="T275" s="11">
        <v>0.1503</v>
      </c>
      <c r="U275" s="11">
        <v>0.2205</v>
      </c>
      <c r="V275" s="11">
        <v>0.2167</v>
      </c>
      <c r="W275" s="11">
        <v>0.3194</v>
      </c>
      <c r="X275" s="8">
        <v>49.05</v>
      </c>
      <c r="Y275" s="8">
        <v>51</v>
      </c>
      <c r="Z275" s="8">
        <v>0.96</v>
      </c>
      <c r="AA275" s="8">
        <v>49.05</v>
      </c>
      <c r="AB275" s="8">
        <v>9.92</v>
      </c>
      <c r="AC275" s="8">
        <v>1.2</v>
      </c>
      <c r="AD275" s="8">
        <v>5</v>
      </c>
      <c r="AE275" s="8">
        <v>5</v>
      </c>
      <c r="AF275" s="11">
        <v>1</v>
      </c>
      <c r="AG275" s="8">
        <v>0</v>
      </c>
      <c r="AH275" s="8">
        <v>0</v>
      </c>
      <c r="AI275" s="11">
        <v>0</v>
      </c>
      <c r="AJ275" s="8" t="s">
        <v>572</v>
      </c>
    </row>
    <row r="276" customFormat="1" ht="22" customHeight="1" spans="1:36">
      <c r="A276" s="8" t="s">
        <v>37</v>
      </c>
      <c r="B276" s="8" t="str">
        <f>VLOOKUP(F276,[1]Sheet1!$B:$E,3,FALSE)</f>
        <v>刘欢</v>
      </c>
      <c r="C276" s="8">
        <f>VLOOKUP(F276,[1]Sheet1!$B:$E,4,FALSE)</f>
        <v>0</v>
      </c>
      <c r="D276" s="8" t="s">
        <v>573</v>
      </c>
      <c r="E276" s="8">
        <v>4.9</v>
      </c>
      <c r="F276" s="10">
        <v>33757992</v>
      </c>
      <c r="G276" s="8">
        <v>938</v>
      </c>
      <c r="H276" s="8">
        <v>491.66</v>
      </c>
      <c r="I276" s="8">
        <v>23.22</v>
      </c>
      <c r="J276" s="8">
        <v>16.39</v>
      </c>
      <c r="K276" s="8">
        <v>2316.53</v>
      </c>
      <c r="L276" s="8">
        <v>1562</v>
      </c>
      <c r="M276" s="11">
        <v>0.0589</v>
      </c>
      <c r="N276" s="11">
        <v>0.3261</v>
      </c>
      <c r="O276" s="8">
        <v>30</v>
      </c>
      <c r="P276" s="8">
        <v>3395</v>
      </c>
      <c r="Q276" s="11">
        <v>0.0769</v>
      </c>
      <c r="R276" s="11">
        <v>0.3602</v>
      </c>
      <c r="S276" s="8">
        <v>96</v>
      </c>
      <c r="T276" s="11">
        <v>0.2463</v>
      </c>
      <c r="U276" s="11">
        <v>0.537</v>
      </c>
      <c r="V276" s="11">
        <v>0.221</v>
      </c>
      <c r="W276" s="11">
        <v>0.3082</v>
      </c>
      <c r="X276" s="8">
        <v>46.78</v>
      </c>
      <c r="Y276" s="8">
        <v>43</v>
      </c>
      <c r="Z276" s="8">
        <v>1.09</v>
      </c>
      <c r="AA276" s="8">
        <v>46.78</v>
      </c>
      <c r="AB276" s="8">
        <v>9.51</v>
      </c>
      <c r="AC276" s="8">
        <v>1.67</v>
      </c>
      <c r="AD276" s="8">
        <v>0</v>
      </c>
      <c r="AE276" s="8">
        <v>0</v>
      </c>
      <c r="AF276" s="11">
        <v>0</v>
      </c>
      <c r="AG276" s="8">
        <v>0</v>
      </c>
      <c r="AH276" s="8">
        <v>0</v>
      </c>
      <c r="AI276" s="11">
        <v>0</v>
      </c>
      <c r="AJ276" s="8" t="s">
        <v>574</v>
      </c>
    </row>
    <row r="277" customFormat="1" ht="22" customHeight="1" spans="1:36">
      <c r="A277" s="8" t="s">
        <v>37</v>
      </c>
      <c r="B277" s="8" t="str">
        <f>VLOOKUP(F277,[1]Sheet1!$B:$E,3,FALSE)</f>
        <v>徐从众</v>
      </c>
      <c r="C277" s="9" t="str">
        <f>VLOOKUP(F277,[1]Sheet1!$B:$E,4,FALSE)</f>
        <v>A</v>
      </c>
      <c r="D277" s="8" t="s">
        <v>575</v>
      </c>
      <c r="E277" s="8">
        <v>4.5</v>
      </c>
      <c r="F277" s="10">
        <v>25506228</v>
      </c>
      <c r="G277" s="8">
        <v>602</v>
      </c>
      <c r="H277" s="8">
        <v>485.66</v>
      </c>
      <c r="I277" s="8">
        <v>28.27</v>
      </c>
      <c r="J277" s="8">
        <v>21.12</v>
      </c>
      <c r="K277" s="8">
        <v>3901.97</v>
      </c>
      <c r="L277" s="8">
        <v>803</v>
      </c>
      <c r="M277" s="11">
        <v>0.0946</v>
      </c>
      <c r="N277" s="11">
        <v>0.2895</v>
      </c>
      <c r="O277" s="8">
        <v>23</v>
      </c>
      <c r="P277" s="8">
        <v>3853</v>
      </c>
      <c r="Q277" s="11">
        <v>0.0859</v>
      </c>
      <c r="R277" s="11">
        <v>0.2085</v>
      </c>
      <c r="S277" s="8">
        <v>71</v>
      </c>
      <c r="T277" s="11">
        <v>0.1439</v>
      </c>
      <c r="U277" s="11">
        <v>0.3067</v>
      </c>
      <c r="V277" s="11">
        <v>0.1998</v>
      </c>
      <c r="W277" s="11">
        <v>0.277</v>
      </c>
      <c r="X277" s="8">
        <v>0</v>
      </c>
      <c r="Y277" s="8">
        <v>0</v>
      </c>
      <c r="Z277" s="8">
        <v>-0.01</v>
      </c>
      <c r="AA277" s="8">
        <v>0</v>
      </c>
      <c r="AB277" s="8">
        <v>0</v>
      </c>
      <c r="AC277" s="8">
        <v>1.33</v>
      </c>
      <c r="AD277" s="8">
        <v>1</v>
      </c>
      <c r="AE277" s="8">
        <v>1</v>
      </c>
      <c r="AF277" s="11">
        <v>1</v>
      </c>
      <c r="AG277" s="8">
        <v>0</v>
      </c>
      <c r="AH277" s="8">
        <v>0</v>
      </c>
      <c r="AI277" s="11">
        <v>0</v>
      </c>
      <c r="AJ277" s="8" t="s">
        <v>434</v>
      </c>
    </row>
    <row r="278" customFormat="1" ht="22" customHeight="1" spans="1:36">
      <c r="A278" s="8" t="s">
        <v>37</v>
      </c>
      <c r="B278" s="8" t="str">
        <f>VLOOKUP(F278,[1]Sheet1!$B:$E,3,FALSE)</f>
        <v>刘欢</v>
      </c>
      <c r="C278" s="8" t="str">
        <f>VLOOKUP(F278,[1]Sheet1!$B:$E,4,FALSE)</f>
        <v>B</v>
      </c>
      <c r="D278" s="8" t="s">
        <v>576</v>
      </c>
      <c r="E278" s="8">
        <v>4.6</v>
      </c>
      <c r="F278" s="10">
        <v>30387467</v>
      </c>
      <c r="G278" s="8">
        <v>1195</v>
      </c>
      <c r="H278" s="8">
        <v>484.7</v>
      </c>
      <c r="I278" s="8">
        <v>15.95</v>
      </c>
      <c r="J278" s="8">
        <v>8.81</v>
      </c>
      <c r="K278" s="8">
        <v>1791.92</v>
      </c>
      <c r="L278" s="8">
        <v>3836</v>
      </c>
      <c r="M278" s="11">
        <v>0.0662</v>
      </c>
      <c r="N278" s="11">
        <v>0.2087</v>
      </c>
      <c r="O278" s="8">
        <v>55</v>
      </c>
      <c r="P278" s="8">
        <v>3015</v>
      </c>
      <c r="Q278" s="11">
        <v>0.0776</v>
      </c>
      <c r="R278" s="11">
        <v>0.3162</v>
      </c>
      <c r="S278" s="8">
        <v>76</v>
      </c>
      <c r="T278" s="11">
        <v>0.1139</v>
      </c>
      <c r="U278" s="11">
        <v>0.249</v>
      </c>
      <c r="V278" s="11">
        <v>0.1951</v>
      </c>
      <c r="W278" s="11">
        <v>0.2597</v>
      </c>
      <c r="X278" s="8">
        <v>39.59</v>
      </c>
      <c r="Y278" s="8">
        <v>62</v>
      </c>
      <c r="Z278" s="8">
        <v>0.64</v>
      </c>
      <c r="AA278" s="8">
        <v>39.59</v>
      </c>
      <c r="AB278" s="8">
        <v>8.17</v>
      </c>
      <c r="AC278" s="8">
        <v>3.21</v>
      </c>
      <c r="AD278" s="8">
        <v>1</v>
      </c>
      <c r="AE278" s="8">
        <v>0</v>
      </c>
      <c r="AF278" s="11">
        <v>0</v>
      </c>
      <c r="AG278" s="8">
        <v>0</v>
      </c>
      <c r="AH278" s="8">
        <v>1</v>
      </c>
      <c r="AI278" s="11">
        <v>1</v>
      </c>
      <c r="AJ278" s="8" t="s">
        <v>577</v>
      </c>
    </row>
    <row r="279" customFormat="1" ht="22" customHeight="1" spans="1:36">
      <c r="A279" s="8" t="s">
        <v>37</v>
      </c>
      <c r="B279" s="8" t="str">
        <f>VLOOKUP(F279,[1]Sheet1!$B:$E,3,FALSE)</f>
        <v>徐从众</v>
      </c>
      <c r="C279" s="8" t="str">
        <f>VLOOKUP(F279,[1]Sheet1!$B:$E,4,FALSE)</f>
        <v>B</v>
      </c>
      <c r="D279" s="8" t="s">
        <v>578</v>
      </c>
      <c r="E279" s="8">
        <v>4.7</v>
      </c>
      <c r="F279" s="10">
        <v>31514751</v>
      </c>
      <c r="G279" s="8">
        <v>736</v>
      </c>
      <c r="H279" s="8">
        <v>478.61</v>
      </c>
      <c r="I279" s="8">
        <v>23.86</v>
      </c>
      <c r="J279" s="8">
        <v>16.5</v>
      </c>
      <c r="K279" s="8">
        <v>2149.43</v>
      </c>
      <c r="L279" s="8">
        <v>686</v>
      </c>
      <c r="M279" s="11">
        <v>0.1035</v>
      </c>
      <c r="N279" s="11">
        <v>0.4085</v>
      </c>
      <c r="O279" s="8">
        <v>29</v>
      </c>
      <c r="P279" s="8">
        <v>3946</v>
      </c>
      <c r="Q279" s="11">
        <v>0.0778</v>
      </c>
      <c r="R279" s="11">
        <v>0.355</v>
      </c>
      <c r="S279" s="8">
        <v>110</v>
      </c>
      <c r="T279" s="11">
        <v>0.1722</v>
      </c>
      <c r="U279" s="11">
        <v>0.3145</v>
      </c>
      <c r="V279" s="11">
        <v>0.2364</v>
      </c>
      <c r="W279" s="11">
        <v>0.3376</v>
      </c>
      <c r="X279" s="8">
        <v>49.75</v>
      </c>
      <c r="Y279" s="8">
        <v>41</v>
      </c>
      <c r="Z279" s="8">
        <v>1.21</v>
      </c>
      <c r="AA279" s="8">
        <v>49.75</v>
      </c>
      <c r="AB279" s="8">
        <v>10.39</v>
      </c>
      <c r="AC279" s="8">
        <v>0.93</v>
      </c>
      <c r="AD279" s="8">
        <v>1</v>
      </c>
      <c r="AE279" s="8">
        <v>0</v>
      </c>
      <c r="AF279" s="11">
        <v>0</v>
      </c>
      <c r="AG279" s="8">
        <v>0</v>
      </c>
      <c r="AH279" s="8">
        <v>1</v>
      </c>
      <c r="AI279" s="11">
        <v>1</v>
      </c>
      <c r="AJ279" s="8" t="s">
        <v>579</v>
      </c>
    </row>
    <row r="280" customFormat="1" ht="22" customHeight="1" spans="1:36">
      <c r="A280" s="8" t="s">
        <v>37</v>
      </c>
      <c r="B280" s="8" t="str">
        <f>VLOOKUP(F280,[1]Sheet1!$B:$E,3,FALSE)</f>
        <v>徐从众</v>
      </c>
      <c r="C280" s="8" t="str">
        <f>VLOOKUP(F280,[1]Sheet1!$B:$E,4,FALSE)</f>
        <v>C</v>
      </c>
      <c r="D280" s="8" t="s">
        <v>580</v>
      </c>
      <c r="E280" s="8">
        <v>4.7</v>
      </c>
      <c r="F280" s="10">
        <v>5026511</v>
      </c>
      <c r="G280" s="8">
        <v>435</v>
      </c>
      <c r="H280" s="8">
        <v>476.67</v>
      </c>
      <c r="I280" s="8">
        <v>42.07</v>
      </c>
      <c r="J280" s="8">
        <v>31.78</v>
      </c>
      <c r="K280" s="8">
        <v>3263.87</v>
      </c>
      <c r="L280" s="8">
        <v>974</v>
      </c>
      <c r="M280" s="11">
        <v>0.0565</v>
      </c>
      <c r="N280" s="11">
        <v>0.2727</v>
      </c>
      <c r="O280" s="8">
        <v>15</v>
      </c>
      <c r="P280" s="8">
        <v>4418</v>
      </c>
      <c r="Q280" s="11">
        <v>0.0779</v>
      </c>
      <c r="R280" s="11">
        <v>0.2413</v>
      </c>
      <c r="S280" s="8">
        <v>86</v>
      </c>
      <c r="T280" s="11">
        <v>0.1374</v>
      </c>
      <c r="U280" s="11">
        <v>0.2201</v>
      </c>
      <c r="V280" s="11">
        <v>0.1954</v>
      </c>
      <c r="W280" s="11">
        <v>0.2897</v>
      </c>
      <c r="X280" s="8">
        <v>41.71</v>
      </c>
      <c r="Y280" s="8">
        <v>36</v>
      </c>
      <c r="Z280" s="8">
        <v>1.16</v>
      </c>
      <c r="AA280" s="8">
        <v>41.71</v>
      </c>
      <c r="AB280" s="8">
        <v>8.75</v>
      </c>
      <c r="AC280" s="8">
        <v>2.24</v>
      </c>
      <c r="AD280" s="8">
        <v>3</v>
      </c>
      <c r="AE280" s="8">
        <v>3</v>
      </c>
      <c r="AF280" s="11">
        <v>1</v>
      </c>
      <c r="AG280" s="8">
        <v>0</v>
      </c>
      <c r="AH280" s="8">
        <v>0</v>
      </c>
      <c r="AI280" s="11">
        <v>0</v>
      </c>
      <c r="AJ280" s="8" t="s">
        <v>581</v>
      </c>
    </row>
    <row r="281" customFormat="1" ht="22" customHeight="1" spans="1:36">
      <c r="A281" s="8" t="s">
        <v>37</v>
      </c>
      <c r="B281" s="8" t="str">
        <f>VLOOKUP(F281,[1]Sheet1!$B:$E,3,FALSE)</f>
        <v>刘欢</v>
      </c>
      <c r="C281" s="8" t="str">
        <f>VLOOKUP(F281,[1]Sheet1!$B:$E,4,FALSE)</f>
        <v>B</v>
      </c>
      <c r="D281" s="8" t="s">
        <v>582</v>
      </c>
      <c r="E281" s="8">
        <v>4.7</v>
      </c>
      <c r="F281" s="10">
        <v>32717917</v>
      </c>
      <c r="G281" s="8">
        <v>645</v>
      </c>
      <c r="H281" s="8">
        <v>476.46</v>
      </c>
      <c r="I281" s="8">
        <v>27.41</v>
      </c>
      <c r="J281" s="8">
        <v>18.33</v>
      </c>
      <c r="K281" s="8">
        <v>1252.92</v>
      </c>
      <c r="L281" s="8">
        <v>1377</v>
      </c>
      <c r="M281" s="11">
        <v>0.0574</v>
      </c>
      <c r="N281" s="11">
        <v>0.3291</v>
      </c>
      <c r="O281" s="8">
        <v>26</v>
      </c>
      <c r="P281" s="8">
        <v>2018</v>
      </c>
      <c r="Q281" s="11">
        <v>0.0763</v>
      </c>
      <c r="R281" s="11">
        <v>0.3442</v>
      </c>
      <c r="S281" s="8">
        <v>54</v>
      </c>
      <c r="T281" s="11">
        <v>0.1607</v>
      </c>
      <c r="U281" s="11">
        <v>0.305</v>
      </c>
      <c r="V281" s="11">
        <v>0.1799</v>
      </c>
      <c r="W281" s="11">
        <v>0.2735</v>
      </c>
      <c r="X281" s="8">
        <v>48.21</v>
      </c>
      <c r="Y281" s="8">
        <v>42</v>
      </c>
      <c r="Z281" s="8">
        <v>1.15</v>
      </c>
      <c r="AA281" s="8">
        <v>48.21</v>
      </c>
      <c r="AB281" s="8">
        <v>10.12</v>
      </c>
      <c r="AC281" s="8">
        <v>2.13</v>
      </c>
      <c r="AD281" s="8">
        <v>1</v>
      </c>
      <c r="AE281" s="8">
        <v>1</v>
      </c>
      <c r="AF281" s="11">
        <v>1</v>
      </c>
      <c r="AG281" s="8">
        <v>0</v>
      </c>
      <c r="AH281" s="8">
        <v>0</v>
      </c>
      <c r="AI281" s="11">
        <v>0</v>
      </c>
      <c r="AJ281" s="8" t="s">
        <v>583</v>
      </c>
    </row>
    <row r="282" customFormat="1" ht="22" customHeight="1" spans="1:36">
      <c r="A282" s="8" t="s">
        <v>37</v>
      </c>
      <c r="B282" s="8" t="str">
        <f>VLOOKUP(F282,[1]Sheet1!$B:$E,3,FALSE)</f>
        <v>刘欢</v>
      </c>
      <c r="C282" s="9" t="str">
        <f>VLOOKUP(F282,[1]Sheet1!$B:$E,4,FALSE)</f>
        <v>A</v>
      </c>
      <c r="D282" s="8" t="s">
        <v>584</v>
      </c>
      <c r="E282" s="8">
        <v>4.8</v>
      </c>
      <c r="F282" s="10">
        <v>27924923</v>
      </c>
      <c r="G282" s="8">
        <v>838</v>
      </c>
      <c r="H282" s="8">
        <v>473.79</v>
      </c>
      <c r="I282" s="8">
        <v>23.6</v>
      </c>
      <c r="J282" s="8">
        <v>13.54</v>
      </c>
      <c r="K282" s="8">
        <v>1391.53</v>
      </c>
      <c r="L282" s="8">
        <v>1063</v>
      </c>
      <c r="M282" s="11">
        <v>0.0753</v>
      </c>
      <c r="N282" s="11">
        <v>0.425</v>
      </c>
      <c r="O282" s="8">
        <v>35</v>
      </c>
      <c r="P282" s="8">
        <v>2079</v>
      </c>
      <c r="Q282" s="11">
        <v>0.077</v>
      </c>
      <c r="R282" s="11">
        <v>0.2125</v>
      </c>
      <c r="S282" s="8">
        <v>35</v>
      </c>
      <c r="T282" s="11">
        <v>0.1932</v>
      </c>
      <c r="U282" s="11">
        <v>0.3911</v>
      </c>
      <c r="V282" s="11">
        <v>0.1167</v>
      </c>
      <c r="W282" s="11">
        <v>0.1643</v>
      </c>
      <c r="X282" s="8">
        <v>36.51</v>
      </c>
      <c r="Y282" s="8">
        <v>31</v>
      </c>
      <c r="Z282" s="8">
        <v>1.18</v>
      </c>
      <c r="AA282" s="8">
        <v>36.51</v>
      </c>
      <c r="AB282" s="8">
        <v>7.71</v>
      </c>
      <c r="AC282" s="8">
        <v>1.27</v>
      </c>
      <c r="AD282" s="8">
        <v>0</v>
      </c>
      <c r="AE282" s="8">
        <v>0</v>
      </c>
      <c r="AF282" s="11">
        <v>0</v>
      </c>
      <c r="AG282" s="8">
        <v>0</v>
      </c>
      <c r="AH282" s="8">
        <v>0</v>
      </c>
      <c r="AI282" s="11">
        <v>0</v>
      </c>
      <c r="AJ282" s="8" t="s">
        <v>585</v>
      </c>
    </row>
    <row r="283" customFormat="1" ht="22" customHeight="1" spans="1:36">
      <c r="A283" s="8" t="s">
        <v>37</v>
      </c>
      <c r="B283" s="8" t="str">
        <f>VLOOKUP(F283,[1]Sheet1!$B:$E,3,FALSE)</f>
        <v>徐从众</v>
      </c>
      <c r="C283" s="9" t="str">
        <f>VLOOKUP(F283,[1]Sheet1!$B:$E,4,FALSE)</f>
        <v>A</v>
      </c>
      <c r="D283" s="8" t="s">
        <v>586</v>
      </c>
      <c r="E283" s="8">
        <v>4.4</v>
      </c>
      <c r="F283" s="10">
        <v>32541272</v>
      </c>
      <c r="G283" s="8">
        <v>264</v>
      </c>
      <c r="H283" s="8">
        <v>471.24</v>
      </c>
      <c r="I283" s="8">
        <v>76.58</v>
      </c>
      <c r="J283" s="8">
        <v>58.9</v>
      </c>
      <c r="K283" s="8">
        <v>3635.17</v>
      </c>
      <c r="L283" s="8">
        <v>550</v>
      </c>
      <c r="M283" s="11">
        <v>0.1145</v>
      </c>
      <c r="N283" s="11">
        <v>0.127</v>
      </c>
      <c r="O283" s="8">
        <v>8</v>
      </c>
      <c r="P283" s="8">
        <v>3678</v>
      </c>
      <c r="Q283" s="11">
        <v>0.0813</v>
      </c>
      <c r="R283" s="11">
        <v>0.2508</v>
      </c>
      <c r="S283" s="8">
        <v>77</v>
      </c>
      <c r="T283" s="11">
        <v>0.0809</v>
      </c>
      <c r="U283" s="11">
        <v>0.303</v>
      </c>
      <c r="V283" s="11">
        <v>0.1999</v>
      </c>
      <c r="W283" s="11">
        <v>0.2574</v>
      </c>
      <c r="X283" s="8">
        <v>25.66</v>
      </c>
      <c r="Y283" s="8">
        <v>31</v>
      </c>
      <c r="Z283" s="8">
        <v>0.83</v>
      </c>
      <c r="AA283" s="8">
        <v>25.66</v>
      </c>
      <c r="AB283" s="8">
        <v>5.45</v>
      </c>
      <c r="AC283" s="8">
        <v>2.08</v>
      </c>
      <c r="AD283" s="8">
        <v>0</v>
      </c>
      <c r="AE283" s="8">
        <v>0</v>
      </c>
      <c r="AF283" s="11">
        <v>0</v>
      </c>
      <c r="AG283" s="8">
        <v>0</v>
      </c>
      <c r="AH283" s="8">
        <v>0</v>
      </c>
      <c r="AI283" s="11">
        <v>0</v>
      </c>
      <c r="AJ283" s="8" t="s">
        <v>587</v>
      </c>
    </row>
    <row r="284" customFormat="1" ht="22" customHeight="1" spans="1:36">
      <c r="A284" s="8" t="s">
        <v>37</v>
      </c>
      <c r="B284" s="8" t="str">
        <f>VLOOKUP(F284,[1]Sheet1!$B:$E,3,FALSE)</f>
        <v>徐从众</v>
      </c>
      <c r="C284" s="9" t="str">
        <f>VLOOKUP(F284,[1]Sheet1!$B:$E,4,FALSE)</f>
        <v>S</v>
      </c>
      <c r="D284" s="8" t="s">
        <v>588</v>
      </c>
      <c r="E284" s="8">
        <v>4.6</v>
      </c>
      <c r="F284" s="10">
        <v>25394961</v>
      </c>
      <c r="G284" s="8">
        <v>462</v>
      </c>
      <c r="H284" s="8">
        <v>468.83</v>
      </c>
      <c r="I284" s="8">
        <v>74.56</v>
      </c>
      <c r="J284" s="8">
        <v>52.09</v>
      </c>
      <c r="K284" s="8">
        <v>5294.72</v>
      </c>
      <c r="L284" s="8">
        <v>901</v>
      </c>
      <c r="M284" s="11">
        <v>0.0821</v>
      </c>
      <c r="N284" s="11">
        <v>0.1216</v>
      </c>
      <c r="O284" s="8">
        <v>9</v>
      </c>
      <c r="P284" s="8">
        <v>5779</v>
      </c>
      <c r="Q284" s="11">
        <v>0.0843</v>
      </c>
      <c r="R284" s="11">
        <v>0.2218</v>
      </c>
      <c r="S284" s="8">
        <v>111</v>
      </c>
      <c r="T284" s="11">
        <v>0.0874</v>
      </c>
      <c r="U284" s="11">
        <v>0.268</v>
      </c>
      <c r="V284" s="11">
        <v>0.2096</v>
      </c>
      <c r="W284" s="11">
        <v>0.2877</v>
      </c>
      <c r="X284" s="8">
        <v>50.81</v>
      </c>
      <c r="Y284" s="8">
        <v>37</v>
      </c>
      <c r="Z284" s="8">
        <v>1.37</v>
      </c>
      <c r="AA284" s="8">
        <v>50.81</v>
      </c>
      <c r="AB284" s="8">
        <v>10.84</v>
      </c>
      <c r="AC284" s="8">
        <v>1.95</v>
      </c>
      <c r="AD284" s="8">
        <v>1</v>
      </c>
      <c r="AE284" s="8">
        <v>1</v>
      </c>
      <c r="AF284" s="11">
        <v>1</v>
      </c>
      <c r="AG284" s="8">
        <v>0</v>
      </c>
      <c r="AH284" s="8">
        <v>0</v>
      </c>
      <c r="AI284" s="11">
        <v>0</v>
      </c>
      <c r="AJ284" s="8" t="s">
        <v>589</v>
      </c>
    </row>
    <row r="285" customFormat="1" ht="22" customHeight="1" spans="1:36">
      <c r="A285" s="8" t="s">
        <v>37</v>
      </c>
      <c r="B285" s="8" t="e">
        <f>VLOOKUP(F285,[1]Sheet1!$B:$E,3,FALSE)</f>
        <v>#N/A</v>
      </c>
      <c r="C285" s="8" t="e">
        <f>VLOOKUP(F285,[1]Sheet1!$B:$E,4,FALSE)</f>
        <v>#N/A</v>
      </c>
      <c r="D285" s="12" t="s">
        <v>590</v>
      </c>
      <c r="E285" s="12">
        <v>4.2</v>
      </c>
      <c r="F285" s="13">
        <v>27131564</v>
      </c>
      <c r="G285" s="8">
        <v>724</v>
      </c>
      <c r="H285" s="8">
        <v>466.69</v>
      </c>
      <c r="I285" s="8">
        <v>27.25</v>
      </c>
      <c r="J285" s="8">
        <v>21.21</v>
      </c>
      <c r="K285" s="8">
        <v>2721.16</v>
      </c>
      <c r="L285" s="8">
        <v>1280</v>
      </c>
      <c r="M285" s="11">
        <v>0.0664</v>
      </c>
      <c r="N285" s="11">
        <v>0.2588</v>
      </c>
      <c r="O285" s="8">
        <v>22</v>
      </c>
      <c r="P285" s="8">
        <v>3677</v>
      </c>
      <c r="Q285" s="11">
        <v>0.0696</v>
      </c>
      <c r="R285" s="11">
        <v>0.3672</v>
      </c>
      <c r="S285" s="8">
        <v>94</v>
      </c>
      <c r="T285" s="11">
        <v>0.0988</v>
      </c>
      <c r="U285" s="11">
        <v>0.2731</v>
      </c>
      <c r="V285" s="11">
        <v>0.2011</v>
      </c>
      <c r="W285" s="11">
        <v>0.2927</v>
      </c>
      <c r="X285" s="8">
        <v>59.2</v>
      </c>
      <c r="Y285" s="8">
        <v>43</v>
      </c>
      <c r="Z285" s="8">
        <v>1.38</v>
      </c>
      <c r="AA285" s="8">
        <v>59.2</v>
      </c>
      <c r="AB285" s="8">
        <v>12.69</v>
      </c>
      <c r="AC285" s="8">
        <v>1.77</v>
      </c>
      <c r="AD285" s="8">
        <v>0</v>
      </c>
      <c r="AE285" s="8">
        <v>0</v>
      </c>
      <c r="AF285" s="11">
        <v>0</v>
      </c>
      <c r="AG285" s="8">
        <v>0</v>
      </c>
      <c r="AH285" s="8">
        <v>0</v>
      </c>
      <c r="AI285" s="11">
        <v>0</v>
      </c>
      <c r="AJ285" s="8" t="s">
        <v>591</v>
      </c>
    </row>
    <row r="286" customFormat="1" ht="22" customHeight="1" spans="1:36">
      <c r="A286" s="8" t="s">
        <v>37</v>
      </c>
      <c r="B286" s="8" t="str">
        <f>VLOOKUP(F286,[1]Sheet1!$B:$E,3,FALSE)</f>
        <v>徐从众</v>
      </c>
      <c r="C286" s="9" t="str">
        <f>VLOOKUP(F286,[1]Sheet1!$B:$E,4,FALSE)</f>
        <v>S</v>
      </c>
      <c r="D286" s="8" t="s">
        <v>592</v>
      </c>
      <c r="E286" s="8">
        <v>4.9</v>
      </c>
      <c r="F286" s="10">
        <v>33715174</v>
      </c>
      <c r="G286" s="8">
        <v>668</v>
      </c>
      <c r="H286" s="8">
        <v>466.36</v>
      </c>
      <c r="I286" s="8">
        <v>25.32</v>
      </c>
      <c r="J286" s="8">
        <v>16.08</v>
      </c>
      <c r="K286" s="8">
        <v>4296.03</v>
      </c>
      <c r="L286" s="8">
        <v>1136</v>
      </c>
      <c r="M286" s="11">
        <v>0.0854</v>
      </c>
      <c r="N286" s="11">
        <v>0.299</v>
      </c>
      <c r="O286" s="8">
        <v>29</v>
      </c>
      <c r="P286" s="8">
        <v>4180</v>
      </c>
      <c r="Q286" s="11">
        <v>0.0978</v>
      </c>
      <c r="R286" s="11">
        <v>0.3521</v>
      </c>
      <c r="S286" s="8">
        <v>146</v>
      </c>
      <c r="T286" s="11">
        <v>0.2623</v>
      </c>
      <c r="U286" s="11">
        <v>0.4</v>
      </c>
      <c r="V286" s="11">
        <v>0.2549</v>
      </c>
      <c r="W286" s="11">
        <v>0.3344</v>
      </c>
      <c r="X286" s="8">
        <v>69.3</v>
      </c>
      <c r="Y286" s="8">
        <v>61</v>
      </c>
      <c r="Z286" s="8">
        <v>1.14</v>
      </c>
      <c r="AA286" s="8">
        <v>69.3</v>
      </c>
      <c r="AB286" s="8">
        <v>14.86</v>
      </c>
      <c r="AC286" s="8">
        <v>1.7</v>
      </c>
      <c r="AD286" s="8">
        <v>1</v>
      </c>
      <c r="AE286" s="8">
        <v>0</v>
      </c>
      <c r="AF286" s="11">
        <v>0</v>
      </c>
      <c r="AG286" s="8">
        <v>1</v>
      </c>
      <c r="AH286" s="8">
        <v>0</v>
      </c>
      <c r="AI286" s="11">
        <v>0</v>
      </c>
      <c r="AJ286" s="8" t="s">
        <v>593</v>
      </c>
    </row>
    <row r="287" customFormat="1" ht="22" customHeight="1" spans="1:36">
      <c r="A287" s="8" t="s">
        <v>37</v>
      </c>
      <c r="B287" s="8" t="e">
        <f>VLOOKUP(F287,[1]Sheet1!$B:$E,3,FALSE)</f>
        <v>#N/A</v>
      </c>
      <c r="C287" s="8" t="e">
        <f>VLOOKUP(F287,[1]Sheet1!$B:$E,4,FALSE)</f>
        <v>#N/A</v>
      </c>
      <c r="D287" s="8" t="s">
        <v>594</v>
      </c>
      <c r="E287" s="8">
        <v>4.7</v>
      </c>
      <c r="F287" s="10">
        <v>33142740</v>
      </c>
      <c r="G287" s="8">
        <v>793</v>
      </c>
      <c r="H287" s="8">
        <v>440.57</v>
      </c>
      <c r="I287" s="8">
        <v>22.86</v>
      </c>
      <c r="J287" s="8">
        <v>16.32</v>
      </c>
      <c r="K287" s="8">
        <v>3160.86</v>
      </c>
      <c r="L287" s="8">
        <v>1115</v>
      </c>
      <c r="M287" s="11">
        <v>0.0682</v>
      </c>
      <c r="N287" s="11">
        <v>0.3553</v>
      </c>
      <c r="O287" s="8">
        <v>27</v>
      </c>
      <c r="P287" s="8">
        <v>3087</v>
      </c>
      <c r="Q287" s="11">
        <v>0.0923</v>
      </c>
      <c r="R287" s="11">
        <v>0.3789</v>
      </c>
      <c r="S287" s="8">
        <v>109</v>
      </c>
      <c r="T287" s="11">
        <v>0.1716</v>
      </c>
      <c r="U287" s="11">
        <v>0.5397</v>
      </c>
      <c r="V287" s="11">
        <v>0.2402</v>
      </c>
      <c r="W287" s="11">
        <v>0.3378</v>
      </c>
      <c r="X287" s="8">
        <v>44.75</v>
      </c>
      <c r="Y287" s="8">
        <v>36</v>
      </c>
      <c r="Z287" s="8">
        <v>1.24</v>
      </c>
      <c r="AA287" s="8">
        <v>44.75</v>
      </c>
      <c r="AB287" s="8">
        <v>10.16</v>
      </c>
      <c r="AC287" s="8">
        <v>1.41</v>
      </c>
      <c r="AD287" s="8">
        <v>0</v>
      </c>
      <c r="AE287" s="8">
        <v>0</v>
      </c>
      <c r="AF287" s="11">
        <v>0</v>
      </c>
      <c r="AG287" s="8">
        <v>0</v>
      </c>
      <c r="AH287" s="8">
        <v>0</v>
      </c>
      <c r="AI287" s="11">
        <v>0</v>
      </c>
      <c r="AJ287" s="8" t="s">
        <v>595</v>
      </c>
    </row>
    <row r="288" customFormat="1" ht="22" customHeight="1" spans="1:36">
      <c r="A288" s="8" t="s">
        <v>37</v>
      </c>
      <c r="B288" s="8" t="str">
        <f>VLOOKUP(F288,[1]Sheet1!$B:$E,3,FALSE)</f>
        <v>岳贝贝</v>
      </c>
      <c r="C288" s="8" t="str">
        <f>VLOOKUP(F288,[1]Sheet1!$B:$E,4,FALSE)</f>
        <v>B</v>
      </c>
      <c r="D288" s="8" t="s">
        <v>596</v>
      </c>
      <c r="E288" s="8">
        <v>4.9</v>
      </c>
      <c r="F288" s="10">
        <v>28725709</v>
      </c>
      <c r="G288" s="8">
        <v>795</v>
      </c>
      <c r="H288" s="8">
        <v>438.92</v>
      </c>
      <c r="I288" s="8">
        <v>15.42</v>
      </c>
      <c r="J288" s="8">
        <v>10.45</v>
      </c>
      <c r="K288" s="8">
        <v>3431.64</v>
      </c>
      <c r="L288" s="8">
        <v>1128</v>
      </c>
      <c r="M288" s="11">
        <v>0.0709</v>
      </c>
      <c r="N288" s="11">
        <v>0.3625</v>
      </c>
      <c r="O288" s="8">
        <v>42</v>
      </c>
      <c r="P288" s="8">
        <v>4277</v>
      </c>
      <c r="Q288" s="11">
        <v>0.0828</v>
      </c>
      <c r="R288" s="11">
        <v>0.3418</v>
      </c>
      <c r="S288" s="8">
        <v>124</v>
      </c>
      <c r="T288" s="11">
        <v>0.3295</v>
      </c>
      <c r="U288" s="11">
        <v>0.4011</v>
      </c>
      <c r="V288" s="11">
        <v>0.2341</v>
      </c>
      <c r="W288" s="11">
        <v>0.2949</v>
      </c>
      <c r="X288" s="8">
        <v>22.03</v>
      </c>
      <c r="Y288" s="8">
        <v>30</v>
      </c>
      <c r="Z288" s="8">
        <v>0.73</v>
      </c>
      <c r="AA288" s="8">
        <v>22.03</v>
      </c>
      <c r="AB288" s="8">
        <v>5.02</v>
      </c>
      <c r="AC288" s="8">
        <v>1.42</v>
      </c>
      <c r="AD288" s="8">
        <v>0</v>
      </c>
      <c r="AE288" s="8">
        <v>0</v>
      </c>
      <c r="AF288" s="11">
        <v>0</v>
      </c>
      <c r="AG288" s="8">
        <v>0</v>
      </c>
      <c r="AH288" s="8">
        <v>0</v>
      </c>
      <c r="AI288" s="11">
        <v>0</v>
      </c>
      <c r="AJ288" s="8" t="s">
        <v>597</v>
      </c>
    </row>
    <row r="289" customFormat="1" ht="22" customHeight="1" spans="1:36">
      <c r="A289" s="8" t="s">
        <v>37</v>
      </c>
      <c r="B289" s="8" t="str">
        <f>VLOOKUP(F289,[1]Sheet1!$B:$E,3,FALSE)</f>
        <v>徐从众</v>
      </c>
      <c r="C289" s="9" t="str">
        <f>VLOOKUP(F289,[1]Sheet1!$B:$E,4,FALSE)</f>
        <v>A</v>
      </c>
      <c r="D289" s="12" t="s">
        <v>598</v>
      </c>
      <c r="E289" s="12">
        <v>4.3</v>
      </c>
      <c r="F289" s="13">
        <v>11442884</v>
      </c>
      <c r="G289" s="8">
        <v>619</v>
      </c>
      <c r="H289" s="8">
        <v>428.51</v>
      </c>
      <c r="I289" s="8">
        <v>38.39</v>
      </c>
      <c r="J289" s="8">
        <v>23.81</v>
      </c>
      <c r="K289" s="8">
        <v>4693.93</v>
      </c>
      <c r="L289" s="8">
        <v>1736</v>
      </c>
      <c r="M289" s="11">
        <v>0.0616</v>
      </c>
      <c r="N289" s="11">
        <v>0.1682</v>
      </c>
      <c r="O289" s="8">
        <v>18</v>
      </c>
      <c r="P289" s="8">
        <v>3780</v>
      </c>
      <c r="Q289" s="11">
        <v>0.0966</v>
      </c>
      <c r="R289" s="11">
        <v>0.2411</v>
      </c>
      <c r="S289" s="8">
        <v>91</v>
      </c>
      <c r="T289" s="11">
        <v>0.1364</v>
      </c>
      <c r="U289" s="11">
        <v>0.2383</v>
      </c>
      <c r="V289" s="11">
        <v>0.2359</v>
      </c>
      <c r="W289" s="11">
        <v>0.3089</v>
      </c>
      <c r="X289" s="8">
        <v>50</v>
      </c>
      <c r="Y289" s="8">
        <v>46</v>
      </c>
      <c r="Z289" s="8">
        <v>1.09</v>
      </c>
      <c r="AA289" s="8">
        <v>50</v>
      </c>
      <c r="AB289" s="8">
        <v>11.67</v>
      </c>
      <c r="AC289" s="8">
        <v>2.8</v>
      </c>
      <c r="AD289" s="8">
        <v>1</v>
      </c>
      <c r="AE289" s="8">
        <v>1</v>
      </c>
      <c r="AF289" s="11">
        <v>1</v>
      </c>
      <c r="AG289" s="8">
        <v>0</v>
      </c>
      <c r="AH289" s="8">
        <v>0</v>
      </c>
      <c r="AI289" s="11">
        <v>0</v>
      </c>
      <c r="AJ289" s="8" t="s">
        <v>599</v>
      </c>
    </row>
    <row r="290" customFormat="1" ht="22" customHeight="1" spans="1:36">
      <c r="A290" s="8" t="s">
        <v>37</v>
      </c>
      <c r="B290" s="8" t="str">
        <f>VLOOKUP(F290,[1]Sheet1!$B:$E,3,FALSE)</f>
        <v>岳贝贝</v>
      </c>
      <c r="C290" s="8" t="str">
        <f>VLOOKUP(F290,[1]Sheet1!$B:$E,4,FALSE)</f>
        <v>B</v>
      </c>
      <c r="D290" s="8" t="s">
        <v>600</v>
      </c>
      <c r="E290" s="8">
        <v>4.6</v>
      </c>
      <c r="F290" s="10">
        <v>33716078</v>
      </c>
      <c r="G290" s="8">
        <v>757</v>
      </c>
      <c r="H290" s="8">
        <v>426.87</v>
      </c>
      <c r="I290" s="8">
        <v>19.82</v>
      </c>
      <c r="J290" s="8">
        <v>12.94</v>
      </c>
      <c r="K290" s="8">
        <v>1756.39</v>
      </c>
      <c r="L290" s="8">
        <v>1392</v>
      </c>
      <c r="M290" s="11">
        <v>0.0675</v>
      </c>
      <c r="N290" s="11">
        <v>0.3511</v>
      </c>
      <c r="O290" s="8">
        <v>33</v>
      </c>
      <c r="P290" s="8">
        <v>2966</v>
      </c>
      <c r="Q290" s="11">
        <v>0.0809</v>
      </c>
      <c r="R290" s="11">
        <v>0.3083</v>
      </c>
      <c r="S290" s="8">
        <v>76</v>
      </c>
      <c r="T290" s="11">
        <v>0.2194</v>
      </c>
      <c r="U290" s="11">
        <v>0.4186</v>
      </c>
      <c r="V290" s="11">
        <v>0.2098</v>
      </c>
      <c r="W290" s="11">
        <v>0.2604</v>
      </c>
      <c r="X290" s="8">
        <v>0</v>
      </c>
      <c r="Y290" s="8">
        <v>0</v>
      </c>
      <c r="Z290" s="8">
        <v>-0.01</v>
      </c>
      <c r="AA290" s="8">
        <v>0</v>
      </c>
      <c r="AB290" s="8">
        <v>0</v>
      </c>
      <c r="AC290" s="8">
        <v>1.84</v>
      </c>
      <c r="AD290" s="8">
        <v>1</v>
      </c>
      <c r="AE290" s="8">
        <v>0</v>
      </c>
      <c r="AF290" s="11">
        <v>0</v>
      </c>
      <c r="AG290" s="8">
        <v>0</v>
      </c>
      <c r="AH290" s="8">
        <v>1</v>
      </c>
      <c r="AI290" s="11">
        <v>1</v>
      </c>
      <c r="AJ290" s="8" t="s">
        <v>601</v>
      </c>
    </row>
    <row r="291" customFormat="1" ht="22" customHeight="1" spans="1:36">
      <c r="A291" s="8" t="s">
        <v>37</v>
      </c>
      <c r="B291" s="8" t="str">
        <f>VLOOKUP(F291,[1]Sheet1!$B:$E,3,FALSE)</f>
        <v>岳贝贝</v>
      </c>
      <c r="C291" s="8">
        <f>VLOOKUP(F291,[1]Sheet1!$B:$E,4,FALSE)</f>
        <v>0</v>
      </c>
      <c r="D291" s="8" t="s">
        <v>602</v>
      </c>
      <c r="E291" s="8">
        <v>4.4</v>
      </c>
      <c r="F291" s="10">
        <v>30162550</v>
      </c>
      <c r="G291" s="8">
        <v>798</v>
      </c>
      <c r="H291" s="8">
        <v>417.63</v>
      </c>
      <c r="I291" s="8">
        <v>20.56</v>
      </c>
      <c r="J291" s="8">
        <v>11.6</v>
      </c>
      <c r="K291" s="8">
        <v>2805.2</v>
      </c>
      <c r="L291" s="8">
        <v>1022</v>
      </c>
      <c r="M291" s="11">
        <v>0.0793</v>
      </c>
      <c r="N291" s="11">
        <v>0.4321</v>
      </c>
      <c r="O291" s="8">
        <v>36</v>
      </c>
      <c r="P291" s="8">
        <v>3224</v>
      </c>
      <c r="Q291" s="11">
        <v>0.0872</v>
      </c>
      <c r="R291" s="11">
        <v>0.363</v>
      </c>
      <c r="S291" s="8">
        <v>104</v>
      </c>
      <c r="T291" s="11">
        <v>0.1514</v>
      </c>
      <c r="U291" s="11">
        <v>0.3664</v>
      </c>
      <c r="V291" s="11">
        <v>0.2458</v>
      </c>
      <c r="W291" s="11">
        <v>0.3041</v>
      </c>
      <c r="X291" s="8">
        <v>0</v>
      </c>
      <c r="Y291" s="8">
        <v>0</v>
      </c>
      <c r="Z291" s="8">
        <v>-0.01</v>
      </c>
      <c r="AA291" s="8">
        <v>0</v>
      </c>
      <c r="AB291" s="8">
        <v>0</v>
      </c>
      <c r="AC291" s="8">
        <v>1.28</v>
      </c>
      <c r="AD291" s="8">
        <v>4</v>
      </c>
      <c r="AE291" s="8">
        <v>1</v>
      </c>
      <c r="AF291" s="11">
        <v>0.25</v>
      </c>
      <c r="AG291" s="8">
        <v>0</v>
      </c>
      <c r="AH291" s="8">
        <v>3</v>
      </c>
      <c r="AI291" s="11">
        <v>0.75</v>
      </c>
      <c r="AJ291" s="8" t="s">
        <v>603</v>
      </c>
    </row>
    <row r="292" customFormat="1" ht="22" customHeight="1" spans="1:36">
      <c r="A292" s="8" t="s">
        <v>37</v>
      </c>
      <c r="B292" s="8" t="str">
        <f>VLOOKUP(F292,[1]Sheet1!$B:$E,3,FALSE)</f>
        <v>岳贝贝</v>
      </c>
      <c r="C292" s="8" t="str">
        <f>VLOOKUP(F292,[1]Sheet1!$B:$E,4,FALSE)</f>
        <v>B</v>
      </c>
      <c r="D292" s="8" t="s">
        <v>604</v>
      </c>
      <c r="E292" s="8">
        <v>4.5</v>
      </c>
      <c r="F292" s="10">
        <v>33378949</v>
      </c>
      <c r="G292" s="8">
        <v>563</v>
      </c>
      <c r="H292" s="8">
        <v>408.12</v>
      </c>
      <c r="I292" s="8">
        <v>25.02</v>
      </c>
      <c r="J292" s="8">
        <v>15.7</v>
      </c>
      <c r="K292" s="8">
        <v>2697.51</v>
      </c>
      <c r="L292" s="8">
        <v>825</v>
      </c>
      <c r="M292" s="11">
        <v>0.0812</v>
      </c>
      <c r="N292" s="11">
        <v>0.3731</v>
      </c>
      <c r="O292" s="8">
        <v>26</v>
      </c>
      <c r="P292" s="8">
        <v>3069</v>
      </c>
      <c r="Q292" s="11">
        <v>0.0779</v>
      </c>
      <c r="R292" s="11">
        <v>0.3682</v>
      </c>
      <c r="S292" s="8">
        <v>91</v>
      </c>
      <c r="T292" s="11">
        <v>0.148</v>
      </c>
      <c r="U292" s="11">
        <v>0.2796</v>
      </c>
      <c r="V292" s="11">
        <v>0.2058</v>
      </c>
      <c r="W292" s="11">
        <v>0.2721</v>
      </c>
      <c r="X292" s="8">
        <v>15.76</v>
      </c>
      <c r="Y292" s="8">
        <v>23</v>
      </c>
      <c r="Z292" s="8">
        <v>0.69</v>
      </c>
      <c r="AA292" s="8">
        <v>15.76</v>
      </c>
      <c r="AB292" s="8">
        <v>3.86</v>
      </c>
      <c r="AC292" s="8">
        <v>1.47</v>
      </c>
      <c r="AD292" s="8">
        <v>0</v>
      </c>
      <c r="AE292" s="8">
        <v>0</v>
      </c>
      <c r="AF292" s="11">
        <v>0</v>
      </c>
      <c r="AG292" s="8">
        <v>0</v>
      </c>
      <c r="AH292" s="8">
        <v>0</v>
      </c>
      <c r="AI292" s="11">
        <v>0</v>
      </c>
      <c r="AJ292" s="8" t="s">
        <v>605</v>
      </c>
    </row>
    <row r="293" customFormat="1" ht="22" customHeight="1" spans="1:36">
      <c r="A293" s="8" t="s">
        <v>37</v>
      </c>
      <c r="B293" s="8" t="str">
        <f>VLOOKUP(F293,[1]Sheet1!$B:$E,3,FALSE)</f>
        <v>岳贝贝</v>
      </c>
      <c r="C293" s="9" t="str">
        <f>VLOOKUP(F293,[1]Sheet1!$B:$E,4,FALSE)</f>
        <v>A</v>
      </c>
      <c r="D293" s="8" t="s">
        <v>606</v>
      </c>
      <c r="E293" s="8">
        <v>4.4</v>
      </c>
      <c r="F293" s="10">
        <v>33411561</v>
      </c>
      <c r="G293" s="8">
        <v>271</v>
      </c>
      <c r="H293" s="8">
        <v>407.85</v>
      </c>
      <c r="I293" s="8">
        <v>90.84</v>
      </c>
      <c r="J293" s="8">
        <v>58.26</v>
      </c>
      <c r="K293" s="8">
        <v>438.1</v>
      </c>
      <c r="L293" s="8">
        <v>966</v>
      </c>
      <c r="M293" s="11">
        <v>0.0828</v>
      </c>
      <c r="N293" s="11">
        <v>0.0875</v>
      </c>
      <c r="O293" s="8">
        <v>7</v>
      </c>
      <c r="P293" s="8">
        <v>863</v>
      </c>
      <c r="Q293" s="11">
        <v>0.0939</v>
      </c>
      <c r="R293" s="11">
        <v>0.1358</v>
      </c>
      <c r="S293" s="8">
        <v>12</v>
      </c>
      <c r="T293" s="11">
        <v>0.0874</v>
      </c>
      <c r="U293" s="11">
        <v>0.25</v>
      </c>
      <c r="V293" s="11">
        <v>0.1696</v>
      </c>
      <c r="W293" s="11">
        <v>0.3315</v>
      </c>
      <c r="X293" s="8">
        <v>50</v>
      </c>
      <c r="Y293" s="8">
        <v>36</v>
      </c>
      <c r="Z293" s="8">
        <v>1.39</v>
      </c>
      <c r="AA293" s="8">
        <v>50</v>
      </c>
      <c r="AB293" s="8">
        <v>12.26</v>
      </c>
      <c r="AC293" s="8">
        <v>3.56</v>
      </c>
      <c r="AD293" s="8">
        <v>1</v>
      </c>
      <c r="AE293" s="8">
        <v>1</v>
      </c>
      <c r="AF293" s="11">
        <v>1</v>
      </c>
      <c r="AG293" s="8">
        <v>0</v>
      </c>
      <c r="AH293" s="8">
        <v>0</v>
      </c>
      <c r="AI293" s="11">
        <v>0</v>
      </c>
      <c r="AJ293" s="8" t="s">
        <v>607</v>
      </c>
    </row>
    <row r="294" customFormat="1" ht="22" customHeight="1" spans="1:36">
      <c r="A294" s="8" t="s">
        <v>37</v>
      </c>
      <c r="B294" s="8" t="e">
        <f>VLOOKUP(F294,[1]Sheet1!$B:$E,3,FALSE)</f>
        <v>#N/A</v>
      </c>
      <c r="C294" s="8" t="e">
        <f>VLOOKUP(F294,[1]Sheet1!$B:$E,4,FALSE)</f>
        <v>#N/A</v>
      </c>
      <c r="D294" s="8" t="s">
        <v>608</v>
      </c>
      <c r="E294" s="8">
        <v>4.5</v>
      </c>
      <c r="F294" s="10">
        <v>33893193</v>
      </c>
      <c r="G294" s="8">
        <v>865</v>
      </c>
      <c r="H294" s="8">
        <v>399.97</v>
      </c>
      <c r="I294" s="8">
        <v>16.99</v>
      </c>
      <c r="J294" s="8">
        <v>9.52</v>
      </c>
      <c r="K294" s="8">
        <v>3566.47</v>
      </c>
      <c r="L294" s="8">
        <v>2358</v>
      </c>
      <c r="M294" s="11">
        <v>0.0683</v>
      </c>
      <c r="N294" s="11">
        <v>0.2547</v>
      </c>
      <c r="O294" s="8">
        <v>42</v>
      </c>
      <c r="P294" s="8">
        <v>8599</v>
      </c>
      <c r="Q294" s="11">
        <v>0.0663</v>
      </c>
      <c r="R294" s="11">
        <v>0.3509</v>
      </c>
      <c r="S294" s="8">
        <v>206</v>
      </c>
      <c r="T294" s="11">
        <v>0.134</v>
      </c>
      <c r="U294" s="11">
        <v>0.3</v>
      </c>
      <c r="V294" s="11">
        <v>0.2021</v>
      </c>
      <c r="W294" s="11">
        <v>0.292</v>
      </c>
      <c r="X294" s="8">
        <v>5.97</v>
      </c>
      <c r="Y294" s="8">
        <v>13</v>
      </c>
      <c r="Z294" s="8">
        <v>0.46</v>
      </c>
      <c r="AA294" s="8">
        <v>5.97</v>
      </c>
      <c r="AB294" s="8">
        <v>1.49</v>
      </c>
      <c r="AC294" s="8">
        <v>2.73</v>
      </c>
      <c r="AD294" s="8">
        <v>7</v>
      </c>
      <c r="AE294" s="8">
        <v>6</v>
      </c>
      <c r="AF294" s="11">
        <v>0.8571</v>
      </c>
      <c r="AG294" s="8">
        <v>0</v>
      </c>
      <c r="AH294" s="8">
        <v>1</v>
      </c>
      <c r="AI294" s="11">
        <v>0.1429</v>
      </c>
      <c r="AJ294" s="8" t="s">
        <v>609</v>
      </c>
    </row>
    <row r="295" customFormat="1" ht="22" customHeight="1" spans="1:36">
      <c r="A295" s="8" t="s">
        <v>37</v>
      </c>
      <c r="B295" s="8" t="str">
        <f>VLOOKUP(F295,[1]Sheet1!$B:$E,3,FALSE)</f>
        <v>刘欢</v>
      </c>
      <c r="C295" s="8" t="str">
        <f>VLOOKUP(F295,[1]Sheet1!$B:$E,4,FALSE)</f>
        <v>B</v>
      </c>
      <c r="D295" s="8" t="s">
        <v>610</v>
      </c>
      <c r="E295" s="8">
        <v>4.6</v>
      </c>
      <c r="F295" s="10">
        <v>31585829</v>
      </c>
      <c r="G295" s="8">
        <v>486</v>
      </c>
      <c r="H295" s="8">
        <v>394.37</v>
      </c>
      <c r="I295" s="8">
        <v>39.09</v>
      </c>
      <c r="J295" s="8">
        <v>23.2</v>
      </c>
      <c r="K295" s="8">
        <v>3226.54</v>
      </c>
      <c r="L295" s="8">
        <v>1494</v>
      </c>
      <c r="M295" s="11">
        <v>0.0937</v>
      </c>
      <c r="N295" s="11">
        <v>0.1286</v>
      </c>
      <c r="O295" s="8">
        <v>17</v>
      </c>
      <c r="P295" s="8">
        <v>2654</v>
      </c>
      <c r="Q295" s="11">
        <v>0.0757</v>
      </c>
      <c r="R295" s="11">
        <v>0.1841</v>
      </c>
      <c r="S295" s="8">
        <v>38</v>
      </c>
      <c r="T295" s="11">
        <v>0.0488</v>
      </c>
      <c r="U295" s="11">
        <v>0.2083</v>
      </c>
      <c r="V295" s="11">
        <v>0.0779</v>
      </c>
      <c r="W295" s="11">
        <v>0.1012</v>
      </c>
      <c r="X295" s="8">
        <v>46.21</v>
      </c>
      <c r="Y295" s="8">
        <v>61</v>
      </c>
      <c r="Z295" s="8">
        <v>0.76</v>
      </c>
      <c r="AA295" s="8">
        <v>46.21</v>
      </c>
      <c r="AB295" s="8">
        <v>11.72</v>
      </c>
      <c r="AC295" s="8">
        <v>3.07</v>
      </c>
      <c r="AD295" s="8">
        <v>2</v>
      </c>
      <c r="AE295" s="8">
        <v>2</v>
      </c>
      <c r="AF295" s="11">
        <v>1</v>
      </c>
      <c r="AG295" s="8">
        <v>0</v>
      </c>
      <c r="AH295" s="8">
        <v>0</v>
      </c>
      <c r="AI295" s="11">
        <v>0</v>
      </c>
      <c r="AJ295" s="8" t="s">
        <v>611</v>
      </c>
    </row>
    <row r="296" customFormat="1" ht="22" customHeight="1" spans="1:36">
      <c r="A296" s="8" t="s">
        <v>37</v>
      </c>
      <c r="B296" s="8" t="str">
        <f>VLOOKUP(F296,[1]Sheet1!$B:$E,3,FALSE)</f>
        <v>徐从众</v>
      </c>
      <c r="C296" s="9" t="str">
        <f>VLOOKUP(F296,[1]Sheet1!$B:$E,4,FALSE)</f>
        <v>S</v>
      </c>
      <c r="D296" s="8" t="s">
        <v>612</v>
      </c>
      <c r="E296" s="8">
        <v>4.9</v>
      </c>
      <c r="F296" s="10">
        <v>33749533</v>
      </c>
      <c r="G296" s="8">
        <v>976</v>
      </c>
      <c r="H296" s="8">
        <v>389.98</v>
      </c>
      <c r="I296" s="8">
        <v>21.95</v>
      </c>
      <c r="J296" s="8">
        <v>13.93</v>
      </c>
      <c r="K296" s="8">
        <v>3565.89</v>
      </c>
      <c r="L296" s="8">
        <v>584</v>
      </c>
      <c r="M296" s="11">
        <v>0.137</v>
      </c>
      <c r="N296" s="11">
        <v>0.35</v>
      </c>
      <c r="O296" s="8">
        <v>28</v>
      </c>
      <c r="P296" s="8">
        <v>7178</v>
      </c>
      <c r="Q296" s="11">
        <v>0.0839</v>
      </c>
      <c r="R296" s="11">
        <v>0.3555</v>
      </c>
      <c r="S296" s="8">
        <v>225</v>
      </c>
      <c r="T296" s="11">
        <v>0.2602</v>
      </c>
      <c r="U296" s="11">
        <v>0.5955</v>
      </c>
      <c r="V296" s="11">
        <v>0.2434</v>
      </c>
      <c r="W296" s="11">
        <v>0.3447</v>
      </c>
      <c r="X296" s="8">
        <v>0</v>
      </c>
      <c r="Y296" s="8">
        <v>0</v>
      </c>
      <c r="Z296" s="8">
        <v>-0.01</v>
      </c>
      <c r="AA296" s="8">
        <v>0</v>
      </c>
      <c r="AB296" s="8">
        <v>0</v>
      </c>
      <c r="AC296" s="8">
        <v>0.6</v>
      </c>
      <c r="AD296" s="8">
        <v>1</v>
      </c>
      <c r="AE296" s="8">
        <v>1</v>
      </c>
      <c r="AF296" s="11">
        <v>1</v>
      </c>
      <c r="AG296" s="8">
        <v>0</v>
      </c>
      <c r="AH296" s="8">
        <v>0</v>
      </c>
      <c r="AI296" s="11">
        <v>0</v>
      </c>
      <c r="AJ296" s="8" t="s">
        <v>613</v>
      </c>
    </row>
    <row r="297" customFormat="1" ht="22" customHeight="1" spans="1:36">
      <c r="A297" s="8" t="s">
        <v>37</v>
      </c>
      <c r="B297" s="8" t="str">
        <f>VLOOKUP(F297,[1]Sheet1!$B:$E,3,FALSE)</f>
        <v>徐从众</v>
      </c>
      <c r="C297" s="9" t="str">
        <f>VLOOKUP(F297,[1]Sheet1!$B:$E,4,FALSE)</f>
        <v>A</v>
      </c>
      <c r="D297" s="12" t="s">
        <v>614</v>
      </c>
      <c r="E297" s="12">
        <v>4.2</v>
      </c>
      <c r="F297" s="13">
        <v>21822648</v>
      </c>
      <c r="G297" s="8">
        <v>242</v>
      </c>
      <c r="H297" s="8">
        <v>386.31</v>
      </c>
      <c r="I297" s="8">
        <v>94.13</v>
      </c>
      <c r="J297" s="8">
        <v>64.39</v>
      </c>
      <c r="K297" s="8">
        <v>2788.91</v>
      </c>
      <c r="L297" s="8">
        <v>772</v>
      </c>
      <c r="M297" s="11">
        <v>0.0725</v>
      </c>
      <c r="N297" s="11">
        <v>0.1071</v>
      </c>
      <c r="O297" s="8">
        <v>6</v>
      </c>
      <c r="P297" s="8">
        <v>3190</v>
      </c>
      <c r="Q297" s="11">
        <v>0.0947</v>
      </c>
      <c r="R297" s="11">
        <v>0.2583</v>
      </c>
      <c r="S297" s="8">
        <v>80</v>
      </c>
      <c r="T297" s="11">
        <v>0.0816</v>
      </c>
      <c r="U297" s="11">
        <v>0.23</v>
      </c>
      <c r="V297" s="11">
        <v>0.258</v>
      </c>
      <c r="W297" s="11">
        <v>0.3431</v>
      </c>
      <c r="X297" s="8">
        <v>44.69</v>
      </c>
      <c r="Y297" s="8">
        <v>52</v>
      </c>
      <c r="Z297" s="8">
        <v>0.86</v>
      </c>
      <c r="AA297" s="8">
        <v>44.69</v>
      </c>
      <c r="AB297" s="8">
        <v>11.57</v>
      </c>
      <c r="AC297" s="8">
        <v>3.19</v>
      </c>
      <c r="AD297" s="8">
        <v>0</v>
      </c>
      <c r="AE297" s="8">
        <v>0</v>
      </c>
      <c r="AF297" s="11">
        <v>0</v>
      </c>
      <c r="AG297" s="8">
        <v>0</v>
      </c>
      <c r="AH297" s="8">
        <v>0</v>
      </c>
      <c r="AI297" s="11">
        <v>0</v>
      </c>
      <c r="AJ297" s="8" t="s">
        <v>615</v>
      </c>
    </row>
    <row r="298" customFormat="1" ht="22" customHeight="1" spans="1:36">
      <c r="A298" s="8" t="s">
        <v>37</v>
      </c>
      <c r="B298" s="8" t="str">
        <f>VLOOKUP(F298,[1]Sheet1!$B:$E,3,FALSE)</f>
        <v>徐从众</v>
      </c>
      <c r="C298" s="9" t="str">
        <f>VLOOKUP(F298,[1]Sheet1!$B:$E,4,FALSE)</f>
        <v>A</v>
      </c>
      <c r="D298" s="8" t="s">
        <v>616</v>
      </c>
      <c r="E298" s="8">
        <v>4.4</v>
      </c>
      <c r="F298" s="10">
        <v>27191612</v>
      </c>
      <c r="G298" s="8">
        <v>491</v>
      </c>
      <c r="H298" s="8">
        <v>384.89</v>
      </c>
      <c r="I298" s="8">
        <v>35.28</v>
      </c>
      <c r="J298" s="8">
        <v>25.66</v>
      </c>
      <c r="K298" s="8">
        <v>1227.15</v>
      </c>
      <c r="L298" s="8">
        <v>638</v>
      </c>
      <c r="M298" s="11">
        <v>0.069</v>
      </c>
      <c r="N298" s="11">
        <v>0.3409</v>
      </c>
      <c r="O298" s="8">
        <v>15</v>
      </c>
      <c r="P298" s="8">
        <v>1299</v>
      </c>
      <c r="Q298" s="11">
        <v>0.0824</v>
      </c>
      <c r="R298" s="11">
        <v>0.2336</v>
      </c>
      <c r="S298" s="8">
        <v>26</v>
      </c>
      <c r="T298" s="11">
        <v>0.1449</v>
      </c>
      <c r="U298" s="11">
        <v>0.2267</v>
      </c>
      <c r="V298" s="11">
        <v>0.2011</v>
      </c>
      <c r="W298" s="11">
        <v>0.2961</v>
      </c>
      <c r="X298" s="8">
        <v>0</v>
      </c>
      <c r="Y298" s="8">
        <v>0</v>
      </c>
      <c r="Z298" s="8">
        <v>-0.01</v>
      </c>
      <c r="AA298" s="8">
        <v>0</v>
      </c>
      <c r="AB298" s="8">
        <v>0</v>
      </c>
      <c r="AC298" s="8">
        <v>1.3</v>
      </c>
      <c r="AD298" s="8">
        <v>1</v>
      </c>
      <c r="AE298" s="8">
        <v>1</v>
      </c>
      <c r="AF298" s="11">
        <v>1</v>
      </c>
      <c r="AG298" s="8">
        <v>0</v>
      </c>
      <c r="AH298" s="8">
        <v>0</v>
      </c>
      <c r="AI298" s="11">
        <v>0</v>
      </c>
      <c r="AJ298" s="8" t="s">
        <v>617</v>
      </c>
    </row>
    <row r="299" customFormat="1" ht="22" customHeight="1" spans="1:36">
      <c r="A299" s="8" t="s">
        <v>37</v>
      </c>
      <c r="B299" s="8" t="str">
        <f>VLOOKUP(F299,[1]Sheet1!$B:$E,3,FALSE)</f>
        <v>徐从众</v>
      </c>
      <c r="C299" s="9" t="str">
        <f>VLOOKUP(F299,[1]Sheet1!$B:$E,4,FALSE)</f>
        <v>S</v>
      </c>
      <c r="D299" s="8" t="s">
        <v>618</v>
      </c>
      <c r="E299" s="8">
        <v>4.8</v>
      </c>
      <c r="F299" s="10">
        <v>23951617</v>
      </c>
      <c r="G299" s="8">
        <v>219</v>
      </c>
      <c r="H299" s="8">
        <v>384.19</v>
      </c>
      <c r="I299" s="8">
        <v>74.11</v>
      </c>
      <c r="J299" s="8">
        <v>54.88</v>
      </c>
      <c r="K299" s="8">
        <v>6985.63</v>
      </c>
      <c r="L299" s="8">
        <v>354</v>
      </c>
      <c r="M299" s="11">
        <v>0.0989</v>
      </c>
      <c r="N299" s="11">
        <v>0.2</v>
      </c>
      <c r="O299" s="8">
        <v>7</v>
      </c>
      <c r="P299" s="8">
        <v>7931</v>
      </c>
      <c r="Q299" s="11">
        <v>0.0821</v>
      </c>
      <c r="R299" s="11">
        <v>0.2473</v>
      </c>
      <c r="S299" s="8">
        <v>167</v>
      </c>
      <c r="T299" s="11">
        <v>0.1619</v>
      </c>
      <c r="U299" s="11">
        <v>0.3684</v>
      </c>
      <c r="V299" s="11">
        <v>0.228</v>
      </c>
      <c r="W299" s="11">
        <v>0.3342</v>
      </c>
      <c r="X299" s="8">
        <v>0</v>
      </c>
      <c r="Y299" s="8">
        <v>0</v>
      </c>
      <c r="Z299" s="8">
        <v>-0.01</v>
      </c>
      <c r="AA299" s="8">
        <v>0</v>
      </c>
      <c r="AB299" s="8">
        <v>0</v>
      </c>
      <c r="AC299" s="8">
        <v>1.62</v>
      </c>
      <c r="AD299" s="8">
        <v>0</v>
      </c>
      <c r="AE299" s="8">
        <v>0</v>
      </c>
      <c r="AF299" s="11">
        <v>0</v>
      </c>
      <c r="AG299" s="8">
        <v>0</v>
      </c>
      <c r="AH299" s="8">
        <v>0</v>
      </c>
      <c r="AI299" s="11">
        <v>0</v>
      </c>
      <c r="AJ299" s="8" t="s">
        <v>619</v>
      </c>
    </row>
    <row r="300" customFormat="1" ht="22" customHeight="1" spans="1:36">
      <c r="A300" s="8" t="s">
        <v>37</v>
      </c>
      <c r="B300" s="8" t="str">
        <f>VLOOKUP(F300,[1]Sheet1!$B:$E,3,FALSE)</f>
        <v>刘欢</v>
      </c>
      <c r="C300" s="9" t="str">
        <f>VLOOKUP(F300,[1]Sheet1!$B:$E,4,FALSE)</f>
        <v>A</v>
      </c>
      <c r="D300" s="8" t="s">
        <v>620</v>
      </c>
      <c r="E300" s="8">
        <v>4.7</v>
      </c>
      <c r="F300" s="10">
        <v>26436355</v>
      </c>
      <c r="G300" s="8">
        <v>471</v>
      </c>
      <c r="H300" s="8">
        <v>383.89</v>
      </c>
      <c r="I300" s="8">
        <v>33.56</v>
      </c>
      <c r="J300" s="8">
        <v>23.99</v>
      </c>
      <c r="K300" s="8">
        <v>3478.39</v>
      </c>
      <c r="L300" s="8">
        <v>997</v>
      </c>
      <c r="M300" s="11">
        <v>0.1043</v>
      </c>
      <c r="N300" s="11">
        <v>0.1442</v>
      </c>
      <c r="O300" s="8">
        <v>16</v>
      </c>
      <c r="P300" s="8">
        <v>3816</v>
      </c>
      <c r="Q300" s="11">
        <v>0.0909</v>
      </c>
      <c r="R300" s="11">
        <v>0.3602</v>
      </c>
      <c r="S300" s="8">
        <v>128</v>
      </c>
      <c r="T300" s="11">
        <v>0.1515</v>
      </c>
      <c r="U300" s="11">
        <v>0.264</v>
      </c>
      <c r="V300" s="11">
        <v>0.2382</v>
      </c>
      <c r="W300" s="11">
        <v>0.3203</v>
      </c>
      <c r="X300" s="8">
        <v>50</v>
      </c>
      <c r="Y300" s="8">
        <v>52</v>
      </c>
      <c r="Z300" s="8">
        <v>0.96</v>
      </c>
      <c r="AA300" s="8">
        <v>50</v>
      </c>
      <c r="AB300" s="8">
        <v>13.02</v>
      </c>
      <c r="AC300" s="8">
        <v>2.12</v>
      </c>
      <c r="AD300" s="8">
        <v>0</v>
      </c>
      <c r="AE300" s="8">
        <v>0</v>
      </c>
      <c r="AF300" s="11">
        <v>0</v>
      </c>
      <c r="AG300" s="8">
        <v>0</v>
      </c>
      <c r="AH300" s="8">
        <v>0</v>
      </c>
      <c r="AI300" s="11">
        <v>0</v>
      </c>
      <c r="AJ300" s="8" t="s">
        <v>613</v>
      </c>
    </row>
    <row r="301" customFormat="1" ht="22" customHeight="1" spans="1:36">
      <c r="A301" s="8" t="s">
        <v>37</v>
      </c>
      <c r="B301" s="8" t="e">
        <f>VLOOKUP(F301,[1]Sheet1!$B:$E,3,FALSE)</f>
        <v>#N/A</v>
      </c>
      <c r="C301" s="8" t="e">
        <f>VLOOKUP(F301,[1]Sheet1!$B:$E,4,FALSE)</f>
        <v>#N/A</v>
      </c>
      <c r="D301" s="8" t="s">
        <v>621</v>
      </c>
      <c r="E301" s="8">
        <v>4.6</v>
      </c>
      <c r="F301" s="10">
        <v>26723910</v>
      </c>
      <c r="G301" s="8">
        <v>532</v>
      </c>
      <c r="H301" s="8">
        <v>370.77</v>
      </c>
      <c r="I301" s="8">
        <v>24.34</v>
      </c>
      <c r="J301" s="8">
        <v>18.54</v>
      </c>
      <c r="K301" s="8">
        <v>4390.08</v>
      </c>
      <c r="L301" s="8">
        <v>858</v>
      </c>
      <c r="M301" s="11">
        <v>0.0559</v>
      </c>
      <c r="N301" s="11">
        <v>0.4167</v>
      </c>
      <c r="O301" s="8">
        <v>20</v>
      </c>
      <c r="P301" s="8">
        <v>4741</v>
      </c>
      <c r="Q301" s="11">
        <v>0.0918</v>
      </c>
      <c r="R301" s="11">
        <v>0.3471</v>
      </c>
      <c r="S301" s="8">
        <v>153</v>
      </c>
      <c r="T301" s="11">
        <v>0.0991</v>
      </c>
      <c r="U301" s="11">
        <v>0.2167</v>
      </c>
      <c r="V301" s="11">
        <v>0.2556</v>
      </c>
      <c r="W301" s="11">
        <v>0.3768</v>
      </c>
      <c r="X301" s="8">
        <v>0</v>
      </c>
      <c r="Y301" s="8">
        <v>0</v>
      </c>
      <c r="Z301" s="8">
        <v>-0.01</v>
      </c>
      <c r="AA301" s="8">
        <v>0</v>
      </c>
      <c r="AB301" s="8">
        <v>0</v>
      </c>
      <c r="AC301" s="8">
        <v>1.61</v>
      </c>
      <c r="AD301" s="8">
        <v>1</v>
      </c>
      <c r="AE301" s="8">
        <v>1</v>
      </c>
      <c r="AF301" s="11">
        <v>1</v>
      </c>
      <c r="AG301" s="8">
        <v>0</v>
      </c>
      <c r="AH301" s="8">
        <v>0</v>
      </c>
      <c r="AI301" s="11">
        <v>0</v>
      </c>
      <c r="AJ301" s="8" t="s">
        <v>622</v>
      </c>
    </row>
    <row r="302" customFormat="1" ht="22" customHeight="1" spans="1:36">
      <c r="A302" s="8" t="s">
        <v>37</v>
      </c>
      <c r="B302" s="8" t="e">
        <f>VLOOKUP(F302,[1]Sheet1!$B:$E,3,FALSE)</f>
        <v>#N/A</v>
      </c>
      <c r="C302" s="8" t="e">
        <f>VLOOKUP(F302,[1]Sheet1!$B:$E,4,FALSE)</f>
        <v>#N/A</v>
      </c>
      <c r="D302" s="8" t="s">
        <v>623</v>
      </c>
      <c r="E302" s="8">
        <v>4.4</v>
      </c>
      <c r="F302" s="10">
        <v>32315205</v>
      </c>
      <c r="G302" s="8">
        <v>756</v>
      </c>
      <c r="H302" s="8">
        <v>365.82</v>
      </c>
      <c r="I302" s="8">
        <v>25.88</v>
      </c>
      <c r="J302" s="8">
        <v>15.24</v>
      </c>
      <c r="K302" s="8">
        <v>3647.87</v>
      </c>
      <c r="L302" s="8">
        <v>1527</v>
      </c>
      <c r="M302" s="11">
        <v>0.0904</v>
      </c>
      <c r="N302" s="11">
        <v>0.1812</v>
      </c>
      <c r="O302" s="8">
        <v>24</v>
      </c>
      <c r="P302" s="8">
        <v>3843</v>
      </c>
      <c r="Q302" s="11">
        <v>0.0913</v>
      </c>
      <c r="R302" s="11">
        <v>0.3818</v>
      </c>
      <c r="S302" s="8">
        <v>137</v>
      </c>
      <c r="T302" s="11">
        <v>0.146</v>
      </c>
      <c r="U302" s="11">
        <v>0.3099</v>
      </c>
      <c r="V302" s="11">
        <v>0.2299</v>
      </c>
      <c r="W302" s="11">
        <v>0.3053</v>
      </c>
      <c r="X302" s="8">
        <v>0</v>
      </c>
      <c r="Y302" s="8">
        <v>0</v>
      </c>
      <c r="Z302" s="8">
        <v>-0.01</v>
      </c>
      <c r="AA302" s="8">
        <v>0</v>
      </c>
      <c r="AB302" s="8">
        <v>0</v>
      </c>
      <c r="AC302" s="8">
        <v>2.02</v>
      </c>
      <c r="AD302" s="8">
        <v>0</v>
      </c>
      <c r="AE302" s="8">
        <v>0</v>
      </c>
      <c r="AF302" s="11">
        <v>0</v>
      </c>
      <c r="AG302" s="8">
        <v>0</v>
      </c>
      <c r="AH302" s="8">
        <v>0</v>
      </c>
      <c r="AI302" s="11">
        <v>0</v>
      </c>
      <c r="AJ302" s="8" t="s">
        <v>624</v>
      </c>
    </row>
    <row r="303" customFormat="1" ht="22" customHeight="1" spans="1:36">
      <c r="A303" s="8" t="s">
        <v>37</v>
      </c>
      <c r="B303" s="8" t="str">
        <f>VLOOKUP(F303,[1]Sheet1!$B:$E,3,FALSE)</f>
        <v>徐从众</v>
      </c>
      <c r="C303" s="9" t="str">
        <f>VLOOKUP(F303,[1]Sheet1!$B:$E,4,FALSE)</f>
        <v>S</v>
      </c>
      <c r="D303" s="8" t="s">
        <v>625</v>
      </c>
      <c r="E303" s="8">
        <v>4.9</v>
      </c>
      <c r="F303" s="10">
        <v>30901658</v>
      </c>
      <c r="G303" s="8">
        <v>1268</v>
      </c>
      <c r="H303" s="8">
        <v>364.57</v>
      </c>
      <c r="I303" s="8">
        <v>23.33</v>
      </c>
      <c r="J303" s="8">
        <v>13.02</v>
      </c>
      <c r="K303" s="8">
        <v>3286.32</v>
      </c>
      <c r="L303" s="8">
        <v>1177</v>
      </c>
      <c r="M303" s="11">
        <v>0.0901</v>
      </c>
      <c r="N303" s="11">
        <v>0.2358</v>
      </c>
      <c r="O303" s="8">
        <v>28</v>
      </c>
      <c r="P303" s="8">
        <v>3651</v>
      </c>
      <c r="Q303" s="11">
        <v>0.0841</v>
      </c>
      <c r="R303" s="11">
        <v>0.3257</v>
      </c>
      <c r="S303" s="8">
        <v>103</v>
      </c>
      <c r="T303" s="11">
        <v>0.2569</v>
      </c>
      <c r="U303" s="11">
        <v>0.4069</v>
      </c>
      <c r="V303" s="11">
        <v>0.2158</v>
      </c>
      <c r="W303" s="11">
        <v>0.3035</v>
      </c>
      <c r="X303" s="8">
        <v>63.03</v>
      </c>
      <c r="Y303" s="8">
        <v>64</v>
      </c>
      <c r="Z303" s="8">
        <v>0.98</v>
      </c>
      <c r="AA303" s="8">
        <v>63.03</v>
      </c>
      <c r="AB303" s="8">
        <v>17.29</v>
      </c>
      <c r="AC303" s="8">
        <v>0.93</v>
      </c>
      <c r="AD303" s="8">
        <v>1</v>
      </c>
      <c r="AE303" s="8">
        <v>1</v>
      </c>
      <c r="AF303" s="11">
        <v>1</v>
      </c>
      <c r="AG303" s="8">
        <v>0</v>
      </c>
      <c r="AH303" s="8">
        <v>0</v>
      </c>
      <c r="AI303" s="11">
        <v>0</v>
      </c>
      <c r="AJ303" s="8" t="s">
        <v>626</v>
      </c>
    </row>
    <row r="304" customFormat="1" ht="22" customHeight="1" spans="1:36">
      <c r="A304" s="8" t="s">
        <v>37</v>
      </c>
      <c r="B304" s="8" t="str">
        <f>VLOOKUP(F304,[1]Sheet1!$B:$E,3,FALSE)</f>
        <v>徐从众</v>
      </c>
      <c r="C304" s="9" t="str">
        <f>VLOOKUP(F304,[1]Sheet1!$B:$E,4,FALSE)</f>
        <v>A</v>
      </c>
      <c r="D304" s="12" t="s">
        <v>627</v>
      </c>
      <c r="E304" s="12">
        <v>4.3</v>
      </c>
      <c r="F304" s="13">
        <v>12913376</v>
      </c>
      <c r="G304" s="8">
        <v>297</v>
      </c>
      <c r="H304" s="8">
        <v>357.54</v>
      </c>
      <c r="I304" s="8">
        <v>83.94</v>
      </c>
      <c r="J304" s="8">
        <v>59.59</v>
      </c>
      <c r="K304" s="8">
        <v>2266.03</v>
      </c>
      <c r="L304" s="8">
        <v>731</v>
      </c>
      <c r="M304" s="11">
        <v>0.0807</v>
      </c>
      <c r="N304" s="11">
        <v>0.1017</v>
      </c>
      <c r="O304" s="8">
        <v>6</v>
      </c>
      <c r="P304" s="8">
        <v>3518</v>
      </c>
      <c r="Q304" s="11">
        <v>0.0785</v>
      </c>
      <c r="R304" s="11">
        <v>0.2935</v>
      </c>
      <c r="S304" s="8">
        <v>83</v>
      </c>
      <c r="T304" s="11">
        <v>0.1224</v>
      </c>
      <c r="U304" s="11">
        <v>0.1569</v>
      </c>
      <c r="V304" s="11">
        <v>0.2439</v>
      </c>
      <c r="W304" s="11">
        <v>0.3177</v>
      </c>
      <c r="X304" s="8">
        <v>0</v>
      </c>
      <c r="Y304" s="8">
        <v>0</v>
      </c>
      <c r="Z304" s="8">
        <v>-0.01</v>
      </c>
      <c r="AA304" s="8">
        <v>0</v>
      </c>
      <c r="AB304" s="8">
        <v>0</v>
      </c>
      <c r="AC304" s="8">
        <v>2.46</v>
      </c>
      <c r="AD304" s="8">
        <v>0</v>
      </c>
      <c r="AE304" s="8">
        <v>0</v>
      </c>
      <c r="AF304" s="11">
        <v>0</v>
      </c>
      <c r="AG304" s="8">
        <v>0</v>
      </c>
      <c r="AH304" s="8">
        <v>0</v>
      </c>
      <c r="AI304" s="11">
        <v>0</v>
      </c>
      <c r="AJ304" s="8" t="s">
        <v>628</v>
      </c>
    </row>
    <row r="305" customFormat="1" ht="22" customHeight="1" spans="1:36">
      <c r="A305" s="8" t="s">
        <v>37</v>
      </c>
      <c r="B305" s="8" t="str">
        <f>VLOOKUP(F305,[1]Sheet1!$B:$E,3,FALSE)</f>
        <v>徐从众</v>
      </c>
      <c r="C305" s="8">
        <f>VLOOKUP(F305,[1]Sheet1!$B:$E,4,FALSE)</f>
        <v>0</v>
      </c>
      <c r="D305" s="12" t="s">
        <v>629</v>
      </c>
      <c r="E305" s="12">
        <v>0</v>
      </c>
      <c r="F305" s="13">
        <v>26997196</v>
      </c>
      <c r="G305" s="8">
        <v>50</v>
      </c>
      <c r="H305" s="8">
        <v>356.43</v>
      </c>
      <c r="I305" s="8">
        <v>399.5</v>
      </c>
      <c r="J305" s="8">
        <v>356.43</v>
      </c>
      <c r="K305" s="8">
        <v>5456.94</v>
      </c>
      <c r="L305" s="8">
        <v>118</v>
      </c>
      <c r="M305" s="11">
        <v>0.0508</v>
      </c>
      <c r="N305" s="11">
        <v>0.1667</v>
      </c>
      <c r="O305" s="8">
        <v>1</v>
      </c>
      <c r="P305" s="8">
        <v>4255</v>
      </c>
      <c r="Q305" s="11">
        <v>0.1008</v>
      </c>
      <c r="R305" s="11">
        <v>0.2937</v>
      </c>
      <c r="S305" s="8">
        <v>131</v>
      </c>
      <c r="T305" s="11">
        <v>0.0333</v>
      </c>
      <c r="U305" s="11">
        <v>0.2857</v>
      </c>
      <c r="V305" s="11">
        <v>0.2507</v>
      </c>
      <c r="W305" s="11">
        <v>0.355</v>
      </c>
      <c r="X305" s="8">
        <v>0</v>
      </c>
      <c r="Y305" s="8">
        <v>0</v>
      </c>
      <c r="Z305" s="8">
        <v>-0.01</v>
      </c>
      <c r="AA305" s="8">
        <v>0</v>
      </c>
      <c r="AB305" s="8">
        <v>0</v>
      </c>
      <c r="AC305" s="8">
        <v>2.36</v>
      </c>
      <c r="AD305" s="8">
        <v>0</v>
      </c>
      <c r="AE305" s="8">
        <v>0</v>
      </c>
      <c r="AF305" s="11">
        <v>0</v>
      </c>
      <c r="AG305" s="8">
        <v>0</v>
      </c>
      <c r="AH305" s="8">
        <v>0</v>
      </c>
      <c r="AI305" s="11">
        <v>0</v>
      </c>
      <c r="AJ305" s="8" t="s">
        <v>630</v>
      </c>
    </row>
    <row r="306" customFormat="1" ht="22" customHeight="1" spans="1:36">
      <c r="A306" s="8" t="s">
        <v>37</v>
      </c>
      <c r="B306" s="8" t="str">
        <f>VLOOKUP(F306,[1]Sheet1!$B:$E,3,FALSE)</f>
        <v>徐从众</v>
      </c>
      <c r="C306" s="9" t="str">
        <f>VLOOKUP(F306,[1]Sheet1!$B:$E,4,FALSE)</f>
        <v>A</v>
      </c>
      <c r="D306" s="8" t="s">
        <v>631</v>
      </c>
      <c r="E306" s="8">
        <v>4.6</v>
      </c>
      <c r="F306" s="10">
        <v>26898121</v>
      </c>
      <c r="G306" s="8">
        <v>588</v>
      </c>
      <c r="H306" s="8">
        <v>354.88</v>
      </c>
      <c r="I306" s="8">
        <v>45.62</v>
      </c>
      <c r="J306" s="8">
        <v>29.57</v>
      </c>
      <c r="K306" s="8">
        <v>3420.32</v>
      </c>
      <c r="L306" s="8">
        <v>1080</v>
      </c>
      <c r="M306" s="11">
        <v>0.0611</v>
      </c>
      <c r="N306" s="11">
        <v>0.1667</v>
      </c>
      <c r="O306" s="8">
        <v>12</v>
      </c>
      <c r="P306" s="8">
        <v>3567</v>
      </c>
      <c r="Q306" s="11">
        <v>0.0805</v>
      </c>
      <c r="R306" s="11">
        <v>0.2334</v>
      </c>
      <c r="S306" s="8">
        <v>71</v>
      </c>
      <c r="T306" s="11">
        <v>0.1804</v>
      </c>
      <c r="U306" s="11">
        <v>0.3431</v>
      </c>
      <c r="V306" s="11">
        <v>0.2147</v>
      </c>
      <c r="W306" s="11">
        <v>0.2658</v>
      </c>
      <c r="X306" s="8">
        <v>59.58</v>
      </c>
      <c r="Y306" s="8">
        <v>45</v>
      </c>
      <c r="Z306" s="8">
        <v>1.32</v>
      </c>
      <c r="AA306" s="8">
        <v>59.58</v>
      </c>
      <c r="AB306" s="8">
        <v>16.79</v>
      </c>
      <c r="AC306" s="8">
        <v>1.84</v>
      </c>
      <c r="AD306" s="8">
        <v>4</v>
      </c>
      <c r="AE306" s="8">
        <v>4</v>
      </c>
      <c r="AF306" s="11">
        <v>1</v>
      </c>
      <c r="AG306" s="8">
        <v>0</v>
      </c>
      <c r="AH306" s="8">
        <v>0</v>
      </c>
      <c r="AI306" s="11">
        <v>0</v>
      </c>
      <c r="AJ306" s="8" t="s">
        <v>632</v>
      </c>
    </row>
    <row r="307" customFormat="1" ht="22" customHeight="1" spans="1:36">
      <c r="A307" s="8" t="s">
        <v>37</v>
      </c>
      <c r="B307" s="8" t="str">
        <f>VLOOKUP(F307,[1]Sheet1!$B:$E,3,FALSE)</f>
        <v>岳贝贝</v>
      </c>
      <c r="C307" s="8" t="str">
        <f>VLOOKUP(F307,[1]Sheet1!$B:$E,4,FALSE)</f>
        <v>营业中</v>
      </c>
      <c r="D307" s="8" t="s">
        <v>633</v>
      </c>
      <c r="E307" s="8">
        <v>4.4</v>
      </c>
      <c r="F307" s="10">
        <v>31747157</v>
      </c>
      <c r="G307" s="8">
        <v>352</v>
      </c>
      <c r="H307" s="8">
        <v>354.38</v>
      </c>
      <c r="I307" s="8">
        <v>27.51</v>
      </c>
      <c r="J307" s="8">
        <v>22.15</v>
      </c>
      <c r="K307" s="8">
        <v>2669.33</v>
      </c>
      <c r="L307" s="8">
        <v>874</v>
      </c>
      <c r="M307" s="11">
        <v>0.0858</v>
      </c>
      <c r="N307" s="11">
        <v>0.2</v>
      </c>
      <c r="O307" s="8">
        <v>16</v>
      </c>
      <c r="P307" s="8">
        <v>6145</v>
      </c>
      <c r="Q307" s="11">
        <v>0.0739</v>
      </c>
      <c r="R307" s="11">
        <v>0.326</v>
      </c>
      <c r="S307" s="8">
        <v>156</v>
      </c>
      <c r="T307" s="11">
        <v>0.1404</v>
      </c>
      <c r="U307" s="11">
        <v>0.2212</v>
      </c>
      <c r="V307" s="11">
        <v>0.2321</v>
      </c>
      <c r="W307" s="11">
        <v>0.3164</v>
      </c>
      <c r="X307" s="8">
        <v>0</v>
      </c>
      <c r="Y307" s="8">
        <v>0</v>
      </c>
      <c r="Z307" s="8">
        <v>-0.01</v>
      </c>
      <c r="AA307" s="8">
        <v>0</v>
      </c>
      <c r="AB307" s="8">
        <v>0</v>
      </c>
      <c r="AC307" s="8">
        <v>2.48</v>
      </c>
      <c r="AD307" s="8">
        <v>1</v>
      </c>
      <c r="AE307" s="8">
        <v>1</v>
      </c>
      <c r="AF307" s="11">
        <v>1</v>
      </c>
      <c r="AG307" s="8">
        <v>0</v>
      </c>
      <c r="AH307" s="8">
        <v>0</v>
      </c>
      <c r="AI307" s="11">
        <v>0</v>
      </c>
      <c r="AJ307" s="8" t="s">
        <v>634</v>
      </c>
    </row>
    <row r="308" customFormat="1" ht="22" customHeight="1" spans="1:36">
      <c r="A308" s="8" t="s">
        <v>37</v>
      </c>
      <c r="B308" s="8" t="str">
        <f>VLOOKUP(F308,[1]Sheet1!$B:$E,3,FALSE)</f>
        <v>岳贝贝</v>
      </c>
      <c r="C308" s="9" t="str">
        <f>VLOOKUP(F308,[1]Sheet1!$B:$E,4,FALSE)</f>
        <v>A</v>
      </c>
      <c r="D308" s="8" t="s">
        <v>635</v>
      </c>
      <c r="E308" s="8">
        <v>4.7</v>
      </c>
      <c r="F308" s="10">
        <v>30965612</v>
      </c>
      <c r="G308" s="8">
        <v>520</v>
      </c>
      <c r="H308" s="8">
        <v>350.81</v>
      </c>
      <c r="I308" s="8">
        <v>24.24</v>
      </c>
      <c r="J308" s="8">
        <v>14.62</v>
      </c>
      <c r="K308" s="8">
        <v>1114.41</v>
      </c>
      <c r="L308" s="8">
        <v>777</v>
      </c>
      <c r="M308" s="11">
        <v>0.0605</v>
      </c>
      <c r="N308" s="11">
        <v>0.4894</v>
      </c>
      <c r="O308" s="8">
        <v>24</v>
      </c>
      <c r="P308" s="8">
        <v>1294</v>
      </c>
      <c r="Q308" s="11">
        <v>0.102</v>
      </c>
      <c r="R308" s="11">
        <v>0.3939</v>
      </c>
      <c r="S308" s="8">
        <v>54</v>
      </c>
      <c r="T308" s="11">
        <v>0.1385</v>
      </c>
      <c r="U308" s="11">
        <v>0.4167</v>
      </c>
      <c r="V308" s="11">
        <v>0.3136</v>
      </c>
      <c r="W308" s="11">
        <v>0.3888</v>
      </c>
      <c r="X308" s="8">
        <v>9.32</v>
      </c>
      <c r="Y308" s="8">
        <v>7</v>
      </c>
      <c r="Z308" s="8">
        <v>1.33</v>
      </c>
      <c r="AA308" s="8">
        <v>9.32</v>
      </c>
      <c r="AB308" s="8">
        <v>2.66</v>
      </c>
      <c r="AC308" s="8">
        <v>1.49</v>
      </c>
      <c r="AD308" s="8">
        <v>0</v>
      </c>
      <c r="AE308" s="8">
        <v>0</v>
      </c>
      <c r="AF308" s="11">
        <v>0</v>
      </c>
      <c r="AG308" s="8">
        <v>0</v>
      </c>
      <c r="AH308" s="8">
        <v>0</v>
      </c>
      <c r="AI308" s="11">
        <v>0</v>
      </c>
      <c r="AJ308" s="8" t="s">
        <v>636</v>
      </c>
    </row>
    <row r="309" customFormat="1" ht="22" customHeight="1" spans="1:36">
      <c r="A309" s="8" t="s">
        <v>37</v>
      </c>
      <c r="B309" s="8" t="str">
        <f>VLOOKUP(F309,[1]Sheet1!$B:$E,3,FALSE)</f>
        <v>岳贝贝</v>
      </c>
      <c r="C309" s="9" t="str">
        <f>VLOOKUP(F309,[1]Sheet1!$B:$E,4,FALSE)</f>
        <v>A</v>
      </c>
      <c r="D309" s="8" t="s">
        <v>637</v>
      </c>
      <c r="E309" s="8">
        <v>4.5</v>
      </c>
      <c r="F309" s="10">
        <v>3734256</v>
      </c>
      <c r="G309" s="8">
        <v>686</v>
      </c>
      <c r="H309" s="8">
        <v>348.94</v>
      </c>
      <c r="I309" s="8">
        <v>29.69</v>
      </c>
      <c r="J309" s="8">
        <v>21.81</v>
      </c>
      <c r="K309" s="8">
        <v>3216.47</v>
      </c>
      <c r="L309" s="8">
        <v>1216</v>
      </c>
      <c r="M309" s="11">
        <v>0.0691</v>
      </c>
      <c r="N309" s="11">
        <v>0.1786</v>
      </c>
      <c r="O309" s="8">
        <v>16</v>
      </c>
      <c r="P309" s="8">
        <v>4049</v>
      </c>
      <c r="Q309" s="11">
        <v>0.0776</v>
      </c>
      <c r="R309" s="11">
        <v>0.3376</v>
      </c>
      <c r="S309" s="8">
        <v>109</v>
      </c>
      <c r="T309" s="11">
        <v>0.0804</v>
      </c>
      <c r="U309" s="11">
        <v>0.1297</v>
      </c>
      <c r="V309" s="11">
        <v>0.2197</v>
      </c>
      <c r="W309" s="11">
        <v>0.3127</v>
      </c>
      <c r="X309" s="8">
        <v>0</v>
      </c>
      <c r="Y309" s="8">
        <v>0</v>
      </c>
      <c r="Z309" s="8">
        <v>-0.01</v>
      </c>
      <c r="AA309" s="8">
        <v>0</v>
      </c>
      <c r="AB309" s="8">
        <v>0</v>
      </c>
      <c r="AC309" s="8">
        <v>1.77</v>
      </c>
      <c r="AD309" s="8">
        <v>2</v>
      </c>
      <c r="AE309" s="8">
        <v>1</v>
      </c>
      <c r="AF309" s="11">
        <v>0.5</v>
      </c>
      <c r="AG309" s="8">
        <v>0</v>
      </c>
      <c r="AH309" s="8">
        <v>1</v>
      </c>
      <c r="AI309" s="11">
        <v>0.5</v>
      </c>
      <c r="AJ309" s="8" t="s">
        <v>638</v>
      </c>
    </row>
    <row r="310" customFormat="1" ht="22" customHeight="1" spans="1:36">
      <c r="A310" s="8" t="s">
        <v>37</v>
      </c>
      <c r="B310" s="8" t="str">
        <f>VLOOKUP(F310,[1]Sheet1!$B:$E,3,FALSE)</f>
        <v>岳贝贝</v>
      </c>
      <c r="C310" s="9" t="str">
        <f>VLOOKUP(F310,[1]Sheet1!$B:$E,4,FALSE)</f>
        <v>A</v>
      </c>
      <c r="D310" s="8" t="s">
        <v>639</v>
      </c>
      <c r="E310" s="8">
        <v>4.6</v>
      </c>
      <c r="F310" s="10">
        <v>30686965</v>
      </c>
      <c r="G310" s="8">
        <v>381</v>
      </c>
      <c r="H310" s="8">
        <v>343.15</v>
      </c>
      <c r="I310" s="8">
        <v>25.13</v>
      </c>
      <c r="J310" s="8">
        <v>14.3</v>
      </c>
      <c r="K310" s="8">
        <v>2697.51</v>
      </c>
      <c r="L310" s="8">
        <v>794</v>
      </c>
      <c r="M310" s="11">
        <v>0.0793</v>
      </c>
      <c r="N310" s="11">
        <v>0.3333</v>
      </c>
      <c r="O310" s="8">
        <v>24</v>
      </c>
      <c r="P310" s="8">
        <v>3069</v>
      </c>
      <c r="Q310" s="11">
        <v>0.0779</v>
      </c>
      <c r="R310" s="11">
        <v>0.3682</v>
      </c>
      <c r="S310" s="8">
        <v>91</v>
      </c>
      <c r="T310" s="11">
        <v>0.1582</v>
      </c>
      <c r="U310" s="11">
        <v>0.25</v>
      </c>
      <c r="V310" s="11">
        <v>0.2058</v>
      </c>
      <c r="W310" s="11">
        <v>0.2721</v>
      </c>
      <c r="X310" s="8">
        <v>12.44</v>
      </c>
      <c r="Y310" s="8">
        <v>11</v>
      </c>
      <c r="Z310" s="8">
        <v>1.13</v>
      </c>
      <c r="AA310" s="8">
        <v>12.44</v>
      </c>
      <c r="AB310" s="8">
        <v>3.63</v>
      </c>
      <c r="AC310" s="8">
        <v>2.08</v>
      </c>
      <c r="AD310" s="8">
        <v>1</v>
      </c>
      <c r="AE310" s="8">
        <v>0</v>
      </c>
      <c r="AF310" s="11">
        <v>0</v>
      </c>
      <c r="AG310" s="8">
        <v>0</v>
      </c>
      <c r="AH310" s="8">
        <v>1</v>
      </c>
      <c r="AI310" s="11">
        <v>1</v>
      </c>
      <c r="AJ310" s="8" t="s">
        <v>640</v>
      </c>
    </row>
    <row r="311" customFormat="1" ht="22" customHeight="1" spans="1:36">
      <c r="A311" s="8" t="s">
        <v>37</v>
      </c>
      <c r="B311" s="8" t="str">
        <f>VLOOKUP(F311,[1]Sheet1!$B:$E,3,FALSE)</f>
        <v>刘欢</v>
      </c>
      <c r="C311" s="9" t="str">
        <f>VLOOKUP(F311,[1]Sheet1!$B:$E,4,FALSE)</f>
        <v>A</v>
      </c>
      <c r="D311" s="8" t="s">
        <v>641</v>
      </c>
      <c r="E311" s="8">
        <v>4.5</v>
      </c>
      <c r="F311" s="10">
        <v>4450249</v>
      </c>
      <c r="G311" s="8">
        <v>261</v>
      </c>
      <c r="H311" s="8">
        <v>340.3</v>
      </c>
      <c r="I311" s="8">
        <v>52.3</v>
      </c>
      <c r="J311" s="8">
        <v>37.81</v>
      </c>
      <c r="K311" s="8">
        <v>481.3</v>
      </c>
      <c r="L311" s="8">
        <v>735</v>
      </c>
      <c r="M311" s="11">
        <v>0.0653</v>
      </c>
      <c r="N311" s="11">
        <v>0.1875</v>
      </c>
      <c r="O311" s="8">
        <v>9</v>
      </c>
      <c r="P311" s="8">
        <v>1310</v>
      </c>
      <c r="Q311" s="11">
        <v>0.0885</v>
      </c>
      <c r="R311" s="11">
        <v>0.2328</v>
      </c>
      <c r="S311" s="8">
        <v>28</v>
      </c>
      <c r="T311" s="11">
        <v>0.1176</v>
      </c>
      <c r="U311" s="11">
        <v>0.1209</v>
      </c>
      <c r="V311" s="11">
        <v>0.1924</v>
      </c>
      <c r="W311" s="11">
        <v>0.4153</v>
      </c>
      <c r="X311" s="8">
        <v>0</v>
      </c>
      <c r="Y311" s="8">
        <v>0</v>
      </c>
      <c r="Z311" s="8">
        <v>-0.01</v>
      </c>
      <c r="AA311" s="8">
        <v>0</v>
      </c>
      <c r="AB311" s="8">
        <v>0</v>
      </c>
      <c r="AC311" s="8">
        <v>2.82</v>
      </c>
      <c r="AD311" s="8">
        <v>0</v>
      </c>
      <c r="AE311" s="8">
        <v>0</v>
      </c>
      <c r="AF311" s="11">
        <v>0</v>
      </c>
      <c r="AG311" s="8">
        <v>0</v>
      </c>
      <c r="AH311" s="8">
        <v>0</v>
      </c>
      <c r="AI311" s="11">
        <v>0</v>
      </c>
      <c r="AJ311" s="8" t="s">
        <v>642</v>
      </c>
    </row>
    <row r="312" customFormat="1" ht="22" customHeight="1" spans="1:36">
      <c r="A312" s="8" t="s">
        <v>37</v>
      </c>
      <c r="B312" s="8" t="str">
        <f>VLOOKUP(F312,[1]Sheet1!$B:$E,3,FALSE)</f>
        <v>岳贝贝</v>
      </c>
      <c r="C312" s="8" t="str">
        <f>VLOOKUP(F312,[1]Sheet1!$B:$E,4,FALSE)</f>
        <v>B</v>
      </c>
      <c r="D312" s="8" t="s">
        <v>643</v>
      </c>
      <c r="E312" s="8">
        <v>4.6</v>
      </c>
      <c r="F312" s="10">
        <v>33967566</v>
      </c>
      <c r="G312" s="8">
        <v>354</v>
      </c>
      <c r="H312" s="8">
        <v>337.65</v>
      </c>
      <c r="I312" s="8">
        <v>36.95</v>
      </c>
      <c r="J312" s="8">
        <v>25.97</v>
      </c>
      <c r="K312" s="8">
        <v>5413.32</v>
      </c>
      <c r="L312" s="8">
        <v>909</v>
      </c>
      <c r="M312" s="11">
        <v>0.066</v>
      </c>
      <c r="N312" s="11">
        <v>0.2167</v>
      </c>
      <c r="O312" s="8">
        <v>13</v>
      </c>
      <c r="P312" s="8">
        <v>4614</v>
      </c>
      <c r="Q312" s="11">
        <v>0.0951</v>
      </c>
      <c r="R312" s="11">
        <v>0.328</v>
      </c>
      <c r="S312" s="8">
        <v>148</v>
      </c>
      <c r="T312" s="11">
        <v>0.0794</v>
      </c>
      <c r="U312" s="11">
        <v>0.5</v>
      </c>
      <c r="V312" s="11">
        <v>0.1934</v>
      </c>
      <c r="W312" s="11">
        <v>0.3072</v>
      </c>
      <c r="X312" s="8">
        <v>46.57</v>
      </c>
      <c r="Y312" s="8">
        <v>39</v>
      </c>
      <c r="Z312" s="8">
        <v>1.19</v>
      </c>
      <c r="AA312" s="8">
        <v>46.57</v>
      </c>
      <c r="AB312" s="8">
        <v>13.79</v>
      </c>
      <c r="AC312" s="8">
        <v>2.57</v>
      </c>
      <c r="AD312" s="8">
        <v>0</v>
      </c>
      <c r="AE312" s="8">
        <v>0</v>
      </c>
      <c r="AF312" s="11">
        <v>0</v>
      </c>
      <c r="AG312" s="8">
        <v>0</v>
      </c>
      <c r="AH312" s="8">
        <v>0</v>
      </c>
      <c r="AI312" s="11">
        <v>0</v>
      </c>
      <c r="AJ312" s="8" t="s">
        <v>644</v>
      </c>
    </row>
    <row r="313" customFormat="1" ht="22" customHeight="1" spans="1:36">
      <c r="A313" s="8" t="s">
        <v>37</v>
      </c>
      <c r="B313" s="8" t="str">
        <f>VLOOKUP(F313,[1]Sheet1!$B:$E,3,FALSE)</f>
        <v>岳贝贝</v>
      </c>
      <c r="C313" s="9" t="str">
        <f>VLOOKUP(F313,[1]Sheet1!$B:$E,4,FALSE)</f>
        <v>A</v>
      </c>
      <c r="D313" s="12" t="s">
        <v>645</v>
      </c>
      <c r="E313" s="12">
        <v>4.3</v>
      </c>
      <c r="F313" s="13">
        <v>4692250</v>
      </c>
      <c r="G313" s="8">
        <v>162</v>
      </c>
      <c r="H313" s="8">
        <v>337.02</v>
      </c>
      <c r="I313" s="8">
        <v>223.6</v>
      </c>
      <c r="J313" s="8">
        <v>168.51</v>
      </c>
      <c r="K313" s="8">
        <v>2724.58</v>
      </c>
      <c r="L313" s="8">
        <v>364</v>
      </c>
      <c r="M313" s="11">
        <v>0.0797</v>
      </c>
      <c r="N313" s="11">
        <v>0.069</v>
      </c>
      <c r="O313" s="8">
        <v>2</v>
      </c>
      <c r="P313" s="8">
        <v>2713</v>
      </c>
      <c r="Q313" s="11">
        <v>0.0781</v>
      </c>
      <c r="R313" s="11">
        <v>0.217</v>
      </c>
      <c r="S313" s="8">
        <v>47</v>
      </c>
      <c r="T313" s="11">
        <v>0.025</v>
      </c>
      <c r="U313" s="11">
        <v>0.1616</v>
      </c>
      <c r="V313" s="11">
        <v>0.2177</v>
      </c>
      <c r="W313" s="11">
        <v>0.2854</v>
      </c>
      <c r="X313" s="8">
        <v>0</v>
      </c>
      <c r="Y313" s="8">
        <v>0</v>
      </c>
      <c r="Z313" s="8">
        <v>-0.01</v>
      </c>
      <c r="AA313" s="8">
        <v>0</v>
      </c>
      <c r="AB313" s="8">
        <v>0</v>
      </c>
      <c r="AC313" s="8">
        <v>2.25</v>
      </c>
      <c r="AD313" s="8">
        <v>0</v>
      </c>
      <c r="AE313" s="8">
        <v>0</v>
      </c>
      <c r="AF313" s="11">
        <v>0</v>
      </c>
      <c r="AG313" s="8">
        <v>0</v>
      </c>
      <c r="AH313" s="8">
        <v>0</v>
      </c>
      <c r="AI313" s="11">
        <v>0</v>
      </c>
      <c r="AJ313" s="8" t="s">
        <v>646</v>
      </c>
    </row>
    <row r="314" customFormat="1" ht="22" customHeight="1" spans="1:36">
      <c r="A314" s="8" t="s">
        <v>37</v>
      </c>
      <c r="B314" s="8" t="str">
        <f>VLOOKUP(F314,[1]Sheet1!$B:$E,3,FALSE)</f>
        <v>岳贝贝</v>
      </c>
      <c r="C314" s="8" t="str">
        <f>VLOOKUP(F314,[1]Sheet1!$B:$E,4,FALSE)</f>
        <v>B</v>
      </c>
      <c r="D314" s="8" t="s">
        <v>647</v>
      </c>
      <c r="E314" s="8">
        <v>4.4</v>
      </c>
      <c r="F314" s="10">
        <v>32566277</v>
      </c>
      <c r="G314" s="8">
        <v>512</v>
      </c>
      <c r="H314" s="8">
        <v>336.04</v>
      </c>
      <c r="I314" s="8">
        <v>25.35</v>
      </c>
      <c r="J314" s="8">
        <v>19.77</v>
      </c>
      <c r="K314" s="8">
        <v>3513.07</v>
      </c>
      <c r="L314" s="8">
        <v>700</v>
      </c>
      <c r="M314" s="11">
        <v>0.1229</v>
      </c>
      <c r="N314" s="11">
        <v>0.186</v>
      </c>
      <c r="O314" s="8">
        <v>17</v>
      </c>
      <c r="P314" s="8">
        <v>2671</v>
      </c>
      <c r="Q314" s="11">
        <v>0.0996</v>
      </c>
      <c r="R314" s="11">
        <v>0.3459</v>
      </c>
      <c r="S314" s="8">
        <v>94</v>
      </c>
      <c r="T314" s="11">
        <v>0.1926</v>
      </c>
      <c r="U314" s="11">
        <v>0.3636</v>
      </c>
      <c r="V314" s="11">
        <v>0.219</v>
      </c>
      <c r="W314" s="11">
        <v>0.3032</v>
      </c>
      <c r="X314" s="8">
        <v>0</v>
      </c>
      <c r="Y314" s="8">
        <v>0</v>
      </c>
      <c r="Z314" s="8">
        <v>-0.01</v>
      </c>
      <c r="AA314" s="8">
        <v>0</v>
      </c>
      <c r="AB314" s="8">
        <v>0</v>
      </c>
      <c r="AC314" s="8">
        <v>1.37</v>
      </c>
      <c r="AD314" s="8">
        <v>1</v>
      </c>
      <c r="AE314" s="8">
        <v>1</v>
      </c>
      <c r="AF314" s="11">
        <v>1</v>
      </c>
      <c r="AG314" s="8">
        <v>0</v>
      </c>
      <c r="AH314" s="8">
        <v>0</v>
      </c>
      <c r="AI314" s="11">
        <v>0</v>
      </c>
      <c r="AJ314" s="8" t="s">
        <v>648</v>
      </c>
    </row>
    <row r="315" customFormat="1" ht="22" customHeight="1" spans="1:36">
      <c r="A315" s="8" t="s">
        <v>37</v>
      </c>
      <c r="B315" s="8" t="e">
        <f>VLOOKUP(F315,[1]Sheet1!$B:$E,3,FALSE)</f>
        <v>#N/A</v>
      </c>
      <c r="C315" s="8" t="e">
        <f>VLOOKUP(F315,[1]Sheet1!$B:$E,4,FALSE)</f>
        <v>#N/A</v>
      </c>
      <c r="D315" s="8" t="s">
        <v>649</v>
      </c>
      <c r="E315" s="8">
        <v>4.5</v>
      </c>
      <c r="F315" s="10">
        <v>33480816</v>
      </c>
      <c r="G315" s="8">
        <v>366</v>
      </c>
      <c r="H315" s="8">
        <v>335.67</v>
      </c>
      <c r="I315" s="8">
        <v>26.58</v>
      </c>
      <c r="J315" s="8">
        <v>16.78</v>
      </c>
      <c r="K315" s="8">
        <v>3329.16</v>
      </c>
      <c r="L315" s="8">
        <v>839</v>
      </c>
      <c r="M315" s="11">
        <v>0.1144</v>
      </c>
      <c r="N315" s="11">
        <v>0.2083</v>
      </c>
      <c r="O315" s="8">
        <v>20</v>
      </c>
      <c r="P315" s="8">
        <v>6180</v>
      </c>
      <c r="Q315" s="11">
        <v>0.0639</v>
      </c>
      <c r="R315" s="11">
        <v>0.357</v>
      </c>
      <c r="S315" s="8">
        <v>144</v>
      </c>
      <c r="T315" s="11">
        <v>0.0993</v>
      </c>
      <c r="U315" s="11">
        <v>0.275</v>
      </c>
      <c r="V315" s="11">
        <v>0.1997</v>
      </c>
      <c r="W315" s="11">
        <v>0.2813</v>
      </c>
      <c r="X315" s="8">
        <v>0</v>
      </c>
      <c r="Y315" s="8">
        <v>0</v>
      </c>
      <c r="Z315" s="8">
        <v>-0.01</v>
      </c>
      <c r="AA315" s="8">
        <v>0</v>
      </c>
      <c r="AB315" s="8">
        <v>0</v>
      </c>
      <c r="AC315" s="8">
        <v>2.29</v>
      </c>
      <c r="AD315" s="8">
        <v>2</v>
      </c>
      <c r="AE315" s="8">
        <v>2</v>
      </c>
      <c r="AF315" s="11">
        <v>1</v>
      </c>
      <c r="AG315" s="8">
        <v>0</v>
      </c>
      <c r="AH315" s="8">
        <v>0</v>
      </c>
      <c r="AI315" s="11">
        <v>0</v>
      </c>
      <c r="AJ315" s="8" t="s">
        <v>650</v>
      </c>
    </row>
    <row r="316" customFormat="1" ht="22" customHeight="1" spans="1:36">
      <c r="A316" s="8" t="s">
        <v>37</v>
      </c>
      <c r="B316" s="8" t="e">
        <f>VLOOKUP(F316,[1]Sheet1!$B:$E,3,FALSE)</f>
        <v>#N/A</v>
      </c>
      <c r="C316" s="8" t="e">
        <f>VLOOKUP(F316,[1]Sheet1!$B:$E,4,FALSE)</f>
        <v>#N/A</v>
      </c>
      <c r="D316" s="8" t="s">
        <v>651</v>
      </c>
      <c r="E316" s="8">
        <v>4.7</v>
      </c>
      <c r="F316" s="10">
        <v>31190988</v>
      </c>
      <c r="G316" s="8">
        <v>716</v>
      </c>
      <c r="H316" s="8">
        <v>332.81</v>
      </c>
      <c r="I316" s="8">
        <v>21.46</v>
      </c>
      <c r="J316" s="8">
        <v>15.13</v>
      </c>
      <c r="K316" s="8">
        <v>2494.88</v>
      </c>
      <c r="L316" s="8">
        <v>1610</v>
      </c>
      <c r="M316" s="11">
        <v>0.0472</v>
      </c>
      <c r="N316" s="11">
        <v>0.3026</v>
      </c>
      <c r="O316" s="8">
        <v>22</v>
      </c>
      <c r="P316" s="8">
        <v>3709</v>
      </c>
      <c r="Q316" s="11">
        <v>0.0803</v>
      </c>
      <c r="R316" s="11">
        <v>0.2886</v>
      </c>
      <c r="S316" s="8">
        <v>89</v>
      </c>
      <c r="T316" s="11">
        <v>0.1109</v>
      </c>
      <c r="U316" s="11">
        <v>0.2661</v>
      </c>
      <c r="V316" s="11">
        <v>0.1984</v>
      </c>
      <c r="W316" s="11">
        <v>0.298</v>
      </c>
      <c r="X316" s="8">
        <v>49.39</v>
      </c>
      <c r="Y316" s="8">
        <v>55</v>
      </c>
      <c r="Z316" s="8">
        <v>0.9</v>
      </c>
      <c r="AA316" s="8">
        <v>49.39</v>
      </c>
      <c r="AB316" s="8">
        <v>14.84</v>
      </c>
      <c r="AC316" s="8">
        <v>2.25</v>
      </c>
      <c r="AD316" s="8">
        <v>2</v>
      </c>
      <c r="AE316" s="8">
        <v>2</v>
      </c>
      <c r="AF316" s="11">
        <v>1</v>
      </c>
      <c r="AG316" s="8">
        <v>0</v>
      </c>
      <c r="AH316" s="8">
        <v>0</v>
      </c>
      <c r="AI316" s="11">
        <v>0</v>
      </c>
      <c r="AJ316" s="8" t="s">
        <v>652</v>
      </c>
    </row>
    <row r="317" customFormat="1" ht="22" customHeight="1" spans="1:36">
      <c r="A317" s="8" t="s">
        <v>37</v>
      </c>
      <c r="B317" s="8" t="e">
        <f>VLOOKUP(F317,[1]Sheet1!$B:$E,3,FALSE)</f>
        <v>#N/A</v>
      </c>
      <c r="C317" s="8" t="e">
        <f>VLOOKUP(F317,[1]Sheet1!$B:$E,4,FALSE)</f>
        <v>#N/A</v>
      </c>
      <c r="D317" s="12" t="s">
        <v>653</v>
      </c>
      <c r="E317" s="12">
        <v>0</v>
      </c>
      <c r="F317" s="13">
        <v>34181378</v>
      </c>
      <c r="G317" s="8">
        <v>9</v>
      </c>
      <c r="H317" s="8">
        <v>331.74</v>
      </c>
      <c r="I317" s="8">
        <v>46.91</v>
      </c>
      <c r="J317" s="8">
        <v>36.86</v>
      </c>
      <c r="K317" s="8">
        <v>3134.44</v>
      </c>
      <c r="L317" s="8">
        <v>220</v>
      </c>
      <c r="M317" s="11">
        <v>0.1909</v>
      </c>
      <c r="N317" s="11">
        <v>0.2143</v>
      </c>
      <c r="O317" s="8">
        <v>9</v>
      </c>
      <c r="P317" s="8">
        <v>2651</v>
      </c>
      <c r="Q317" s="11">
        <v>0.0981</v>
      </c>
      <c r="R317" s="11">
        <v>0.3462</v>
      </c>
      <c r="S317" s="8">
        <v>93</v>
      </c>
      <c r="T317" s="11">
        <v>0</v>
      </c>
      <c r="U317" s="11">
        <v>0</v>
      </c>
      <c r="V317" s="11">
        <v>0.2445</v>
      </c>
      <c r="W317" s="11">
        <v>0.3262</v>
      </c>
      <c r="X317" s="8">
        <v>0</v>
      </c>
      <c r="Y317" s="8">
        <v>0</v>
      </c>
      <c r="Z317" s="8">
        <v>-0.01</v>
      </c>
      <c r="AA317" s="8">
        <v>0</v>
      </c>
      <c r="AB317" s="8">
        <v>0</v>
      </c>
      <c r="AC317" s="8">
        <v>24.44</v>
      </c>
      <c r="AD317" s="8">
        <v>5</v>
      </c>
      <c r="AE317" s="8">
        <v>5</v>
      </c>
      <c r="AF317" s="11">
        <v>1</v>
      </c>
      <c r="AG317" s="8">
        <v>0</v>
      </c>
      <c r="AH317" s="8">
        <v>0</v>
      </c>
      <c r="AI317" s="11">
        <v>0</v>
      </c>
      <c r="AJ317" s="8" t="s">
        <v>654</v>
      </c>
    </row>
    <row r="318" customFormat="1" ht="22" customHeight="1" spans="1:36">
      <c r="A318" s="8" t="s">
        <v>37</v>
      </c>
      <c r="B318" s="8" t="str">
        <f>VLOOKUP(F318,[1]Sheet1!$B:$E,3,FALSE)</f>
        <v>刘欢</v>
      </c>
      <c r="C318" s="9" t="str">
        <f>VLOOKUP(F318,[1]Sheet1!$B:$E,4,FALSE)</f>
        <v>A</v>
      </c>
      <c r="D318" s="12" t="s">
        <v>655</v>
      </c>
      <c r="E318" s="12">
        <v>4.3</v>
      </c>
      <c r="F318" s="13">
        <v>25405259</v>
      </c>
      <c r="G318" s="8">
        <v>460</v>
      </c>
      <c r="H318" s="8">
        <v>329.53</v>
      </c>
      <c r="I318" s="8">
        <v>36.43</v>
      </c>
      <c r="J318" s="8">
        <v>21.97</v>
      </c>
      <c r="K318" s="8">
        <v>3455.73</v>
      </c>
      <c r="L318" s="8">
        <v>892</v>
      </c>
      <c r="M318" s="11">
        <v>0.0706</v>
      </c>
      <c r="N318" s="11">
        <v>0.2381</v>
      </c>
      <c r="O318" s="8">
        <v>15</v>
      </c>
      <c r="P318" s="8">
        <v>4085</v>
      </c>
      <c r="Q318" s="11">
        <v>0.0889</v>
      </c>
      <c r="R318" s="11">
        <v>0.3333</v>
      </c>
      <c r="S318" s="8">
        <v>124</v>
      </c>
      <c r="T318" s="11">
        <v>0.0619</v>
      </c>
      <c r="U318" s="11">
        <v>0.1867</v>
      </c>
      <c r="V318" s="11">
        <v>0.1989</v>
      </c>
      <c r="W318" s="11">
        <v>0.3154</v>
      </c>
      <c r="X318" s="8">
        <v>38.91</v>
      </c>
      <c r="Y318" s="8">
        <v>39</v>
      </c>
      <c r="Z318" s="8">
        <v>1</v>
      </c>
      <c r="AA318" s="8">
        <v>38.91</v>
      </c>
      <c r="AB318" s="8">
        <v>11.81</v>
      </c>
      <c r="AC318" s="8">
        <v>1.94</v>
      </c>
      <c r="AD318" s="8">
        <v>3</v>
      </c>
      <c r="AE318" s="8">
        <v>3</v>
      </c>
      <c r="AF318" s="11">
        <v>1</v>
      </c>
      <c r="AG318" s="8">
        <v>0</v>
      </c>
      <c r="AH318" s="8">
        <v>0</v>
      </c>
      <c r="AI318" s="11">
        <v>0</v>
      </c>
      <c r="AJ318" s="8" t="s">
        <v>656</v>
      </c>
    </row>
    <row r="319" customFormat="1" ht="22" customHeight="1" spans="1:36">
      <c r="A319" s="8" t="s">
        <v>37</v>
      </c>
      <c r="B319" s="8" t="e">
        <f>VLOOKUP(F319,[1]Sheet1!$B:$E,3,FALSE)</f>
        <v>#N/A</v>
      </c>
      <c r="C319" s="8" t="e">
        <f>VLOOKUP(F319,[1]Sheet1!$B:$E,4,FALSE)</f>
        <v>#N/A</v>
      </c>
      <c r="D319" s="8" t="s">
        <v>657</v>
      </c>
      <c r="E319" s="8">
        <v>4.7</v>
      </c>
      <c r="F319" s="10">
        <v>26409086</v>
      </c>
      <c r="G319" s="8">
        <v>509</v>
      </c>
      <c r="H319" s="8">
        <v>322.99</v>
      </c>
      <c r="I319" s="8">
        <v>31.49</v>
      </c>
      <c r="J319" s="8">
        <v>24.85</v>
      </c>
      <c r="K319" s="8">
        <v>1695.21</v>
      </c>
      <c r="L319" s="8">
        <v>942</v>
      </c>
      <c r="M319" s="11">
        <v>0.0605</v>
      </c>
      <c r="N319" s="11">
        <v>0.2281</v>
      </c>
      <c r="O319" s="8">
        <v>13</v>
      </c>
      <c r="P319" s="8">
        <v>3174</v>
      </c>
      <c r="Q319" s="11">
        <v>0.0759</v>
      </c>
      <c r="R319" s="11">
        <v>0.2656</v>
      </c>
      <c r="S319" s="8">
        <v>66</v>
      </c>
      <c r="T319" s="11">
        <v>0.1667</v>
      </c>
      <c r="U319" s="11">
        <v>0.2231</v>
      </c>
      <c r="V319" s="11">
        <v>0.1827</v>
      </c>
      <c r="W319" s="11">
        <v>0.2503</v>
      </c>
      <c r="X319" s="8">
        <v>0</v>
      </c>
      <c r="Y319" s="8">
        <v>0</v>
      </c>
      <c r="Z319" s="8">
        <v>-0.01</v>
      </c>
      <c r="AA319" s="8">
        <v>0</v>
      </c>
      <c r="AB319" s="8">
        <v>0</v>
      </c>
      <c r="AC319" s="8">
        <v>1.85</v>
      </c>
      <c r="AD319" s="8">
        <v>0</v>
      </c>
      <c r="AE319" s="8">
        <v>0</v>
      </c>
      <c r="AF319" s="11">
        <v>0</v>
      </c>
      <c r="AG319" s="8">
        <v>0</v>
      </c>
      <c r="AH319" s="8">
        <v>0</v>
      </c>
      <c r="AI319" s="11">
        <v>0</v>
      </c>
      <c r="AJ319" s="8" t="s">
        <v>658</v>
      </c>
    </row>
    <row r="320" customFormat="1" ht="22" customHeight="1" spans="1:36">
      <c r="A320" s="8" t="s">
        <v>37</v>
      </c>
      <c r="B320" s="8" t="str">
        <f>VLOOKUP(F320,[1]Sheet1!$B:$E,3,FALSE)</f>
        <v>徐从众</v>
      </c>
      <c r="C320" s="9" t="str">
        <f>VLOOKUP(F320,[1]Sheet1!$B:$E,4,FALSE)</f>
        <v>A</v>
      </c>
      <c r="D320" s="8" t="s">
        <v>659</v>
      </c>
      <c r="E320" s="8">
        <v>4.6</v>
      </c>
      <c r="F320" s="10">
        <v>14171968</v>
      </c>
      <c r="G320" s="8">
        <v>372</v>
      </c>
      <c r="H320" s="8">
        <v>321.5</v>
      </c>
      <c r="I320" s="8">
        <v>45.97</v>
      </c>
      <c r="J320" s="8">
        <v>32.15</v>
      </c>
      <c r="K320" s="8">
        <v>2752.19</v>
      </c>
      <c r="L320" s="8">
        <v>774</v>
      </c>
      <c r="M320" s="11">
        <v>0.1034</v>
      </c>
      <c r="N320" s="11">
        <v>0.125</v>
      </c>
      <c r="O320" s="8">
        <v>10</v>
      </c>
      <c r="P320" s="8">
        <v>4519</v>
      </c>
      <c r="Q320" s="11">
        <v>0.0759</v>
      </c>
      <c r="R320" s="11">
        <v>0.2857</v>
      </c>
      <c r="S320" s="8">
        <v>101</v>
      </c>
      <c r="T320" s="11">
        <v>0.1226</v>
      </c>
      <c r="U320" s="11">
        <v>0.2734</v>
      </c>
      <c r="V320" s="11">
        <v>0.2388</v>
      </c>
      <c r="W320" s="11">
        <v>0.341</v>
      </c>
      <c r="X320" s="8">
        <v>42.42</v>
      </c>
      <c r="Y320" s="8">
        <v>52</v>
      </c>
      <c r="Z320" s="8">
        <v>0.82</v>
      </c>
      <c r="AA320" s="8">
        <v>42.42</v>
      </c>
      <c r="AB320" s="8">
        <v>13.19</v>
      </c>
      <c r="AC320" s="8">
        <v>2.08</v>
      </c>
      <c r="AD320" s="8">
        <v>1</v>
      </c>
      <c r="AE320" s="8">
        <v>1</v>
      </c>
      <c r="AF320" s="11">
        <v>1</v>
      </c>
      <c r="AG320" s="8">
        <v>0</v>
      </c>
      <c r="AH320" s="8">
        <v>0</v>
      </c>
      <c r="AI320" s="11">
        <v>0</v>
      </c>
      <c r="AJ320" s="8" t="s">
        <v>660</v>
      </c>
    </row>
    <row r="321" customFormat="1" ht="22" customHeight="1" spans="1:36">
      <c r="A321" s="8" t="s">
        <v>37</v>
      </c>
      <c r="B321" s="8" t="str">
        <f>VLOOKUP(F321,[1]Sheet1!$B:$E,3,FALSE)</f>
        <v>刘欢</v>
      </c>
      <c r="C321" s="8" t="str">
        <f>VLOOKUP(F321,[1]Sheet1!$B:$E,4,FALSE)</f>
        <v>C</v>
      </c>
      <c r="D321" s="8" t="s">
        <v>661</v>
      </c>
      <c r="E321" s="8">
        <v>4.6</v>
      </c>
      <c r="F321" s="10">
        <v>31908991</v>
      </c>
      <c r="G321" s="8">
        <v>166</v>
      </c>
      <c r="H321" s="8">
        <v>317.32</v>
      </c>
      <c r="I321" s="8">
        <v>37.8</v>
      </c>
      <c r="J321" s="8">
        <v>31.73</v>
      </c>
      <c r="K321" s="8">
        <v>4522.41</v>
      </c>
      <c r="L321" s="8">
        <v>369</v>
      </c>
      <c r="M321" s="11">
        <v>0.1274</v>
      </c>
      <c r="N321" s="11">
        <v>0.2128</v>
      </c>
      <c r="O321" s="8">
        <v>10</v>
      </c>
      <c r="P321" s="8">
        <v>5016</v>
      </c>
      <c r="Q321" s="11">
        <v>0.0817</v>
      </c>
      <c r="R321" s="11">
        <v>0.3293</v>
      </c>
      <c r="S321" s="8">
        <v>138</v>
      </c>
      <c r="T321" s="11">
        <v>0.1346</v>
      </c>
      <c r="U321" s="11">
        <v>0.3704</v>
      </c>
      <c r="V321" s="11">
        <v>0.2155</v>
      </c>
      <c r="W321" s="11">
        <v>0.3497</v>
      </c>
      <c r="X321" s="8">
        <v>0</v>
      </c>
      <c r="Y321" s="8">
        <v>0</v>
      </c>
      <c r="Z321" s="8">
        <v>-0.01</v>
      </c>
      <c r="AA321" s="8">
        <v>0</v>
      </c>
      <c r="AB321" s="8">
        <v>0</v>
      </c>
      <c r="AC321" s="8">
        <v>2.22</v>
      </c>
      <c r="AD321" s="8">
        <v>5</v>
      </c>
      <c r="AE321" s="8">
        <v>5</v>
      </c>
      <c r="AF321" s="11">
        <v>1</v>
      </c>
      <c r="AG321" s="8">
        <v>0</v>
      </c>
      <c r="AH321" s="8">
        <v>0</v>
      </c>
      <c r="AI321" s="11">
        <v>0</v>
      </c>
      <c r="AJ321" s="8" t="s">
        <v>662</v>
      </c>
    </row>
    <row r="322" customFormat="1" ht="22" customHeight="1" spans="1:36">
      <c r="A322" s="8" t="s">
        <v>37</v>
      </c>
      <c r="B322" s="8" t="str">
        <f>VLOOKUP(F322,[1]Sheet1!$B:$E,3,FALSE)</f>
        <v>岳贝贝</v>
      </c>
      <c r="C322" s="9" t="str">
        <f>VLOOKUP(F322,[1]Sheet1!$B:$E,4,FALSE)</f>
        <v>A</v>
      </c>
      <c r="D322" s="12" t="s">
        <v>663</v>
      </c>
      <c r="E322" s="12">
        <v>4.3</v>
      </c>
      <c r="F322" s="13">
        <v>33755801</v>
      </c>
      <c r="G322" s="8">
        <v>907</v>
      </c>
      <c r="H322" s="8">
        <v>312.92</v>
      </c>
      <c r="I322" s="8">
        <v>25.57</v>
      </c>
      <c r="J322" s="8">
        <v>20.86</v>
      </c>
      <c r="K322" s="8">
        <v>3612.57</v>
      </c>
      <c r="L322" s="8">
        <v>717</v>
      </c>
      <c r="M322" s="11">
        <v>0.0948</v>
      </c>
      <c r="N322" s="11">
        <v>0.2206</v>
      </c>
      <c r="O322" s="8">
        <v>15</v>
      </c>
      <c r="P322" s="8">
        <v>5218</v>
      </c>
      <c r="Q322" s="11">
        <v>0.0834</v>
      </c>
      <c r="R322" s="11">
        <v>0.2644</v>
      </c>
      <c r="S322" s="8">
        <v>119</v>
      </c>
      <c r="T322" s="11">
        <v>0.1483</v>
      </c>
      <c r="U322" s="11">
        <v>0.2584</v>
      </c>
      <c r="V322" s="11">
        <v>0.2129</v>
      </c>
      <c r="W322" s="11">
        <v>0.3287</v>
      </c>
      <c r="X322" s="8">
        <v>53.25</v>
      </c>
      <c r="Y322" s="8">
        <v>50</v>
      </c>
      <c r="Z322" s="8">
        <v>1.07</v>
      </c>
      <c r="AA322" s="8">
        <v>53.25</v>
      </c>
      <c r="AB322" s="8">
        <v>17.02</v>
      </c>
      <c r="AC322" s="8">
        <v>0.79</v>
      </c>
      <c r="AD322" s="8">
        <v>0</v>
      </c>
      <c r="AE322" s="8">
        <v>0</v>
      </c>
      <c r="AF322" s="11">
        <v>0</v>
      </c>
      <c r="AG322" s="8">
        <v>0</v>
      </c>
      <c r="AH322" s="8">
        <v>0</v>
      </c>
      <c r="AI322" s="11">
        <v>0</v>
      </c>
      <c r="AJ322" s="8" t="s">
        <v>664</v>
      </c>
    </row>
    <row r="323" customFormat="1" ht="22" customHeight="1" spans="1:36">
      <c r="A323" s="8" t="s">
        <v>37</v>
      </c>
      <c r="B323" s="8" t="str">
        <f>VLOOKUP(F323,[1]Sheet1!$B:$E,3,FALSE)</f>
        <v>徐从众</v>
      </c>
      <c r="C323" s="9" t="str">
        <f>VLOOKUP(F323,[1]Sheet1!$B:$E,4,FALSE)</f>
        <v>S</v>
      </c>
      <c r="D323" s="12" t="s">
        <v>665</v>
      </c>
      <c r="E323" s="12">
        <v>4.3</v>
      </c>
      <c r="F323" s="13">
        <v>22855811</v>
      </c>
      <c r="G323" s="8">
        <v>306</v>
      </c>
      <c r="H323" s="8">
        <v>311.83</v>
      </c>
      <c r="I323" s="8">
        <v>39.97</v>
      </c>
      <c r="J323" s="8">
        <v>31.18</v>
      </c>
      <c r="K323" s="8">
        <v>2273.49</v>
      </c>
      <c r="L323" s="8">
        <v>523</v>
      </c>
      <c r="M323" s="11">
        <v>0.1281</v>
      </c>
      <c r="N323" s="11">
        <v>0.1493</v>
      </c>
      <c r="O323" s="8">
        <v>10</v>
      </c>
      <c r="P323" s="8">
        <v>2995</v>
      </c>
      <c r="Q323" s="11">
        <v>0.0735</v>
      </c>
      <c r="R323" s="11">
        <v>0.25</v>
      </c>
      <c r="S323" s="8">
        <v>58</v>
      </c>
      <c r="T323" s="11">
        <v>0.1111</v>
      </c>
      <c r="U323" s="11">
        <v>0.2435</v>
      </c>
      <c r="V323" s="11">
        <v>0.2167</v>
      </c>
      <c r="W323" s="11">
        <v>0.286</v>
      </c>
      <c r="X323" s="8">
        <v>0</v>
      </c>
      <c r="Y323" s="8">
        <v>0</v>
      </c>
      <c r="Z323" s="8">
        <v>-0.01</v>
      </c>
      <c r="AA323" s="8">
        <v>0</v>
      </c>
      <c r="AB323" s="8">
        <v>0</v>
      </c>
      <c r="AC323" s="8">
        <v>1.71</v>
      </c>
      <c r="AD323" s="8">
        <v>0</v>
      </c>
      <c r="AE323" s="8">
        <v>0</v>
      </c>
      <c r="AF323" s="11">
        <v>0</v>
      </c>
      <c r="AG323" s="8">
        <v>0</v>
      </c>
      <c r="AH323" s="8">
        <v>0</v>
      </c>
      <c r="AI323" s="11">
        <v>0</v>
      </c>
      <c r="AJ323" s="8" t="s">
        <v>666</v>
      </c>
    </row>
    <row r="324" customFormat="1" ht="22" customHeight="1" spans="1:36">
      <c r="A324" s="8" t="s">
        <v>37</v>
      </c>
      <c r="B324" s="8" t="e">
        <f>VLOOKUP(F324,[1]Sheet1!$B:$E,3,FALSE)</f>
        <v>#N/A</v>
      </c>
      <c r="C324" s="8" t="e">
        <f>VLOOKUP(F324,[1]Sheet1!$B:$E,4,FALSE)</f>
        <v>#N/A</v>
      </c>
      <c r="D324" s="8" t="s">
        <v>667</v>
      </c>
      <c r="E324" s="8">
        <v>4.8</v>
      </c>
      <c r="F324" s="10">
        <v>18559108</v>
      </c>
      <c r="G324" s="8">
        <v>735</v>
      </c>
      <c r="H324" s="12">
        <v>294.58</v>
      </c>
      <c r="I324" s="8">
        <v>17.78</v>
      </c>
      <c r="J324" s="8">
        <v>9.5</v>
      </c>
      <c r="K324" s="8">
        <v>3738.9</v>
      </c>
      <c r="L324" s="8">
        <v>972</v>
      </c>
      <c r="M324" s="11">
        <v>0.0751</v>
      </c>
      <c r="N324" s="11">
        <v>0.3836</v>
      </c>
      <c r="O324" s="8">
        <v>31</v>
      </c>
      <c r="P324" s="8">
        <v>7926</v>
      </c>
      <c r="Q324" s="11">
        <v>0.0751</v>
      </c>
      <c r="R324" s="11">
        <v>0.2891</v>
      </c>
      <c r="S324" s="8">
        <v>178</v>
      </c>
      <c r="T324" s="11">
        <v>0.2296</v>
      </c>
      <c r="U324" s="11">
        <v>0.4194</v>
      </c>
      <c r="V324" s="11">
        <v>0.2541</v>
      </c>
      <c r="W324" s="11">
        <v>0.3597</v>
      </c>
      <c r="X324" s="8">
        <v>3.77</v>
      </c>
      <c r="Y324" s="8">
        <v>7</v>
      </c>
      <c r="Z324" s="8">
        <v>0.54</v>
      </c>
      <c r="AA324" s="8">
        <v>3.77</v>
      </c>
      <c r="AB324" s="8">
        <v>1.28</v>
      </c>
      <c r="AC324" s="8">
        <v>1.32</v>
      </c>
      <c r="AD324" s="8">
        <v>0</v>
      </c>
      <c r="AE324" s="8">
        <v>0</v>
      </c>
      <c r="AF324" s="11">
        <v>0</v>
      </c>
      <c r="AG324" s="8">
        <v>0</v>
      </c>
      <c r="AH324" s="8">
        <v>0</v>
      </c>
      <c r="AI324" s="11">
        <v>0</v>
      </c>
      <c r="AJ324" s="8" t="s">
        <v>668</v>
      </c>
    </row>
    <row r="325" customFormat="1" ht="22" customHeight="1" spans="1:36">
      <c r="A325" s="8" t="s">
        <v>37</v>
      </c>
      <c r="B325" s="8" t="e">
        <f>VLOOKUP(F325,[1]Sheet1!$B:$E,3,FALSE)</f>
        <v>#N/A</v>
      </c>
      <c r="C325" s="8" t="e">
        <f>VLOOKUP(F325,[1]Sheet1!$B:$E,4,FALSE)</f>
        <v>#N/A</v>
      </c>
      <c r="D325" s="8" t="s">
        <v>669</v>
      </c>
      <c r="E325" s="8">
        <v>4.5</v>
      </c>
      <c r="F325" s="10">
        <v>33894071</v>
      </c>
      <c r="G325" s="8">
        <v>285</v>
      </c>
      <c r="H325" s="12">
        <v>289.99</v>
      </c>
      <c r="I325" s="8">
        <v>68.07</v>
      </c>
      <c r="J325" s="8">
        <v>48.33</v>
      </c>
      <c r="K325" s="8">
        <v>2530.38</v>
      </c>
      <c r="L325" s="8">
        <v>1276</v>
      </c>
      <c r="M325" s="11">
        <v>0.0541</v>
      </c>
      <c r="N325" s="11">
        <v>0.087</v>
      </c>
      <c r="O325" s="8">
        <v>6</v>
      </c>
      <c r="P325" s="8">
        <v>3876</v>
      </c>
      <c r="Q325" s="11">
        <v>0.0849</v>
      </c>
      <c r="R325" s="11">
        <v>0.2401</v>
      </c>
      <c r="S325" s="8">
        <v>81</v>
      </c>
      <c r="T325" s="11">
        <v>0.1134</v>
      </c>
      <c r="U325" s="11">
        <v>0</v>
      </c>
      <c r="V325" s="11">
        <v>0.2253</v>
      </c>
      <c r="W325" s="11">
        <v>0.3211</v>
      </c>
      <c r="X325" s="8">
        <v>46.63</v>
      </c>
      <c r="Y325" s="8">
        <v>38</v>
      </c>
      <c r="Z325" s="8">
        <v>1.23</v>
      </c>
      <c r="AA325" s="8">
        <v>46.63</v>
      </c>
      <c r="AB325" s="8">
        <v>16.08</v>
      </c>
      <c r="AC325" s="8">
        <v>4.48</v>
      </c>
      <c r="AD325" s="8">
        <v>0</v>
      </c>
      <c r="AE325" s="8">
        <v>0</v>
      </c>
      <c r="AF325" s="11">
        <v>0</v>
      </c>
      <c r="AG325" s="8">
        <v>0</v>
      </c>
      <c r="AH325" s="8">
        <v>0</v>
      </c>
      <c r="AI325" s="11">
        <v>0</v>
      </c>
      <c r="AJ325" s="8" t="s">
        <v>670</v>
      </c>
    </row>
    <row r="326" customFormat="1" ht="22" customHeight="1" spans="1:36">
      <c r="A326" s="8" t="s">
        <v>37</v>
      </c>
      <c r="B326" s="8" t="str">
        <f>VLOOKUP(F326,[1]Sheet1!$B:$E,3,FALSE)</f>
        <v>徐从众</v>
      </c>
      <c r="C326" s="9" t="str">
        <f>VLOOKUP(F326,[1]Sheet1!$B:$E,4,FALSE)</f>
        <v>S</v>
      </c>
      <c r="D326" s="8" t="s">
        <v>671</v>
      </c>
      <c r="E326" s="8">
        <v>4.6</v>
      </c>
      <c r="F326" s="10">
        <v>20522596</v>
      </c>
      <c r="G326" s="8">
        <v>1034</v>
      </c>
      <c r="H326" s="12">
        <v>287.35</v>
      </c>
      <c r="I326" s="8">
        <v>23.2</v>
      </c>
      <c r="J326" s="8">
        <v>11.05</v>
      </c>
      <c r="K326" s="8">
        <v>3370.52</v>
      </c>
      <c r="L326" s="8">
        <v>1183</v>
      </c>
      <c r="M326" s="11">
        <v>0.0752</v>
      </c>
      <c r="N326" s="11">
        <v>0.2697</v>
      </c>
      <c r="O326" s="8">
        <v>26</v>
      </c>
      <c r="P326" s="8">
        <v>2637</v>
      </c>
      <c r="Q326" s="11">
        <v>0.0967</v>
      </c>
      <c r="R326" s="11">
        <v>0.4196</v>
      </c>
      <c r="S326" s="8">
        <v>109</v>
      </c>
      <c r="T326" s="11">
        <v>0.1976</v>
      </c>
      <c r="U326" s="11">
        <v>0.3863</v>
      </c>
      <c r="V326" s="11">
        <v>0.2358</v>
      </c>
      <c r="W326" s="11">
        <v>0.3308</v>
      </c>
      <c r="X326" s="8">
        <v>71.88</v>
      </c>
      <c r="Y326" s="8">
        <v>57</v>
      </c>
      <c r="Z326" s="8">
        <v>1.26</v>
      </c>
      <c r="AA326" s="8">
        <v>71.88</v>
      </c>
      <c r="AB326" s="8">
        <v>25.01</v>
      </c>
      <c r="AC326" s="8">
        <v>1.14</v>
      </c>
      <c r="AD326" s="8">
        <v>0</v>
      </c>
      <c r="AE326" s="8">
        <v>0</v>
      </c>
      <c r="AF326" s="11">
        <v>0</v>
      </c>
      <c r="AG326" s="8">
        <v>0</v>
      </c>
      <c r="AH326" s="8">
        <v>0</v>
      </c>
      <c r="AI326" s="11">
        <v>0</v>
      </c>
      <c r="AJ326" s="8" t="s">
        <v>672</v>
      </c>
    </row>
    <row r="327" customFormat="1" ht="22" customHeight="1" spans="1:36">
      <c r="A327" s="8" t="s">
        <v>37</v>
      </c>
      <c r="B327" s="8" t="str">
        <f>VLOOKUP(F327,[1]Sheet1!$B:$E,3,FALSE)</f>
        <v>徐从众</v>
      </c>
      <c r="C327" s="9" t="str">
        <f>VLOOKUP(F327,[1]Sheet1!$B:$E,4,FALSE)</f>
        <v>S</v>
      </c>
      <c r="D327" s="8" t="s">
        <v>673</v>
      </c>
      <c r="E327" s="8">
        <v>4.8</v>
      </c>
      <c r="F327" s="10">
        <v>18899187</v>
      </c>
      <c r="G327" s="8">
        <v>177</v>
      </c>
      <c r="H327" s="12">
        <v>280.52</v>
      </c>
      <c r="I327" s="8">
        <v>96.38</v>
      </c>
      <c r="J327" s="8">
        <v>70.13</v>
      </c>
      <c r="K327" s="8">
        <v>1886.55</v>
      </c>
      <c r="L327" s="8">
        <v>343</v>
      </c>
      <c r="M327" s="11">
        <v>0.1108</v>
      </c>
      <c r="N327" s="11">
        <v>0.1053</v>
      </c>
      <c r="O327" s="8">
        <v>4</v>
      </c>
      <c r="P327" s="8">
        <v>1881</v>
      </c>
      <c r="Q327" s="11">
        <v>0.0835</v>
      </c>
      <c r="R327" s="11">
        <v>0.2166</v>
      </c>
      <c r="S327" s="8">
        <v>36</v>
      </c>
      <c r="T327" s="11">
        <v>0.1622</v>
      </c>
      <c r="U327" s="11">
        <v>0.2738</v>
      </c>
      <c r="V327" s="11">
        <v>0.227</v>
      </c>
      <c r="W327" s="11">
        <v>0.3163</v>
      </c>
      <c r="X327" s="8">
        <v>0</v>
      </c>
      <c r="Y327" s="8">
        <v>0</v>
      </c>
      <c r="Z327" s="8">
        <v>-0.01</v>
      </c>
      <c r="AA327" s="8">
        <v>0</v>
      </c>
      <c r="AB327" s="8">
        <v>0</v>
      </c>
      <c r="AC327" s="8">
        <v>1.94</v>
      </c>
      <c r="AD327" s="8">
        <v>0</v>
      </c>
      <c r="AE327" s="8">
        <v>0</v>
      </c>
      <c r="AF327" s="11">
        <v>0</v>
      </c>
      <c r="AG327" s="8">
        <v>0</v>
      </c>
      <c r="AH327" s="8">
        <v>0</v>
      </c>
      <c r="AI327" s="11">
        <v>0</v>
      </c>
      <c r="AJ327" s="8" t="s">
        <v>674</v>
      </c>
    </row>
    <row r="328" customFormat="1" ht="22" customHeight="1" spans="1:36">
      <c r="A328" s="8" t="s">
        <v>37</v>
      </c>
      <c r="B328" s="8" t="str">
        <f>VLOOKUP(F328,[1]Sheet1!$B:$E,3,FALSE)</f>
        <v>刘欢</v>
      </c>
      <c r="C328" s="9" t="str">
        <f>VLOOKUP(F328,[1]Sheet1!$B:$E,4,FALSE)</f>
        <v>A</v>
      </c>
      <c r="D328" s="8" t="s">
        <v>675</v>
      </c>
      <c r="E328" s="8">
        <v>4.7</v>
      </c>
      <c r="F328" s="10">
        <v>21291678</v>
      </c>
      <c r="G328" s="8">
        <v>589</v>
      </c>
      <c r="H328" s="12">
        <v>280.1</v>
      </c>
      <c r="I328" s="8">
        <v>70.01</v>
      </c>
      <c r="J328" s="8">
        <v>46.68</v>
      </c>
      <c r="K328" s="8">
        <v>3109.15</v>
      </c>
      <c r="L328" s="8">
        <v>891</v>
      </c>
      <c r="M328" s="11">
        <v>0.0606</v>
      </c>
      <c r="N328" s="11">
        <v>0.1111</v>
      </c>
      <c r="O328" s="8">
        <v>6</v>
      </c>
      <c r="P328" s="8">
        <v>3086</v>
      </c>
      <c r="Q328" s="11">
        <v>0.082</v>
      </c>
      <c r="R328" s="11">
        <v>0.253</v>
      </c>
      <c r="S328" s="8">
        <v>65</v>
      </c>
      <c r="T328" s="11">
        <v>0.1161</v>
      </c>
      <c r="U328" s="11">
        <v>0.2526</v>
      </c>
      <c r="V328" s="11">
        <v>0.2267</v>
      </c>
      <c r="W328" s="11">
        <v>0.3022</v>
      </c>
      <c r="X328" s="8">
        <v>0</v>
      </c>
      <c r="Y328" s="8">
        <v>0</v>
      </c>
      <c r="Z328" s="8">
        <v>-0.01</v>
      </c>
      <c r="AA328" s="8">
        <v>0</v>
      </c>
      <c r="AB328" s="8">
        <v>0</v>
      </c>
      <c r="AC328" s="8">
        <v>1.51</v>
      </c>
      <c r="AD328" s="8">
        <v>0</v>
      </c>
      <c r="AE328" s="8">
        <v>0</v>
      </c>
      <c r="AF328" s="11">
        <v>0</v>
      </c>
      <c r="AG328" s="8">
        <v>0</v>
      </c>
      <c r="AH328" s="8">
        <v>0</v>
      </c>
      <c r="AI328" s="11">
        <v>0</v>
      </c>
      <c r="AJ328" s="8" t="s">
        <v>676</v>
      </c>
    </row>
    <row r="329" customFormat="1" ht="22" customHeight="1" spans="1:36">
      <c r="A329" s="8" t="s">
        <v>37</v>
      </c>
      <c r="B329" s="8" t="str">
        <f>VLOOKUP(F329,[1]Sheet1!$B:$E,3,FALSE)</f>
        <v>王森</v>
      </c>
      <c r="C329" s="9" t="str">
        <f>VLOOKUP(F329,[1]Sheet1!$B:$E,4,FALSE)</f>
        <v>S</v>
      </c>
      <c r="D329" s="12" t="s">
        <v>677</v>
      </c>
      <c r="E329" s="12">
        <v>4.3</v>
      </c>
      <c r="F329" s="13">
        <v>14221883</v>
      </c>
      <c r="G329" s="8">
        <v>220</v>
      </c>
      <c r="H329" s="12">
        <v>277.98</v>
      </c>
      <c r="I329" s="8">
        <v>78.16</v>
      </c>
      <c r="J329" s="8">
        <v>55.6</v>
      </c>
      <c r="K329" s="8">
        <v>3678.39</v>
      </c>
      <c r="L329" s="8">
        <v>794</v>
      </c>
      <c r="M329" s="11">
        <v>0.0844</v>
      </c>
      <c r="N329" s="11">
        <v>0.0746</v>
      </c>
      <c r="O329" s="8">
        <v>5</v>
      </c>
      <c r="P329" s="8">
        <v>2765</v>
      </c>
      <c r="Q329" s="11">
        <v>0.0929</v>
      </c>
      <c r="R329" s="11">
        <v>0.214</v>
      </c>
      <c r="S329" s="8">
        <v>57</v>
      </c>
      <c r="T329" s="11">
        <v>0.0891</v>
      </c>
      <c r="U329" s="11">
        <v>0.2027</v>
      </c>
      <c r="V329" s="11">
        <v>0.1889</v>
      </c>
      <c r="W329" s="11">
        <v>0.2449</v>
      </c>
      <c r="X329" s="8">
        <v>39.2</v>
      </c>
      <c r="Y329" s="8">
        <v>44</v>
      </c>
      <c r="Z329" s="8">
        <v>0.89</v>
      </c>
      <c r="AA329" s="8">
        <v>39.2</v>
      </c>
      <c r="AB329" s="8">
        <v>14.1</v>
      </c>
      <c r="AC329" s="8">
        <v>3.61</v>
      </c>
      <c r="AD329" s="8">
        <v>0</v>
      </c>
      <c r="AE329" s="8">
        <v>0</v>
      </c>
      <c r="AF329" s="11">
        <v>0</v>
      </c>
      <c r="AG329" s="8">
        <v>0</v>
      </c>
      <c r="AH329" s="8">
        <v>0</v>
      </c>
      <c r="AI329" s="11">
        <v>0</v>
      </c>
      <c r="AJ329" s="8" t="s">
        <v>678</v>
      </c>
    </row>
    <row r="330" customFormat="1" ht="22" customHeight="1" spans="1:36">
      <c r="A330" s="8" t="s">
        <v>37</v>
      </c>
      <c r="B330" s="8" t="str">
        <f>VLOOKUP(F330,[1]Sheet1!$B:$E,3,FALSE)</f>
        <v>徐从众</v>
      </c>
      <c r="C330" s="9" t="str">
        <f>VLOOKUP(F330,[1]Sheet1!$B:$E,4,FALSE)</f>
        <v>A</v>
      </c>
      <c r="D330" s="8" t="s">
        <v>679</v>
      </c>
      <c r="E330" s="8">
        <v>4.8</v>
      </c>
      <c r="F330" s="10">
        <v>19370062</v>
      </c>
      <c r="G330" s="8">
        <v>340</v>
      </c>
      <c r="H330" s="12">
        <v>274.94</v>
      </c>
      <c r="I330" s="8">
        <v>78.69</v>
      </c>
      <c r="J330" s="8">
        <v>54.99</v>
      </c>
      <c r="K330" s="8">
        <v>4486.36</v>
      </c>
      <c r="L330" s="8">
        <v>501</v>
      </c>
      <c r="M330" s="11">
        <v>0.1018</v>
      </c>
      <c r="N330" s="11">
        <v>0.0784</v>
      </c>
      <c r="O330" s="8">
        <v>5</v>
      </c>
      <c r="P330" s="8">
        <v>5180</v>
      </c>
      <c r="Q330" s="11">
        <v>0.0869</v>
      </c>
      <c r="R330" s="11">
        <v>0.2244</v>
      </c>
      <c r="S330" s="8">
        <v>105</v>
      </c>
      <c r="T330" s="11">
        <v>0.125</v>
      </c>
      <c r="U330" s="11">
        <v>0.2553</v>
      </c>
      <c r="V330" s="11">
        <v>0.2502</v>
      </c>
      <c r="W330" s="11">
        <v>0.3429</v>
      </c>
      <c r="X330" s="8">
        <v>0</v>
      </c>
      <c r="Y330" s="8">
        <v>0</v>
      </c>
      <c r="Z330" s="8">
        <v>-0.01</v>
      </c>
      <c r="AA330" s="8">
        <v>0</v>
      </c>
      <c r="AB330" s="8">
        <v>0</v>
      </c>
      <c r="AC330" s="8">
        <v>1.47</v>
      </c>
      <c r="AD330" s="8">
        <v>0</v>
      </c>
      <c r="AE330" s="8">
        <v>0</v>
      </c>
      <c r="AF330" s="11">
        <v>0</v>
      </c>
      <c r="AG330" s="8">
        <v>0</v>
      </c>
      <c r="AH330" s="8">
        <v>0</v>
      </c>
      <c r="AI330" s="11">
        <v>0</v>
      </c>
      <c r="AJ330" s="8" t="s">
        <v>680</v>
      </c>
    </row>
    <row r="331" customFormat="1" ht="22" customHeight="1" spans="1:36">
      <c r="A331" s="8" t="s">
        <v>37</v>
      </c>
      <c r="B331" s="8" t="e">
        <f>VLOOKUP(F331,[1]Sheet1!$B:$E,3,FALSE)</f>
        <v>#N/A</v>
      </c>
      <c r="C331" s="8" t="e">
        <f>VLOOKUP(F331,[1]Sheet1!$B:$E,4,FALSE)</f>
        <v>#N/A</v>
      </c>
      <c r="D331" s="8" t="s">
        <v>681</v>
      </c>
      <c r="E331" s="8">
        <v>4.6</v>
      </c>
      <c r="F331" s="10">
        <v>34126356</v>
      </c>
      <c r="G331" s="8">
        <v>207</v>
      </c>
      <c r="H331" s="12">
        <v>268.83</v>
      </c>
      <c r="I331" s="8">
        <v>29.65</v>
      </c>
      <c r="J331" s="8">
        <v>20.68</v>
      </c>
      <c r="K331" s="8">
        <v>4021.47</v>
      </c>
      <c r="L331" s="8">
        <v>1025</v>
      </c>
      <c r="M331" s="11">
        <v>0.0527</v>
      </c>
      <c r="N331" s="11">
        <v>0.2407</v>
      </c>
      <c r="O331" s="8">
        <v>13</v>
      </c>
      <c r="P331" s="8">
        <v>5082</v>
      </c>
      <c r="Q331" s="11">
        <v>0.0801</v>
      </c>
      <c r="R331" s="11">
        <v>0.3661</v>
      </c>
      <c r="S331" s="8">
        <v>152</v>
      </c>
      <c r="T331" s="11">
        <v>0.0677</v>
      </c>
      <c r="U331" s="11">
        <v>0</v>
      </c>
      <c r="V331" s="11">
        <v>0.2209</v>
      </c>
      <c r="W331" s="11">
        <v>0.3186</v>
      </c>
      <c r="X331" s="8">
        <v>39.5</v>
      </c>
      <c r="Y331" s="8">
        <v>36</v>
      </c>
      <c r="Z331" s="8">
        <v>1.1</v>
      </c>
      <c r="AA331" s="8">
        <v>39.5</v>
      </c>
      <c r="AB331" s="8">
        <v>14.69</v>
      </c>
      <c r="AC331" s="8">
        <v>4.95</v>
      </c>
      <c r="AD331" s="8">
        <v>3</v>
      </c>
      <c r="AE331" s="8">
        <v>3</v>
      </c>
      <c r="AF331" s="11">
        <v>1</v>
      </c>
      <c r="AG331" s="8">
        <v>0</v>
      </c>
      <c r="AH331" s="8">
        <v>0</v>
      </c>
      <c r="AI331" s="11">
        <v>0</v>
      </c>
      <c r="AJ331" s="8" t="s">
        <v>682</v>
      </c>
    </row>
    <row r="332" customFormat="1" ht="22" customHeight="1" spans="1:36">
      <c r="A332" s="8" t="s">
        <v>37</v>
      </c>
      <c r="B332" s="8" t="str">
        <f>VLOOKUP(F332,[1]Sheet1!$B:$E,3,FALSE)</f>
        <v>徐从众</v>
      </c>
      <c r="C332" s="9" t="str">
        <f>VLOOKUP(F332,[1]Sheet1!$B:$E,4,FALSE)</f>
        <v>S</v>
      </c>
      <c r="D332" s="8" t="s">
        <v>683</v>
      </c>
      <c r="E332" s="8">
        <v>4.5</v>
      </c>
      <c r="F332" s="10">
        <v>26466218</v>
      </c>
      <c r="G332" s="8">
        <v>929</v>
      </c>
      <c r="H332" s="12">
        <v>268.54</v>
      </c>
      <c r="I332" s="8">
        <v>15.27</v>
      </c>
      <c r="J332" s="8">
        <v>8.95</v>
      </c>
      <c r="K332" s="8">
        <v>4123.42</v>
      </c>
      <c r="L332" s="8">
        <v>1342</v>
      </c>
      <c r="M332" s="11">
        <v>0.0753</v>
      </c>
      <c r="N332" s="11">
        <v>0.2871</v>
      </c>
      <c r="O332" s="8">
        <v>30</v>
      </c>
      <c r="P332" s="8">
        <v>5670</v>
      </c>
      <c r="Q332" s="11">
        <v>0.0804</v>
      </c>
      <c r="R332" s="11">
        <v>0.3377</v>
      </c>
      <c r="S332" s="8">
        <v>156</v>
      </c>
      <c r="T332" s="11">
        <v>0.1809</v>
      </c>
      <c r="U332" s="11">
        <v>0.3186</v>
      </c>
      <c r="V332" s="11">
        <v>0.2371</v>
      </c>
      <c r="W332" s="11">
        <v>0.3202</v>
      </c>
      <c r="X332" s="8">
        <v>0</v>
      </c>
      <c r="Y332" s="8">
        <v>0</v>
      </c>
      <c r="Z332" s="8">
        <v>-0.01</v>
      </c>
      <c r="AA332" s="8">
        <v>0</v>
      </c>
      <c r="AB332" s="8">
        <v>0</v>
      </c>
      <c r="AC332" s="8">
        <v>1.44</v>
      </c>
      <c r="AD332" s="8">
        <v>0</v>
      </c>
      <c r="AE332" s="8">
        <v>0</v>
      </c>
      <c r="AF332" s="11">
        <v>0</v>
      </c>
      <c r="AG332" s="8">
        <v>0</v>
      </c>
      <c r="AH332" s="8">
        <v>0</v>
      </c>
      <c r="AI332" s="11">
        <v>0</v>
      </c>
      <c r="AJ332" s="8" t="s">
        <v>684</v>
      </c>
    </row>
    <row r="333" customFormat="1" ht="22" customHeight="1" spans="1:36">
      <c r="A333" s="8" t="s">
        <v>37</v>
      </c>
      <c r="B333" s="8" t="e">
        <f>VLOOKUP(F333,[1]Sheet1!$B:$E,3,FALSE)</f>
        <v>#N/A</v>
      </c>
      <c r="C333" s="8" t="e">
        <f>VLOOKUP(F333,[1]Sheet1!$B:$E,4,FALSE)</f>
        <v>#N/A</v>
      </c>
      <c r="D333" s="8" t="s">
        <v>685</v>
      </c>
      <c r="E333" s="8">
        <v>4.4</v>
      </c>
      <c r="F333" s="10">
        <v>8579519</v>
      </c>
      <c r="G333" s="8">
        <v>224</v>
      </c>
      <c r="H333" s="12">
        <v>266.5</v>
      </c>
      <c r="I333" s="8">
        <v>154.87</v>
      </c>
      <c r="J333" s="8">
        <v>88.83</v>
      </c>
      <c r="K333" s="8">
        <v>3094.52</v>
      </c>
      <c r="L333" s="8">
        <v>1227</v>
      </c>
      <c r="M333" s="11">
        <v>0.0432</v>
      </c>
      <c r="N333" s="11">
        <v>0.0566</v>
      </c>
      <c r="O333" s="8">
        <v>3</v>
      </c>
      <c r="P333" s="8">
        <v>4039</v>
      </c>
      <c r="Q333" s="11">
        <v>0.078</v>
      </c>
      <c r="R333" s="11">
        <v>0.3365</v>
      </c>
      <c r="S333" s="8">
        <v>110</v>
      </c>
      <c r="T333" s="11">
        <v>0.0959</v>
      </c>
      <c r="U333" s="11">
        <v>0.181</v>
      </c>
      <c r="V333" s="11">
        <v>0.1982</v>
      </c>
      <c r="W333" s="11">
        <v>0.2839</v>
      </c>
      <c r="X333" s="8">
        <v>80</v>
      </c>
      <c r="Y333" s="8">
        <v>48</v>
      </c>
      <c r="Z333" s="8">
        <v>1.67</v>
      </c>
      <c r="AA333" s="8">
        <v>80</v>
      </c>
      <c r="AB333" s="8">
        <v>30.02</v>
      </c>
      <c r="AC333" s="8">
        <v>5.48</v>
      </c>
      <c r="AD333" s="8">
        <v>0</v>
      </c>
      <c r="AE333" s="8">
        <v>0</v>
      </c>
      <c r="AF333" s="11">
        <v>0</v>
      </c>
      <c r="AG333" s="8">
        <v>0</v>
      </c>
      <c r="AH333" s="8">
        <v>0</v>
      </c>
      <c r="AI333" s="11">
        <v>0</v>
      </c>
      <c r="AJ333" s="8" t="s">
        <v>686</v>
      </c>
    </row>
    <row r="334" customFormat="1" ht="22" customHeight="1" spans="1:36">
      <c r="A334" s="8" t="s">
        <v>37</v>
      </c>
      <c r="B334" s="8" t="str">
        <f>VLOOKUP(F334,[1]Sheet1!$B:$E,3,FALSE)</f>
        <v>徐从众</v>
      </c>
      <c r="C334" s="9" t="str">
        <f>VLOOKUP(F334,[1]Sheet1!$B:$E,4,FALSE)</f>
        <v>S</v>
      </c>
      <c r="D334" s="8" t="s">
        <v>687</v>
      </c>
      <c r="E334" s="8">
        <v>4.5</v>
      </c>
      <c r="F334" s="10">
        <v>27419349</v>
      </c>
      <c r="G334" s="8">
        <v>248</v>
      </c>
      <c r="H334" s="12">
        <v>259.66</v>
      </c>
      <c r="I334" s="8">
        <v>61.52</v>
      </c>
      <c r="J334" s="8">
        <v>43.28</v>
      </c>
      <c r="K334" s="8">
        <v>4756.48</v>
      </c>
      <c r="L334" s="8">
        <v>482</v>
      </c>
      <c r="M334" s="11">
        <v>0.1079</v>
      </c>
      <c r="N334" s="11">
        <v>0.1154</v>
      </c>
      <c r="O334" s="8">
        <v>6</v>
      </c>
      <c r="P334" s="8">
        <v>4224</v>
      </c>
      <c r="Q334" s="11">
        <v>0.0807</v>
      </c>
      <c r="R334" s="11">
        <v>0.2815</v>
      </c>
      <c r="S334" s="8">
        <v>98</v>
      </c>
      <c r="T334" s="11">
        <v>0.1111</v>
      </c>
      <c r="U334" s="11">
        <v>0.2609</v>
      </c>
      <c r="V334" s="11">
        <v>0.2376</v>
      </c>
      <c r="W334" s="11">
        <v>0.296</v>
      </c>
      <c r="X334" s="8">
        <v>0</v>
      </c>
      <c r="Y334" s="8">
        <v>0</v>
      </c>
      <c r="Z334" s="8">
        <v>-0.01</v>
      </c>
      <c r="AA334" s="8">
        <v>0</v>
      </c>
      <c r="AB334" s="8">
        <v>0</v>
      </c>
      <c r="AC334" s="8">
        <v>1.94</v>
      </c>
      <c r="AD334" s="8">
        <v>0</v>
      </c>
      <c r="AE334" s="8">
        <v>0</v>
      </c>
      <c r="AF334" s="11">
        <v>0</v>
      </c>
      <c r="AG334" s="8">
        <v>0</v>
      </c>
      <c r="AH334" s="8">
        <v>0</v>
      </c>
      <c r="AI334" s="11">
        <v>0</v>
      </c>
      <c r="AJ334" s="8" t="s">
        <v>688</v>
      </c>
    </row>
    <row r="335" customFormat="1" ht="22" customHeight="1" spans="1:36">
      <c r="A335" s="8" t="s">
        <v>37</v>
      </c>
      <c r="B335" s="8" t="str">
        <f>VLOOKUP(F335,[1]Sheet1!$B:$E,3,FALSE)</f>
        <v>王森</v>
      </c>
      <c r="C335" s="9" t="str">
        <f>VLOOKUP(F335,[1]Sheet1!$B:$E,4,FALSE)</f>
        <v>A</v>
      </c>
      <c r="D335" s="8" t="s">
        <v>689</v>
      </c>
      <c r="E335" s="8">
        <v>4.6</v>
      </c>
      <c r="F335" s="10">
        <v>27027445</v>
      </c>
      <c r="G335" s="8">
        <v>300</v>
      </c>
      <c r="H335" s="12">
        <v>257.47</v>
      </c>
      <c r="I335" s="8">
        <v>42.41</v>
      </c>
      <c r="J335" s="8">
        <v>28.61</v>
      </c>
      <c r="K335" s="8">
        <v>3740.55</v>
      </c>
      <c r="L335" s="8">
        <v>846</v>
      </c>
      <c r="M335" s="11">
        <v>0.1028</v>
      </c>
      <c r="N335" s="11">
        <v>0.1034</v>
      </c>
      <c r="O335" s="8">
        <v>9</v>
      </c>
      <c r="P335" s="8">
        <v>4550</v>
      </c>
      <c r="Q335" s="11">
        <v>0.0804</v>
      </c>
      <c r="R335" s="11">
        <v>0.2404</v>
      </c>
      <c r="S335" s="8">
        <v>91</v>
      </c>
      <c r="T335" s="11">
        <v>0.1695</v>
      </c>
      <c r="U335" s="11">
        <v>0.3011</v>
      </c>
      <c r="V335" s="11">
        <v>0.1956</v>
      </c>
      <c r="W335" s="11">
        <v>0.2748</v>
      </c>
      <c r="X335" s="8">
        <v>55.88</v>
      </c>
      <c r="Y335" s="8">
        <v>65</v>
      </c>
      <c r="Z335" s="8">
        <v>0.86</v>
      </c>
      <c r="AA335" s="8">
        <v>55.88</v>
      </c>
      <c r="AB335" s="8">
        <v>21.7</v>
      </c>
      <c r="AC335" s="8">
        <v>2.82</v>
      </c>
      <c r="AD335" s="8">
        <v>0</v>
      </c>
      <c r="AE335" s="8">
        <v>0</v>
      </c>
      <c r="AF335" s="11">
        <v>0</v>
      </c>
      <c r="AG335" s="8">
        <v>0</v>
      </c>
      <c r="AH335" s="8">
        <v>0</v>
      </c>
      <c r="AI335" s="11">
        <v>0</v>
      </c>
      <c r="AJ335" s="8" t="s">
        <v>690</v>
      </c>
    </row>
    <row r="336" customFormat="1" ht="22" customHeight="1" spans="1:36">
      <c r="A336" s="8" t="s">
        <v>37</v>
      </c>
      <c r="B336" s="8" t="e">
        <f>VLOOKUP(F336,[1]Sheet1!$B:$E,3,FALSE)</f>
        <v>#N/A</v>
      </c>
      <c r="C336" s="8" t="e">
        <f>VLOOKUP(F336,[1]Sheet1!$B:$E,4,FALSE)</f>
        <v>#N/A</v>
      </c>
      <c r="D336" s="8" t="s">
        <v>691</v>
      </c>
      <c r="E336" s="8">
        <v>4.8</v>
      </c>
      <c r="F336" s="10">
        <v>34002123</v>
      </c>
      <c r="G336" s="8">
        <v>563</v>
      </c>
      <c r="H336" s="12">
        <v>255.26</v>
      </c>
      <c r="I336" s="8">
        <v>37.41</v>
      </c>
      <c r="J336" s="8">
        <v>23.21</v>
      </c>
      <c r="K336" s="8">
        <v>3631.7</v>
      </c>
      <c r="L336" s="8">
        <v>1804</v>
      </c>
      <c r="M336" s="11">
        <v>0.0759</v>
      </c>
      <c r="N336" s="11">
        <v>0.0803</v>
      </c>
      <c r="O336" s="8">
        <v>11</v>
      </c>
      <c r="P336" s="8">
        <v>5731</v>
      </c>
      <c r="Q336" s="11">
        <v>0.0766</v>
      </c>
      <c r="R336" s="11">
        <v>0.3508</v>
      </c>
      <c r="S336" s="8">
        <v>157</v>
      </c>
      <c r="T336" s="11">
        <v>0.2222</v>
      </c>
      <c r="U336" s="11">
        <v>0</v>
      </c>
      <c r="V336" s="11">
        <v>0.231</v>
      </c>
      <c r="W336" s="11">
        <v>0.3246</v>
      </c>
      <c r="X336" s="8">
        <v>80</v>
      </c>
      <c r="Y336" s="8">
        <v>59</v>
      </c>
      <c r="Z336" s="8">
        <v>1.36</v>
      </c>
      <c r="AA336" s="8">
        <v>80</v>
      </c>
      <c r="AB336" s="8">
        <v>31.34</v>
      </c>
      <c r="AC336" s="8">
        <v>3.2</v>
      </c>
      <c r="AD336" s="8">
        <v>1</v>
      </c>
      <c r="AE336" s="8">
        <v>1</v>
      </c>
      <c r="AF336" s="11">
        <v>1</v>
      </c>
      <c r="AG336" s="8">
        <v>0</v>
      </c>
      <c r="AH336" s="8">
        <v>0</v>
      </c>
      <c r="AI336" s="11">
        <v>0</v>
      </c>
      <c r="AJ336" s="8" t="s">
        <v>692</v>
      </c>
    </row>
    <row r="337" customFormat="1" ht="22" customHeight="1" spans="1:36">
      <c r="A337" s="8" t="s">
        <v>37</v>
      </c>
      <c r="B337" s="8" t="e">
        <f>VLOOKUP(F337,[1]Sheet1!$B:$E,3,FALSE)</f>
        <v>#N/A</v>
      </c>
      <c r="C337" s="8" t="e">
        <f>VLOOKUP(F337,[1]Sheet1!$B:$E,4,FALSE)</f>
        <v>#N/A</v>
      </c>
      <c r="D337" s="8" t="s">
        <v>693</v>
      </c>
      <c r="E337" s="8">
        <v>4.7</v>
      </c>
      <c r="F337" s="10">
        <v>33938783</v>
      </c>
      <c r="G337" s="8">
        <v>371</v>
      </c>
      <c r="H337" s="12">
        <v>250.67</v>
      </c>
      <c r="I337" s="8">
        <v>36.57</v>
      </c>
      <c r="J337" s="8">
        <v>20.89</v>
      </c>
      <c r="K337" s="8">
        <v>3375.63</v>
      </c>
      <c r="L337" s="8">
        <v>1481</v>
      </c>
      <c r="M337" s="11">
        <v>0.0682</v>
      </c>
      <c r="N337" s="11">
        <v>0.1188</v>
      </c>
      <c r="O337" s="8">
        <v>12</v>
      </c>
      <c r="P337" s="8">
        <v>3414</v>
      </c>
      <c r="Q337" s="11">
        <v>0.0893</v>
      </c>
      <c r="R337" s="11">
        <v>0.3377</v>
      </c>
      <c r="S337" s="8">
        <v>106</v>
      </c>
      <c r="T337" s="11">
        <v>0.1538</v>
      </c>
      <c r="U337" s="11">
        <v>0</v>
      </c>
      <c r="V337" s="11">
        <v>0.243</v>
      </c>
      <c r="W337" s="11">
        <v>0.294</v>
      </c>
      <c r="X337" s="8">
        <v>16.26</v>
      </c>
      <c r="Y337" s="8">
        <v>38</v>
      </c>
      <c r="Z337" s="8">
        <v>0.43</v>
      </c>
      <c r="AA337" s="8">
        <v>16.26</v>
      </c>
      <c r="AB337" s="8">
        <v>6.49</v>
      </c>
      <c r="AC337" s="8">
        <v>3.99</v>
      </c>
      <c r="AD337" s="8">
        <v>0</v>
      </c>
      <c r="AE337" s="8">
        <v>0</v>
      </c>
      <c r="AF337" s="11">
        <v>0</v>
      </c>
      <c r="AG337" s="8">
        <v>0</v>
      </c>
      <c r="AH337" s="8">
        <v>0</v>
      </c>
      <c r="AI337" s="11">
        <v>0</v>
      </c>
      <c r="AJ337" s="8" t="s">
        <v>694</v>
      </c>
    </row>
    <row r="338" customFormat="1" ht="22" customHeight="1" spans="1:36">
      <c r="A338" s="8" t="s">
        <v>37</v>
      </c>
      <c r="B338" s="8" t="str">
        <f>VLOOKUP(F338,[1]Sheet1!$B:$E,3,FALSE)</f>
        <v>徐从众</v>
      </c>
      <c r="C338" s="9" t="str">
        <f>VLOOKUP(F338,[1]Sheet1!$B:$E,4,FALSE)</f>
        <v>S</v>
      </c>
      <c r="D338" s="8" t="s">
        <v>695</v>
      </c>
      <c r="E338" s="8">
        <v>4.8</v>
      </c>
      <c r="F338" s="10">
        <v>28803088</v>
      </c>
      <c r="G338" s="8">
        <v>165</v>
      </c>
      <c r="H338" s="12">
        <v>249.26</v>
      </c>
      <c r="I338" s="8">
        <v>51.44</v>
      </c>
      <c r="J338" s="8">
        <v>35.61</v>
      </c>
      <c r="K338" s="8">
        <v>7477.42</v>
      </c>
      <c r="L338" s="8">
        <v>500</v>
      </c>
      <c r="M338" s="11">
        <v>0.106</v>
      </c>
      <c r="N338" s="11">
        <v>0.1321</v>
      </c>
      <c r="O338" s="8">
        <v>7</v>
      </c>
      <c r="P338" s="8">
        <v>11511</v>
      </c>
      <c r="Q338" s="11">
        <v>0.0604</v>
      </c>
      <c r="R338" s="11">
        <v>0.2345</v>
      </c>
      <c r="S338" s="8">
        <v>171</v>
      </c>
      <c r="T338" s="11">
        <v>0.1474</v>
      </c>
      <c r="U338" s="11">
        <v>0.3846</v>
      </c>
      <c r="V338" s="11">
        <v>0.2263</v>
      </c>
      <c r="W338" s="11">
        <v>0.3392</v>
      </c>
      <c r="X338" s="8">
        <v>7.46</v>
      </c>
      <c r="Y338" s="8">
        <v>9</v>
      </c>
      <c r="Z338" s="8">
        <v>0.83</v>
      </c>
      <c r="AA338" s="8">
        <v>7.46</v>
      </c>
      <c r="AB338" s="8">
        <v>2.99</v>
      </c>
      <c r="AC338" s="8">
        <v>3.03</v>
      </c>
      <c r="AD338" s="8">
        <v>0</v>
      </c>
      <c r="AE338" s="8">
        <v>0</v>
      </c>
      <c r="AF338" s="11">
        <v>0</v>
      </c>
      <c r="AG338" s="8">
        <v>0</v>
      </c>
      <c r="AH338" s="8">
        <v>0</v>
      </c>
      <c r="AI338" s="11">
        <v>0</v>
      </c>
      <c r="AJ338" s="8" t="s">
        <v>696</v>
      </c>
    </row>
    <row r="339" customFormat="1" ht="22" customHeight="1" spans="1:36">
      <c r="A339" s="8" t="s">
        <v>37</v>
      </c>
      <c r="B339" s="8" t="e">
        <f>VLOOKUP(F339,[1]Sheet1!$B:$E,3,FALSE)</f>
        <v>#N/A</v>
      </c>
      <c r="C339" s="8" t="e">
        <f>VLOOKUP(F339,[1]Sheet1!$B:$E,4,FALSE)</f>
        <v>#N/A</v>
      </c>
      <c r="D339" s="8" t="s">
        <v>697</v>
      </c>
      <c r="E339" s="8">
        <v>4.4</v>
      </c>
      <c r="F339" s="10">
        <v>22855698</v>
      </c>
      <c r="G339" s="8">
        <v>379</v>
      </c>
      <c r="H339" s="12">
        <v>247.79</v>
      </c>
      <c r="I339" s="8">
        <v>37.92</v>
      </c>
      <c r="J339" s="8">
        <v>27.53</v>
      </c>
      <c r="K339" s="8">
        <v>5286.96</v>
      </c>
      <c r="L339" s="8">
        <v>522</v>
      </c>
      <c r="M339" s="11">
        <v>0.0996</v>
      </c>
      <c r="N339" s="11">
        <v>0.1538</v>
      </c>
      <c r="O339" s="8">
        <v>9</v>
      </c>
      <c r="P339" s="8">
        <v>4136</v>
      </c>
      <c r="Q339" s="11">
        <v>0.0907</v>
      </c>
      <c r="R339" s="11">
        <v>0.272</v>
      </c>
      <c r="S339" s="8">
        <v>105</v>
      </c>
      <c r="T339" s="11">
        <v>0.1507</v>
      </c>
      <c r="U339" s="11">
        <v>0.2426</v>
      </c>
      <c r="V339" s="11">
        <v>0.2218</v>
      </c>
      <c r="W339" s="11">
        <v>0.2936</v>
      </c>
      <c r="X339" s="8">
        <v>0</v>
      </c>
      <c r="Y339" s="8">
        <v>0</v>
      </c>
      <c r="Z339" s="8">
        <v>-0.01</v>
      </c>
      <c r="AA339" s="8">
        <v>0</v>
      </c>
      <c r="AB339" s="8">
        <v>0</v>
      </c>
      <c r="AC339" s="8">
        <v>1.38</v>
      </c>
      <c r="AD339" s="8">
        <v>0</v>
      </c>
      <c r="AE339" s="8">
        <v>0</v>
      </c>
      <c r="AF339" s="11">
        <v>0</v>
      </c>
      <c r="AG339" s="8">
        <v>0</v>
      </c>
      <c r="AH339" s="8">
        <v>0</v>
      </c>
      <c r="AI339" s="11">
        <v>0</v>
      </c>
      <c r="AJ339" s="8" t="s">
        <v>599</v>
      </c>
    </row>
    <row r="340" customFormat="1" ht="22" customHeight="1" spans="1:36">
      <c r="A340" s="8" t="s">
        <v>37</v>
      </c>
      <c r="B340" s="8" t="e">
        <f>VLOOKUP(F340,[1]Sheet1!$B:$E,3,FALSE)</f>
        <v>#N/A</v>
      </c>
      <c r="C340" s="8" t="e">
        <f>VLOOKUP(F340,[1]Sheet1!$B:$E,4,FALSE)</f>
        <v>#N/A</v>
      </c>
      <c r="D340" s="8" t="s">
        <v>698</v>
      </c>
      <c r="E340" s="8">
        <v>4.4</v>
      </c>
      <c r="F340" s="10">
        <v>32502526</v>
      </c>
      <c r="G340" s="8">
        <v>52</v>
      </c>
      <c r="H340" s="12">
        <v>247.43</v>
      </c>
      <c r="I340" s="8">
        <v>77.7</v>
      </c>
      <c r="J340" s="8">
        <v>61.86</v>
      </c>
      <c r="K340" s="8">
        <v>2933.83</v>
      </c>
      <c r="L340" s="8">
        <v>139</v>
      </c>
      <c r="M340" s="11">
        <v>0.0935</v>
      </c>
      <c r="N340" s="11">
        <v>0.3077</v>
      </c>
      <c r="O340" s="8">
        <v>4</v>
      </c>
      <c r="P340" s="8">
        <v>4991</v>
      </c>
      <c r="Q340" s="11">
        <v>0.0757</v>
      </c>
      <c r="R340" s="11">
        <v>0.2434</v>
      </c>
      <c r="S340" s="8">
        <v>95</v>
      </c>
      <c r="T340" s="11">
        <v>0.1053</v>
      </c>
      <c r="U340" s="11">
        <v>0.2857</v>
      </c>
      <c r="V340" s="11">
        <v>0.2058</v>
      </c>
      <c r="W340" s="11">
        <v>0.3043</v>
      </c>
      <c r="X340" s="8">
        <v>0</v>
      </c>
      <c r="Y340" s="8">
        <v>0</v>
      </c>
      <c r="Z340" s="8">
        <v>-0.01</v>
      </c>
      <c r="AA340" s="8">
        <v>0</v>
      </c>
      <c r="AB340" s="8">
        <v>0</v>
      </c>
      <c r="AC340" s="8">
        <v>2.67</v>
      </c>
      <c r="AD340" s="8">
        <v>0</v>
      </c>
      <c r="AE340" s="8">
        <v>0</v>
      </c>
      <c r="AF340" s="11">
        <v>0</v>
      </c>
      <c r="AG340" s="8">
        <v>0</v>
      </c>
      <c r="AH340" s="8">
        <v>0</v>
      </c>
      <c r="AI340" s="11">
        <v>0</v>
      </c>
      <c r="AJ340" s="8" t="s">
        <v>699</v>
      </c>
    </row>
    <row r="341" customFormat="1" ht="22" customHeight="1" spans="1:36">
      <c r="A341" s="8" t="s">
        <v>37</v>
      </c>
      <c r="B341" s="8" t="e">
        <f>VLOOKUP(F341,[1]Sheet1!$B:$E,3,FALSE)</f>
        <v>#N/A</v>
      </c>
      <c r="C341" s="8" t="e">
        <f>VLOOKUP(F341,[1]Sheet1!$B:$E,4,FALSE)</f>
        <v>#N/A</v>
      </c>
      <c r="D341" s="8" t="s">
        <v>700</v>
      </c>
      <c r="E341" s="8">
        <v>4.8</v>
      </c>
      <c r="F341" s="10">
        <v>34037357</v>
      </c>
      <c r="G341" s="8">
        <v>394</v>
      </c>
      <c r="H341" s="12">
        <v>247.23</v>
      </c>
      <c r="I341" s="8">
        <v>28.52</v>
      </c>
      <c r="J341" s="8">
        <v>20.6</v>
      </c>
      <c r="K341" s="8">
        <v>2465.05</v>
      </c>
      <c r="L341" s="8">
        <v>1025</v>
      </c>
      <c r="M341" s="11">
        <v>0.078</v>
      </c>
      <c r="N341" s="11">
        <v>0.15</v>
      </c>
      <c r="O341" s="8">
        <v>12</v>
      </c>
      <c r="P341" s="8">
        <v>2764</v>
      </c>
      <c r="Q341" s="11">
        <v>0.0839</v>
      </c>
      <c r="R341" s="11">
        <v>0.3362</v>
      </c>
      <c r="S341" s="8">
        <v>80</v>
      </c>
      <c r="T341" s="11">
        <v>0.1608</v>
      </c>
      <c r="U341" s="11">
        <v>0</v>
      </c>
      <c r="V341" s="11">
        <v>0.2196</v>
      </c>
      <c r="W341" s="11">
        <v>0.2894</v>
      </c>
      <c r="X341" s="8">
        <v>0</v>
      </c>
      <c r="Y341" s="8">
        <v>0</v>
      </c>
      <c r="Z341" s="8">
        <v>-0.01</v>
      </c>
      <c r="AA341" s="8">
        <v>0</v>
      </c>
      <c r="AB341" s="8">
        <v>0</v>
      </c>
      <c r="AC341" s="8">
        <v>2.6</v>
      </c>
      <c r="AD341" s="8">
        <v>2</v>
      </c>
      <c r="AE341" s="8">
        <v>2</v>
      </c>
      <c r="AF341" s="11">
        <v>1</v>
      </c>
      <c r="AG341" s="8">
        <v>0</v>
      </c>
      <c r="AH341" s="8">
        <v>0</v>
      </c>
      <c r="AI341" s="11">
        <v>0</v>
      </c>
      <c r="AJ341" s="8" t="s">
        <v>701</v>
      </c>
    </row>
    <row r="342" customFormat="1" ht="22" customHeight="1" spans="1:36">
      <c r="A342" s="8" t="s">
        <v>37</v>
      </c>
      <c r="B342" s="8" t="str">
        <f>VLOOKUP(F342,[1]Sheet1!$B:$E,3,FALSE)</f>
        <v>王森</v>
      </c>
      <c r="C342" s="9" t="str">
        <f>VLOOKUP(F342,[1]Sheet1!$B:$E,4,FALSE)</f>
        <v>S</v>
      </c>
      <c r="D342" s="8" t="s">
        <v>702</v>
      </c>
      <c r="E342" s="8">
        <v>4.7</v>
      </c>
      <c r="F342" s="10">
        <v>27083266</v>
      </c>
      <c r="G342" s="8">
        <v>461</v>
      </c>
      <c r="H342" s="12">
        <v>247</v>
      </c>
      <c r="I342" s="8">
        <v>35.42</v>
      </c>
      <c r="J342" s="8">
        <v>24.7</v>
      </c>
      <c r="K342" s="8">
        <v>4021.47</v>
      </c>
      <c r="L342" s="8">
        <v>686</v>
      </c>
      <c r="M342" s="11">
        <v>0.1006</v>
      </c>
      <c r="N342" s="11">
        <v>0.1449</v>
      </c>
      <c r="O342" s="8">
        <v>10</v>
      </c>
      <c r="P342" s="8">
        <v>5082</v>
      </c>
      <c r="Q342" s="11">
        <v>0.0801</v>
      </c>
      <c r="R342" s="11">
        <v>0.3661</v>
      </c>
      <c r="S342" s="8">
        <v>152</v>
      </c>
      <c r="T342" s="11">
        <v>0.1364</v>
      </c>
      <c r="U342" s="11">
        <v>0.309</v>
      </c>
      <c r="V342" s="11">
        <v>0.2209</v>
      </c>
      <c r="W342" s="11">
        <v>0.3186</v>
      </c>
      <c r="X342" s="8">
        <v>36.72</v>
      </c>
      <c r="Y342" s="8">
        <v>44</v>
      </c>
      <c r="Z342" s="8">
        <v>0.83</v>
      </c>
      <c r="AA342" s="8">
        <v>36.72</v>
      </c>
      <c r="AB342" s="8">
        <v>14.87</v>
      </c>
      <c r="AC342" s="8">
        <v>1.49</v>
      </c>
      <c r="AD342" s="8">
        <v>0</v>
      </c>
      <c r="AE342" s="8">
        <v>0</v>
      </c>
      <c r="AF342" s="11">
        <v>0</v>
      </c>
      <c r="AG342" s="8">
        <v>0</v>
      </c>
      <c r="AH342" s="8">
        <v>0</v>
      </c>
      <c r="AI342" s="11">
        <v>0</v>
      </c>
      <c r="AJ342" s="8" t="s">
        <v>703</v>
      </c>
    </row>
    <row r="343" customFormat="1" ht="22" customHeight="1" spans="1:36">
      <c r="A343" s="8" t="s">
        <v>37</v>
      </c>
      <c r="B343" s="8" t="str">
        <f>VLOOKUP(F343,[1]Sheet1!$B:$E,3,FALSE)</f>
        <v>岳贝贝</v>
      </c>
      <c r="C343" s="8" t="str">
        <f>VLOOKUP(F343,[1]Sheet1!$B:$E,4,FALSE)</f>
        <v>B</v>
      </c>
      <c r="D343" s="8" t="s">
        <v>704</v>
      </c>
      <c r="E343" s="8">
        <v>4.5</v>
      </c>
      <c r="F343" s="10">
        <v>32768476</v>
      </c>
      <c r="G343" s="8">
        <v>333</v>
      </c>
      <c r="H343" s="12">
        <v>245.8</v>
      </c>
      <c r="I343" s="8">
        <v>22.34</v>
      </c>
      <c r="J343" s="8">
        <v>17.56</v>
      </c>
      <c r="K343" s="8">
        <v>3607.57</v>
      </c>
      <c r="L343" s="8">
        <v>1070</v>
      </c>
      <c r="M343" s="11">
        <v>0.0738</v>
      </c>
      <c r="N343" s="11">
        <v>0.1899</v>
      </c>
      <c r="O343" s="8">
        <v>14</v>
      </c>
      <c r="P343" s="8">
        <v>5297</v>
      </c>
      <c r="Q343" s="11">
        <v>0.0944</v>
      </c>
      <c r="R343" s="11">
        <v>0.258</v>
      </c>
      <c r="S343" s="8">
        <v>133</v>
      </c>
      <c r="T343" s="11">
        <v>0.0468</v>
      </c>
      <c r="U343" s="11">
        <v>0.209</v>
      </c>
      <c r="V343" s="11">
        <v>0.2327</v>
      </c>
      <c r="W343" s="11">
        <v>0.3173</v>
      </c>
      <c r="X343" s="8">
        <v>0</v>
      </c>
      <c r="Y343" s="8">
        <v>0</v>
      </c>
      <c r="Z343" s="8">
        <v>-0.01</v>
      </c>
      <c r="AA343" s="8">
        <v>0</v>
      </c>
      <c r="AB343" s="8">
        <v>0</v>
      </c>
      <c r="AC343" s="8">
        <v>3.21</v>
      </c>
      <c r="AD343" s="8">
        <v>0</v>
      </c>
      <c r="AE343" s="8">
        <v>0</v>
      </c>
      <c r="AF343" s="11">
        <v>0</v>
      </c>
      <c r="AG343" s="8">
        <v>0</v>
      </c>
      <c r="AH343" s="8">
        <v>0</v>
      </c>
      <c r="AI343" s="11">
        <v>0</v>
      </c>
      <c r="AJ343" s="8" t="s">
        <v>705</v>
      </c>
    </row>
    <row r="344" customFormat="1" ht="22" customHeight="1" spans="1:36">
      <c r="A344" s="8" t="s">
        <v>37</v>
      </c>
      <c r="B344" s="8" t="str">
        <f>VLOOKUP(F344,[1]Sheet1!$B:$E,3,FALSE)</f>
        <v>岳贝贝</v>
      </c>
      <c r="C344" s="8" t="str">
        <f>VLOOKUP(F344,[1]Sheet1!$B:$E,4,FALSE)</f>
        <v>B</v>
      </c>
      <c r="D344" s="8" t="s">
        <v>706</v>
      </c>
      <c r="E344" s="8">
        <v>4.6</v>
      </c>
      <c r="F344" s="10">
        <v>33248244</v>
      </c>
      <c r="G344" s="8">
        <v>367</v>
      </c>
      <c r="H344" s="12">
        <v>223.98</v>
      </c>
      <c r="I344" s="8">
        <v>30.77</v>
      </c>
      <c r="J344" s="8">
        <v>22.4</v>
      </c>
      <c r="K344" s="8">
        <v>3115.8</v>
      </c>
      <c r="L344" s="8">
        <v>721</v>
      </c>
      <c r="M344" s="11">
        <v>0.0832</v>
      </c>
      <c r="N344" s="11">
        <v>0.1667</v>
      </c>
      <c r="O344" s="8">
        <v>10</v>
      </c>
      <c r="P344" s="8">
        <v>4329</v>
      </c>
      <c r="Q344" s="11">
        <v>0.0912</v>
      </c>
      <c r="R344" s="11">
        <v>0.2861</v>
      </c>
      <c r="S344" s="8">
        <v>116</v>
      </c>
      <c r="T344" s="11">
        <v>0.1152</v>
      </c>
      <c r="U344" s="11">
        <v>0.2833</v>
      </c>
      <c r="V344" s="11">
        <v>0.2325</v>
      </c>
      <c r="W344" s="11">
        <v>0.3003</v>
      </c>
      <c r="X344" s="8">
        <v>0</v>
      </c>
      <c r="Y344" s="8">
        <v>0</v>
      </c>
      <c r="Z344" s="8">
        <v>-0.01</v>
      </c>
      <c r="AA344" s="8">
        <v>0</v>
      </c>
      <c r="AB344" s="8">
        <v>0</v>
      </c>
      <c r="AC344" s="8">
        <v>1.96</v>
      </c>
      <c r="AD344" s="8">
        <v>0</v>
      </c>
      <c r="AE344" s="8">
        <v>0</v>
      </c>
      <c r="AF344" s="11">
        <v>0</v>
      </c>
      <c r="AG344" s="8">
        <v>0</v>
      </c>
      <c r="AH344" s="8">
        <v>0</v>
      </c>
      <c r="AI344" s="11">
        <v>0</v>
      </c>
      <c r="AJ344" s="8" t="s">
        <v>707</v>
      </c>
    </row>
    <row r="345" customFormat="1" ht="22" customHeight="1" spans="1:36">
      <c r="A345" s="8" t="s">
        <v>37</v>
      </c>
      <c r="B345" s="8" t="e">
        <f>VLOOKUP(F345,[1]Sheet1!$B:$E,3,FALSE)</f>
        <v>#N/A</v>
      </c>
      <c r="C345" s="8" t="e">
        <f>VLOOKUP(F345,[1]Sheet1!$B:$E,4,FALSE)</f>
        <v>#N/A</v>
      </c>
      <c r="D345" s="8" t="s">
        <v>708</v>
      </c>
      <c r="E345" s="8">
        <v>4.9</v>
      </c>
      <c r="F345" s="10">
        <v>27683714</v>
      </c>
      <c r="G345" s="8">
        <v>587</v>
      </c>
      <c r="H345" s="12">
        <v>220.4</v>
      </c>
      <c r="I345" s="8">
        <v>19.86</v>
      </c>
      <c r="J345" s="8">
        <v>10.02</v>
      </c>
      <c r="K345" s="8">
        <v>3459.66</v>
      </c>
      <c r="L345" s="8">
        <v>504</v>
      </c>
      <c r="M345" s="11">
        <v>0.1032</v>
      </c>
      <c r="N345" s="11">
        <v>0.4231</v>
      </c>
      <c r="O345" s="8">
        <v>22</v>
      </c>
      <c r="P345" s="8">
        <v>3734</v>
      </c>
      <c r="Q345" s="11">
        <v>0.0833</v>
      </c>
      <c r="R345" s="11">
        <v>0.1672</v>
      </c>
      <c r="S345" s="8">
        <v>54</v>
      </c>
      <c r="T345" s="11">
        <v>0.2016</v>
      </c>
      <c r="U345" s="11">
        <v>0.6</v>
      </c>
      <c r="V345" s="11">
        <v>0.2018</v>
      </c>
      <c r="W345" s="11">
        <v>0.2875</v>
      </c>
      <c r="X345" s="8">
        <v>0</v>
      </c>
      <c r="Y345" s="8">
        <v>0</v>
      </c>
      <c r="Z345" s="8">
        <v>-0.01</v>
      </c>
      <c r="AA345" s="8">
        <v>0</v>
      </c>
      <c r="AB345" s="8">
        <v>0</v>
      </c>
      <c r="AC345" s="8">
        <v>0.86</v>
      </c>
      <c r="AD345" s="8">
        <v>0</v>
      </c>
      <c r="AE345" s="8">
        <v>0</v>
      </c>
      <c r="AF345" s="11">
        <v>0</v>
      </c>
      <c r="AG345" s="8">
        <v>0</v>
      </c>
      <c r="AH345" s="8">
        <v>0</v>
      </c>
      <c r="AI345" s="11">
        <v>0</v>
      </c>
      <c r="AJ345" s="8" t="s">
        <v>709</v>
      </c>
    </row>
    <row r="346" customFormat="1" ht="22" customHeight="1" spans="1:36">
      <c r="A346" s="8" t="s">
        <v>37</v>
      </c>
      <c r="B346" s="8" t="e">
        <f>VLOOKUP(F346,[1]Sheet1!$B:$E,3,FALSE)</f>
        <v>#N/A</v>
      </c>
      <c r="C346" s="8" t="e">
        <f>VLOOKUP(F346,[1]Sheet1!$B:$E,4,FALSE)</f>
        <v>#N/A</v>
      </c>
      <c r="D346" s="8" t="s">
        <v>710</v>
      </c>
      <c r="E346" s="8">
        <v>4.6</v>
      </c>
      <c r="F346" s="10">
        <v>32461203</v>
      </c>
      <c r="G346" s="8">
        <v>213</v>
      </c>
      <c r="H346" s="12">
        <v>217.53</v>
      </c>
      <c r="I346" s="8">
        <v>59.6</v>
      </c>
      <c r="J346" s="8">
        <v>43.51</v>
      </c>
      <c r="K346" s="8">
        <v>4942.8</v>
      </c>
      <c r="L346" s="8">
        <v>407</v>
      </c>
      <c r="M346" s="11">
        <v>0.1106</v>
      </c>
      <c r="N346" s="11">
        <v>0.1111</v>
      </c>
      <c r="O346" s="8">
        <v>5</v>
      </c>
      <c r="P346" s="8">
        <v>3865</v>
      </c>
      <c r="Q346" s="11">
        <v>0.0812</v>
      </c>
      <c r="R346" s="11">
        <v>0.2484</v>
      </c>
      <c r="S346" s="8">
        <v>81</v>
      </c>
      <c r="T346" s="11">
        <v>0.1308</v>
      </c>
      <c r="U346" s="11">
        <v>0.2766</v>
      </c>
      <c r="V346" s="11">
        <v>0.212</v>
      </c>
      <c r="W346" s="11">
        <v>0.2718</v>
      </c>
      <c r="X346" s="8">
        <v>0</v>
      </c>
      <c r="Y346" s="8">
        <v>0</v>
      </c>
      <c r="Z346" s="8">
        <v>-0.01</v>
      </c>
      <c r="AA346" s="8">
        <v>0</v>
      </c>
      <c r="AB346" s="8">
        <v>0</v>
      </c>
      <c r="AC346" s="8">
        <v>1.91</v>
      </c>
      <c r="AD346" s="8">
        <v>0</v>
      </c>
      <c r="AE346" s="8">
        <v>0</v>
      </c>
      <c r="AF346" s="11">
        <v>0</v>
      </c>
      <c r="AG346" s="8">
        <v>0</v>
      </c>
      <c r="AH346" s="8">
        <v>0</v>
      </c>
      <c r="AI346" s="11">
        <v>0</v>
      </c>
      <c r="AJ346" s="8" t="s">
        <v>711</v>
      </c>
    </row>
    <row r="347" customFormat="1" ht="22" customHeight="1" spans="1:36">
      <c r="A347" s="8" t="s">
        <v>37</v>
      </c>
      <c r="B347" s="8" t="str">
        <f>VLOOKUP(F347,[1]Sheet1!$B:$E,3,FALSE)</f>
        <v>刘欢</v>
      </c>
      <c r="C347" s="9" t="str">
        <f>VLOOKUP(F347,[1]Sheet1!$B:$E,4,FALSE)</f>
        <v>A</v>
      </c>
      <c r="D347" s="8" t="s">
        <v>712</v>
      </c>
      <c r="E347" s="8">
        <v>4.6</v>
      </c>
      <c r="F347" s="10">
        <v>32404202</v>
      </c>
      <c r="G347" s="8">
        <v>150</v>
      </c>
      <c r="H347" s="12">
        <v>215.15</v>
      </c>
      <c r="I347" s="8">
        <v>44.02</v>
      </c>
      <c r="J347" s="8">
        <v>35.86</v>
      </c>
      <c r="K347" s="8">
        <v>1876.72</v>
      </c>
      <c r="L347" s="8">
        <v>555</v>
      </c>
      <c r="M347" s="11">
        <v>0.0937</v>
      </c>
      <c r="N347" s="11">
        <v>0.0962</v>
      </c>
      <c r="O347" s="8">
        <v>6</v>
      </c>
      <c r="P347" s="8">
        <v>4648</v>
      </c>
      <c r="Q347" s="11">
        <v>0.0826</v>
      </c>
      <c r="R347" s="11">
        <v>0.1771</v>
      </c>
      <c r="S347" s="8">
        <v>72</v>
      </c>
      <c r="T347" s="11">
        <v>0.1062</v>
      </c>
      <c r="U347" s="11">
        <v>0.2727</v>
      </c>
      <c r="V347" s="11">
        <v>0.1459</v>
      </c>
      <c r="W347" s="11">
        <v>0.233</v>
      </c>
      <c r="X347" s="8">
        <v>0</v>
      </c>
      <c r="Y347" s="8">
        <v>0</v>
      </c>
      <c r="Z347" s="8">
        <v>-0.01</v>
      </c>
      <c r="AA347" s="8">
        <v>0</v>
      </c>
      <c r="AB347" s="8">
        <v>0</v>
      </c>
      <c r="AC347" s="8">
        <v>3.7</v>
      </c>
      <c r="AD347" s="8">
        <v>0</v>
      </c>
      <c r="AE347" s="8">
        <v>0</v>
      </c>
      <c r="AF347" s="11">
        <v>0</v>
      </c>
      <c r="AG347" s="8">
        <v>0</v>
      </c>
      <c r="AH347" s="8">
        <v>0</v>
      </c>
      <c r="AI347" s="11">
        <v>0</v>
      </c>
      <c r="AJ347" s="8" t="s">
        <v>713</v>
      </c>
    </row>
    <row r="348" customFormat="1" ht="22" customHeight="1" spans="1:36">
      <c r="A348" s="8" t="s">
        <v>37</v>
      </c>
      <c r="B348" s="8" t="str">
        <f>VLOOKUP(F348,[1]Sheet1!$B:$E,3,FALSE)</f>
        <v>王森</v>
      </c>
      <c r="C348" s="9" t="str">
        <f>VLOOKUP(F348,[1]Sheet1!$B:$E,4,FALSE)</f>
        <v>A</v>
      </c>
      <c r="D348" s="8" t="s">
        <v>714</v>
      </c>
      <c r="E348" s="8">
        <v>4.6</v>
      </c>
      <c r="F348" s="10">
        <v>32452639</v>
      </c>
      <c r="G348" s="8">
        <v>217</v>
      </c>
      <c r="H348" s="12">
        <v>212.75</v>
      </c>
      <c r="I348" s="8">
        <v>27.73</v>
      </c>
      <c r="J348" s="8">
        <v>19.34</v>
      </c>
      <c r="K348" s="8">
        <v>3263.2</v>
      </c>
      <c r="L348" s="8">
        <v>628</v>
      </c>
      <c r="M348" s="11">
        <v>0.0987</v>
      </c>
      <c r="N348" s="11">
        <v>0.1774</v>
      </c>
      <c r="O348" s="8">
        <v>11</v>
      </c>
      <c r="P348" s="8">
        <v>3313</v>
      </c>
      <c r="Q348" s="11">
        <v>0.1017</v>
      </c>
      <c r="R348" s="11">
        <v>0.2047</v>
      </c>
      <c r="S348" s="8">
        <v>74</v>
      </c>
      <c r="T348" s="11">
        <v>0.1379</v>
      </c>
      <c r="U348" s="11">
        <v>0.2545</v>
      </c>
      <c r="V348" s="11">
        <v>0.2015</v>
      </c>
      <c r="W348" s="11">
        <v>0.2577</v>
      </c>
      <c r="X348" s="8">
        <v>0</v>
      </c>
      <c r="Y348" s="8">
        <v>0</v>
      </c>
      <c r="Z348" s="8">
        <v>-0.01</v>
      </c>
      <c r="AA348" s="8">
        <v>0</v>
      </c>
      <c r="AB348" s="8">
        <v>0</v>
      </c>
      <c r="AC348" s="8">
        <v>2.89</v>
      </c>
      <c r="AD348" s="8">
        <v>0</v>
      </c>
      <c r="AE348" s="8">
        <v>0</v>
      </c>
      <c r="AF348" s="11">
        <v>0</v>
      </c>
      <c r="AG348" s="8">
        <v>0</v>
      </c>
      <c r="AH348" s="8">
        <v>0</v>
      </c>
      <c r="AI348" s="11">
        <v>0</v>
      </c>
      <c r="AJ348" s="8" t="s">
        <v>715</v>
      </c>
    </row>
    <row r="349" customFormat="1" ht="22" customHeight="1" spans="1:36">
      <c r="A349" s="8" t="s">
        <v>37</v>
      </c>
      <c r="B349" s="8" t="str">
        <f>VLOOKUP(F349,[1]Sheet1!$B:$E,3,FALSE)</f>
        <v>徐从众</v>
      </c>
      <c r="C349" s="9" t="str">
        <f>VLOOKUP(F349,[1]Sheet1!$B:$E,4,FALSE)</f>
        <v>S</v>
      </c>
      <c r="D349" s="8" t="s">
        <v>716</v>
      </c>
      <c r="E349" s="8">
        <v>4.6</v>
      </c>
      <c r="F349" s="10">
        <v>29258629</v>
      </c>
      <c r="G349" s="8">
        <v>158</v>
      </c>
      <c r="H349" s="12">
        <v>211.79</v>
      </c>
      <c r="I349" s="8">
        <v>44.31</v>
      </c>
      <c r="J349" s="8">
        <v>26.47</v>
      </c>
      <c r="K349" s="8">
        <v>4178.67</v>
      </c>
      <c r="L349" s="8">
        <v>226</v>
      </c>
      <c r="M349" s="11">
        <v>0.0619</v>
      </c>
      <c r="N349" s="11">
        <v>0.5714</v>
      </c>
      <c r="O349" s="8">
        <v>8</v>
      </c>
      <c r="P349" s="8">
        <v>7629</v>
      </c>
      <c r="Q349" s="11">
        <v>0.0629</v>
      </c>
      <c r="R349" s="11">
        <v>0.3146</v>
      </c>
      <c r="S349" s="8">
        <v>154</v>
      </c>
      <c r="T349" s="11">
        <v>0.1262</v>
      </c>
      <c r="U349" s="11">
        <v>0.125</v>
      </c>
      <c r="V349" s="11">
        <v>0.2215</v>
      </c>
      <c r="W349" s="11">
        <v>0.3137</v>
      </c>
      <c r="X349" s="8">
        <v>0</v>
      </c>
      <c r="Y349" s="8">
        <v>0</v>
      </c>
      <c r="Z349" s="8">
        <v>-0.01</v>
      </c>
      <c r="AA349" s="8">
        <v>0</v>
      </c>
      <c r="AB349" s="8">
        <v>0</v>
      </c>
      <c r="AC349" s="8">
        <v>1.43</v>
      </c>
      <c r="AD349" s="8">
        <v>0</v>
      </c>
      <c r="AE349" s="8">
        <v>0</v>
      </c>
      <c r="AF349" s="11">
        <v>0</v>
      </c>
      <c r="AG349" s="8">
        <v>0</v>
      </c>
      <c r="AH349" s="8">
        <v>0</v>
      </c>
      <c r="AI349" s="11">
        <v>0</v>
      </c>
      <c r="AJ349" s="8" t="s">
        <v>717</v>
      </c>
    </row>
    <row r="350" customFormat="1" ht="22" customHeight="1" spans="1:36">
      <c r="A350" s="8" t="s">
        <v>37</v>
      </c>
      <c r="B350" s="8" t="e">
        <f>VLOOKUP(F350,[1]Sheet1!$B:$E,3,FALSE)</f>
        <v>#N/A</v>
      </c>
      <c r="C350" s="8" t="e">
        <f>VLOOKUP(F350,[1]Sheet1!$B:$E,4,FALSE)</f>
        <v>#N/A</v>
      </c>
      <c r="D350" s="8" t="s">
        <v>718</v>
      </c>
      <c r="E350" s="8">
        <v>4.6</v>
      </c>
      <c r="F350" s="10">
        <v>29850102</v>
      </c>
      <c r="G350" s="8">
        <v>685</v>
      </c>
      <c r="H350" s="12">
        <v>209.05</v>
      </c>
      <c r="I350" s="8">
        <v>16.52</v>
      </c>
      <c r="J350" s="8">
        <v>9.5</v>
      </c>
      <c r="K350" s="8">
        <v>1495.71</v>
      </c>
      <c r="L350" s="8">
        <v>1294</v>
      </c>
      <c r="M350" s="11">
        <v>0.0587</v>
      </c>
      <c r="N350" s="11">
        <v>0.2632</v>
      </c>
      <c r="O350" s="8">
        <v>22</v>
      </c>
      <c r="P350" s="8">
        <v>2363</v>
      </c>
      <c r="Q350" s="11">
        <v>0.0846</v>
      </c>
      <c r="R350" s="11">
        <v>0.305</v>
      </c>
      <c r="S350" s="8">
        <v>64</v>
      </c>
      <c r="T350" s="11">
        <v>0.1125</v>
      </c>
      <c r="U350" s="11">
        <v>0.2643</v>
      </c>
      <c r="V350" s="11">
        <v>0.2484</v>
      </c>
      <c r="W350" s="11">
        <v>0.329</v>
      </c>
      <c r="X350" s="8">
        <v>45.36</v>
      </c>
      <c r="Y350" s="8">
        <v>57</v>
      </c>
      <c r="Z350" s="8">
        <v>0.8</v>
      </c>
      <c r="AA350" s="8">
        <v>45.36</v>
      </c>
      <c r="AB350" s="8">
        <v>21.7</v>
      </c>
      <c r="AC350" s="8">
        <v>1.89</v>
      </c>
      <c r="AD350" s="8">
        <v>0</v>
      </c>
      <c r="AE350" s="8">
        <v>0</v>
      </c>
      <c r="AF350" s="11">
        <v>0</v>
      </c>
      <c r="AG350" s="8">
        <v>0</v>
      </c>
      <c r="AH350" s="8">
        <v>0</v>
      </c>
      <c r="AI350" s="11">
        <v>0</v>
      </c>
      <c r="AJ350" s="8" t="s">
        <v>719</v>
      </c>
    </row>
    <row r="351" customFormat="1" ht="22" customHeight="1" spans="1:36">
      <c r="A351" s="8" t="s">
        <v>37</v>
      </c>
      <c r="B351" s="8" t="str">
        <f>VLOOKUP(F351,[1]Sheet1!$B:$E,3,FALSE)</f>
        <v>王森</v>
      </c>
      <c r="C351" s="8" t="str">
        <f>VLOOKUP(F351,[1]Sheet1!$B:$E,4,FALSE)</f>
        <v>B</v>
      </c>
      <c r="D351" s="8" t="s">
        <v>720</v>
      </c>
      <c r="E351" s="8">
        <v>4.9</v>
      </c>
      <c r="F351" s="10">
        <v>21454048</v>
      </c>
      <c r="G351" s="8">
        <v>201</v>
      </c>
      <c r="H351" s="12">
        <v>205.01</v>
      </c>
      <c r="I351" s="8">
        <v>62.98</v>
      </c>
      <c r="J351" s="8">
        <v>41</v>
      </c>
      <c r="K351" s="8">
        <v>4172.26</v>
      </c>
      <c r="L351" s="8">
        <v>446</v>
      </c>
      <c r="M351" s="11">
        <v>0.1054</v>
      </c>
      <c r="N351" s="11">
        <v>0.1064</v>
      </c>
      <c r="O351" s="8">
        <v>5</v>
      </c>
      <c r="P351" s="8">
        <v>3656</v>
      </c>
      <c r="Q351" s="11">
        <v>0.0892</v>
      </c>
      <c r="R351" s="11">
        <v>0.3252</v>
      </c>
      <c r="S351" s="8">
        <v>110</v>
      </c>
      <c r="T351" s="11">
        <v>0.2738</v>
      </c>
      <c r="U351" s="11">
        <v>0.2708</v>
      </c>
      <c r="V351" s="11">
        <v>0.1984</v>
      </c>
      <c r="W351" s="11">
        <v>0.283</v>
      </c>
      <c r="X351" s="8">
        <v>0</v>
      </c>
      <c r="Y351" s="8">
        <v>0</v>
      </c>
      <c r="Z351" s="8">
        <v>-0.01</v>
      </c>
      <c r="AA351" s="8">
        <v>0</v>
      </c>
      <c r="AB351" s="8">
        <v>0</v>
      </c>
      <c r="AC351" s="8">
        <v>2.22</v>
      </c>
      <c r="AD351" s="8">
        <v>0</v>
      </c>
      <c r="AE351" s="8">
        <v>0</v>
      </c>
      <c r="AF351" s="11">
        <v>0</v>
      </c>
      <c r="AG351" s="8">
        <v>0</v>
      </c>
      <c r="AH351" s="8">
        <v>0</v>
      </c>
      <c r="AI351" s="11">
        <v>0</v>
      </c>
      <c r="AJ351" s="8" t="s">
        <v>696</v>
      </c>
    </row>
    <row r="352" customFormat="1" ht="22" customHeight="1" spans="1:36">
      <c r="A352" s="8" t="s">
        <v>37</v>
      </c>
      <c r="B352" s="8" t="str">
        <f>VLOOKUP(F352,[1]Sheet1!$B:$E,3,FALSE)</f>
        <v>王森</v>
      </c>
      <c r="C352" s="8">
        <f>VLOOKUP(F352,[1]Sheet1!$B:$E,4,FALSE)</f>
        <v>0</v>
      </c>
      <c r="D352" s="8" t="s">
        <v>721</v>
      </c>
      <c r="E352" s="8">
        <v>4.6</v>
      </c>
      <c r="F352" s="10">
        <v>33607874</v>
      </c>
      <c r="G352" s="8">
        <v>210</v>
      </c>
      <c r="H352" s="12">
        <v>204.7</v>
      </c>
      <c r="I352" s="8">
        <v>72.88</v>
      </c>
      <c r="J352" s="8">
        <v>51.18</v>
      </c>
      <c r="K352" s="8">
        <v>2724.19</v>
      </c>
      <c r="L352" s="8">
        <v>289</v>
      </c>
      <c r="M352" s="11">
        <v>0.0969</v>
      </c>
      <c r="N352" s="11">
        <v>0.1429</v>
      </c>
      <c r="O352" s="8">
        <v>4</v>
      </c>
      <c r="P352" s="8">
        <v>2337</v>
      </c>
      <c r="Q352" s="11">
        <v>0.0988</v>
      </c>
      <c r="R352" s="11">
        <v>0.3377</v>
      </c>
      <c r="S352" s="8">
        <v>80</v>
      </c>
      <c r="T352" s="11">
        <v>0.137</v>
      </c>
      <c r="U352" s="11">
        <v>0.2143</v>
      </c>
      <c r="V352" s="11">
        <v>0.2364</v>
      </c>
      <c r="W352" s="11">
        <v>0.3243</v>
      </c>
      <c r="X352" s="8">
        <v>0</v>
      </c>
      <c r="Y352" s="8">
        <v>0</v>
      </c>
      <c r="Z352" s="8">
        <v>-0.01</v>
      </c>
      <c r="AA352" s="8">
        <v>0</v>
      </c>
      <c r="AB352" s="8">
        <v>0</v>
      </c>
      <c r="AC352" s="8">
        <v>1.38</v>
      </c>
      <c r="AD352" s="8">
        <v>0</v>
      </c>
      <c r="AE352" s="8">
        <v>0</v>
      </c>
      <c r="AF352" s="11">
        <v>0</v>
      </c>
      <c r="AG352" s="8">
        <v>0</v>
      </c>
      <c r="AH352" s="8">
        <v>0</v>
      </c>
      <c r="AI352" s="11">
        <v>0</v>
      </c>
      <c r="AJ352" s="8" t="s">
        <v>722</v>
      </c>
    </row>
    <row r="353" customFormat="1" ht="22" customHeight="1" spans="1:36">
      <c r="A353" s="8" t="s">
        <v>37</v>
      </c>
      <c r="B353" s="8" t="str">
        <f>VLOOKUP(F353,[1]Sheet1!$B:$E,3,FALSE)</f>
        <v>岳贝贝</v>
      </c>
      <c r="C353" s="8" t="str">
        <f>VLOOKUP(F353,[1]Sheet1!$B:$E,4,FALSE)</f>
        <v>B</v>
      </c>
      <c r="D353" s="8" t="s">
        <v>723</v>
      </c>
      <c r="E353" s="8">
        <v>4.6</v>
      </c>
      <c r="F353" s="10">
        <v>33753731</v>
      </c>
      <c r="G353" s="8">
        <v>338</v>
      </c>
      <c r="H353" s="12">
        <v>203.8</v>
      </c>
      <c r="I353" s="8">
        <v>27.83</v>
      </c>
      <c r="J353" s="8">
        <v>20.38</v>
      </c>
      <c r="K353" s="8">
        <v>2092.12</v>
      </c>
      <c r="L353" s="8">
        <v>716</v>
      </c>
      <c r="M353" s="11">
        <v>0.088</v>
      </c>
      <c r="N353" s="11">
        <v>0.1587</v>
      </c>
      <c r="O353" s="8">
        <v>10</v>
      </c>
      <c r="P353" s="8">
        <v>2044</v>
      </c>
      <c r="Q353" s="11">
        <v>0.0974</v>
      </c>
      <c r="R353" s="11">
        <v>0.3065</v>
      </c>
      <c r="S353" s="8">
        <v>63</v>
      </c>
      <c r="T353" s="11">
        <v>0.1176</v>
      </c>
      <c r="U353" s="11">
        <v>0.3333</v>
      </c>
      <c r="V353" s="11">
        <v>0.1907</v>
      </c>
      <c r="W353" s="11">
        <v>0.2649</v>
      </c>
      <c r="X353" s="8">
        <v>0</v>
      </c>
      <c r="Y353" s="8">
        <v>0</v>
      </c>
      <c r="Z353" s="8">
        <v>-0.01</v>
      </c>
      <c r="AA353" s="8">
        <v>0</v>
      </c>
      <c r="AB353" s="8">
        <v>0</v>
      </c>
      <c r="AC353" s="8">
        <v>2.12</v>
      </c>
      <c r="AD353" s="8">
        <v>0</v>
      </c>
      <c r="AE353" s="8">
        <v>0</v>
      </c>
      <c r="AF353" s="11">
        <v>0</v>
      </c>
      <c r="AG353" s="8">
        <v>0</v>
      </c>
      <c r="AH353" s="8">
        <v>0</v>
      </c>
      <c r="AI353" s="11">
        <v>0</v>
      </c>
      <c r="AJ353" s="8" t="s">
        <v>724</v>
      </c>
    </row>
    <row r="354" customFormat="1" ht="22" customHeight="1" spans="1:36">
      <c r="A354" s="8" t="s">
        <v>37</v>
      </c>
      <c r="B354" s="8" t="str">
        <f>VLOOKUP(F354,[1]Sheet1!$B:$E,3,FALSE)</f>
        <v>王森</v>
      </c>
      <c r="C354" s="9" t="str">
        <f>VLOOKUP(F354,[1]Sheet1!$B:$E,4,FALSE)</f>
        <v>S</v>
      </c>
      <c r="D354" s="12" t="s">
        <v>725</v>
      </c>
      <c r="E354" s="12">
        <v>4.3</v>
      </c>
      <c r="F354" s="13">
        <v>28990480</v>
      </c>
      <c r="G354" s="8">
        <v>374</v>
      </c>
      <c r="H354" s="12">
        <v>202.98</v>
      </c>
      <c r="I354" s="8">
        <v>30.05</v>
      </c>
      <c r="J354" s="8">
        <v>20.3</v>
      </c>
      <c r="K354" s="8">
        <v>2765.75</v>
      </c>
      <c r="L354" s="8">
        <v>616</v>
      </c>
      <c r="M354" s="11">
        <v>0.0714</v>
      </c>
      <c r="N354" s="11">
        <v>0.2273</v>
      </c>
      <c r="O354" s="8">
        <v>10</v>
      </c>
      <c r="P354" s="8">
        <v>2834</v>
      </c>
      <c r="Q354" s="11">
        <v>0.0879</v>
      </c>
      <c r="R354" s="11">
        <v>0.3574</v>
      </c>
      <c r="S354" s="8">
        <v>92</v>
      </c>
      <c r="T354" s="11">
        <v>0.0813</v>
      </c>
      <c r="U354" s="11">
        <v>0.2829</v>
      </c>
      <c r="V354" s="11">
        <v>0.2298</v>
      </c>
      <c r="W354" s="11">
        <v>0.3274</v>
      </c>
      <c r="X354" s="8">
        <v>34.97</v>
      </c>
      <c r="Y354" s="8">
        <v>32</v>
      </c>
      <c r="Z354" s="8">
        <v>1.09</v>
      </c>
      <c r="AA354" s="8">
        <v>34.97</v>
      </c>
      <c r="AB354" s="8">
        <v>17.23</v>
      </c>
      <c r="AC354" s="8">
        <v>1.65</v>
      </c>
      <c r="AD354" s="8">
        <v>1</v>
      </c>
      <c r="AE354" s="8">
        <v>0</v>
      </c>
      <c r="AF354" s="11">
        <v>0</v>
      </c>
      <c r="AG354" s="8">
        <v>1</v>
      </c>
      <c r="AH354" s="8">
        <v>0</v>
      </c>
      <c r="AI354" s="11">
        <v>0</v>
      </c>
      <c r="AJ354" s="8" t="s">
        <v>726</v>
      </c>
    </row>
    <row r="355" customFormat="1" ht="22" customHeight="1" spans="1:36">
      <c r="A355" s="8" t="s">
        <v>37</v>
      </c>
      <c r="B355" s="8" t="e">
        <f>VLOOKUP(F355,[1]Sheet1!$B:$E,3,FALSE)</f>
        <v>#N/A</v>
      </c>
      <c r="C355" s="8" t="e">
        <f>VLOOKUP(F355,[1]Sheet1!$B:$E,4,FALSE)</f>
        <v>#N/A</v>
      </c>
      <c r="D355" s="8" t="s">
        <v>727</v>
      </c>
      <c r="E355" s="8">
        <v>4.5</v>
      </c>
      <c r="F355" s="10">
        <v>32473909</v>
      </c>
      <c r="G355" s="8">
        <v>254</v>
      </c>
      <c r="H355" s="12">
        <v>201.6</v>
      </c>
      <c r="I355" s="8">
        <v>62.16</v>
      </c>
      <c r="J355" s="8">
        <v>40.32</v>
      </c>
      <c r="K355" s="8">
        <v>3030.74</v>
      </c>
      <c r="L355" s="8">
        <v>1047</v>
      </c>
      <c r="M355" s="11">
        <v>0.0688</v>
      </c>
      <c r="N355" s="11">
        <v>0.0694</v>
      </c>
      <c r="O355" s="8">
        <v>5</v>
      </c>
      <c r="P355" s="8">
        <v>3581</v>
      </c>
      <c r="Q355" s="11">
        <v>0.0796</v>
      </c>
      <c r="R355" s="11">
        <v>0.2947</v>
      </c>
      <c r="S355" s="8">
        <v>87</v>
      </c>
      <c r="T355" s="11">
        <v>0.1557</v>
      </c>
      <c r="U355" s="11">
        <v>0.3906</v>
      </c>
      <c r="V355" s="11">
        <v>0.2269</v>
      </c>
      <c r="W355" s="11">
        <v>0.3026</v>
      </c>
      <c r="X355" s="8">
        <v>65.41</v>
      </c>
      <c r="Y355" s="8">
        <v>62</v>
      </c>
      <c r="Z355" s="8">
        <v>1.06</v>
      </c>
      <c r="AA355" s="8">
        <v>65.41</v>
      </c>
      <c r="AB355" s="8">
        <v>32.45</v>
      </c>
      <c r="AC355" s="8">
        <v>4.12</v>
      </c>
      <c r="AD355" s="8">
        <v>0</v>
      </c>
      <c r="AE355" s="8">
        <v>0</v>
      </c>
      <c r="AF355" s="11">
        <v>0</v>
      </c>
      <c r="AG355" s="8">
        <v>0</v>
      </c>
      <c r="AH355" s="8">
        <v>0</v>
      </c>
      <c r="AI355" s="11">
        <v>0</v>
      </c>
      <c r="AJ355" s="8" t="s">
        <v>728</v>
      </c>
    </row>
    <row r="356" customFormat="1" ht="22" customHeight="1" spans="1:36">
      <c r="A356" s="8" t="s">
        <v>37</v>
      </c>
      <c r="B356" s="8" t="str">
        <f>VLOOKUP(F356,[1]Sheet1!$B:$E,3,FALSE)</f>
        <v>刘欢</v>
      </c>
      <c r="C356" s="8" t="str">
        <f>VLOOKUP(F356,[1]Sheet1!$B:$E,4,FALSE)</f>
        <v>B</v>
      </c>
      <c r="D356" s="8" t="s">
        <v>729</v>
      </c>
      <c r="E356" s="8">
        <v>4.4</v>
      </c>
      <c r="F356" s="10">
        <v>17997184</v>
      </c>
      <c r="G356" s="8">
        <v>659</v>
      </c>
      <c r="H356" s="12">
        <v>200.59</v>
      </c>
      <c r="I356" s="8">
        <v>19.94</v>
      </c>
      <c r="J356" s="8">
        <v>11.8</v>
      </c>
      <c r="K356" s="8">
        <v>2327.44</v>
      </c>
      <c r="L356" s="8">
        <v>1488</v>
      </c>
      <c r="M356" s="11">
        <v>0.0376</v>
      </c>
      <c r="N356" s="11">
        <v>0.3214</v>
      </c>
      <c r="O356" s="8">
        <v>17</v>
      </c>
      <c r="P356" s="8">
        <v>2905</v>
      </c>
      <c r="Q356" s="11">
        <v>0.0885</v>
      </c>
      <c r="R356" s="11">
        <v>0.323</v>
      </c>
      <c r="S356" s="8">
        <v>85</v>
      </c>
      <c r="T356" s="11">
        <v>0.0747</v>
      </c>
      <c r="U356" s="11">
        <v>0.1793</v>
      </c>
      <c r="V356" s="11">
        <v>0.2089</v>
      </c>
      <c r="W356" s="11">
        <v>0.2655</v>
      </c>
      <c r="X356" s="8">
        <v>8.63</v>
      </c>
      <c r="Y356" s="8">
        <v>12</v>
      </c>
      <c r="Z356" s="8">
        <v>0.72</v>
      </c>
      <c r="AA356" s="8">
        <v>8.63</v>
      </c>
      <c r="AB356" s="8">
        <v>4.3</v>
      </c>
      <c r="AC356" s="8">
        <v>2.26</v>
      </c>
      <c r="AD356" s="8">
        <v>0</v>
      </c>
      <c r="AE356" s="8">
        <v>0</v>
      </c>
      <c r="AF356" s="11">
        <v>0</v>
      </c>
      <c r="AG356" s="8">
        <v>0</v>
      </c>
      <c r="AH356" s="8">
        <v>0</v>
      </c>
      <c r="AI356" s="11">
        <v>0</v>
      </c>
      <c r="AJ356" s="8" t="s">
        <v>730</v>
      </c>
    </row>
    <row r="357" customFormat="1" ht="22" customHeight="1" spans="1:36">
      <c r="A357" s="8" t="s">
        <v>37</v>
      </c>
      <c r="B357" s="8" t="str">
        <f>VLOOKUP(F357,[1]Sheet1!$B:$E,3,FALSE)</f>
        <v>岳贝贝</v>
      </c>
      <c r="C357" s="8">
        <f>VLOOKUP(F357,[1]Sheet1!$B:$E,4,FALSE)</f>
        <v>0</v>
      </c>
      <c r="D357" s="12" t="s">
        <v>731</v>
      </c>
      <c r="E357" s="12">
        <v>4.2</v>
      </c>
      <c r="F357" s="13">
        <v>27771243</v>
      </c>
      <c r="G357" s="8">
        <v>474</v>
      </c>
      <c r="H357" s="12">
        <v>199.34</v>
      </c>
      <c r="I357" s="8">
        <v>26.64</v>
      </c>
      <c r="J357" s="8">
        <v>16.61</v>
      </c>
      <c r="K357" s="8">
        <v>1188.93</v>
      </c>
      <c r="L357" s="8">
        <v>1104</v>
      </c>
      <c r="M357" s="11">
        <v>0.0344</v>
      </c>
      <c r="N357" s="11">
        <v>0.2632</v>
      </c>
      <c r="O357" s="8">
        <v>12</v>
      </c>
      <c r="P357" s="8">
        <v>2690</v>
      </c>
      <c r="Q357" s="11">
        <v>0.0625</v>
      </c>
      <c r="R357" s="11">
        <v>0.3929</v>
      </c>
      <c r="S357" s="8">
        <v>68</v>
      </c>
      <c r="T357" s="11">
        <v>0.1404</v>
      </c>
      <c r="U357" s="11">
        <v>0.3019</v>
      </c>
      <c r="V357" s="11">
        <v>0.1638</v>
      </c>
      <c r="W357" s="11">
        <v>0.2619</v>
      </c>
      <c r="X357" s="8">
        <v>0</v>
      </c>
      <c r="Y357" s="8">
        <v>0</v>
      </c>
      <c r="Z357" s="8">
        <v>-0.01</v>
      </c>
      <c r="AA357" s="8">
        <v>0</v>
      </c>
      <c r="AB357" s="8">
        <v>0</v>
      </c>
      <c r="AC357" s="8">
        <v>2.33</v>
      </c>
      <c r="AD357" s="8">
        <v>0</v>
      </c>
      <c r="AE357" s="8">
        <v>0</v>
      </c>
      <c r="AF357" s="11">
        <v>0</v>
      </c>
      <c r="AG357" s="8">
        <v>0</v>
      </c>
      <c r="AH357" s="8">
        <v>0</v>
      </c>
      <c r="AI357" s="11">
        <v>0</v>
      </c>
      <c r="AJ357" s="8" t="s">
        <v>732</v>
      </c>
    </row>
    <row r="358" customFormat="1" ht="22" customHeight="1" spans="1:36">
      <c r="A358" s="8" t="s">
        <v>37</v>
      </c>
      <c r="B358" s="8" t="e">
        <f>VLOOKUP(F358,[1]Sheet1!$B:$E,3,FALSE)</f>
        <v>#N/A</v>
      </c>
      <c r="C358" s="8" t="e">
        <f>VLOOKUP(F358,[1]Sheet1!$B:$E,4,FALSE)</f>
        <v>#N/A</v>
      </c>
      <c r="D358" s="8" t="s">
        <v>733</v>
      </c>
      <c r="E358" s="8">
        <v>4.5</v>
      </c>
      <c r="F358" s="10">
        <v>16554046</v>
      </c>
      <c r="G358" s="8">
        <v>367</v>
      </c>
      <c r="H358" s="12">
        <v>196.74</v>
      </c>
      <c r="I358" s="8">
        <v>31.55</v>
      </c>
      <c r="J358" s="8">
        <v>24.59</v>
      </c>
      <c r="K358" s="8">
        <v>2841.92</v>
      </c>
      <c r="L358" s="8">
        <v>568</v>
      </c>
      <c r="M358" s="11">
        <v>0.1144</v>
      </c>
      <c r="N358" s="11">
        <v>0.1077</v>
      </c>
      <c r="O358" s="8">
        <v>8</v>
      </c>
      <c r="P358" s="8">
        <v>3503</v>
      </c>
      <c r="Q358" s="11">
        <v>0.0862</v>
      </c>
      <c r="R358" s="11">
        <v>0.2417</v>
      </c>
      <c r="S358" s="8">
        <v>74</v>
      </c>
      <c r="T358" s="11">
        <v>0.1568</v>
      </c>
      <c r="U358" s="11">
        <v>0.2471</v>
      </c>
      <c r="V358" s="11">
        <v>0.1917</v>
      </c>
      <c r="W358" s="11">
        <v>0.2695</v>
      </c>
      <c r="X358" s="8">
        <v>0</v>
      </c>
      <c r="Y358" s="8">
        <v>0</v>
      </c>
      <c r="Z358" s="8">
        <v>-0.01</v>
      </c>
      <c r="AA358" s="8">
        <v>0</v>
      </c>
      <c r="AB358" s="8">
        <v>0</v>
      </c>
      <c r="AC358" s="8">
        <v>1.55</v>
      </c>
      <c r="AD358" s="8">
        <v>3</v>
      </c>
      <c r="AE358" s="8">
        <v>3</v>
      </c>
      <c r="AF358" s="11">
        <v>1</v>
      </c>
      <c r="AG358" s="8">
        <v>0</v>
      </c>
      <c r="AH358" s="8">
        <v>0</v>
      </c>
      <c r="AI358" s="11">
        <v>0</v>
      </c>
      <c r="AJ358" s="8" t="s">
        <v>734</v>
      </c>
    </row>
    <row r="359" customFormat="1" ht="22" customHeight="1" spans="1:36">
      <c r="A359" s="8" t="s">
        <v>37</v>
      </c>
      <c r="B359" s="8" t="str">
        <f>VLOOKUP(F359,[1]Sheet1!$B:$E,3,FALSE)</f>
        <v>徐从众</v>
      </c>
      <c r="C359" s="9" t="str">
        <f>VLOOKUP(F359,[1]Sheet1!$B:$E,4,FALSE)</f>
        <v>A</v>
      </c>
      <c r="D359" s="8" t="s">
        <v>735</v>
      </c>
      <c r="E359" s="8">
        <v>4.7</v>
      </c>
      <c r="F359" s="10">
        <v>20735450</v>
      </c>
      <c r="G359" s="8">
        <v>226</v>
      </c>
      <c r="H359" s="12">
        <v>194.82</v>
      </c>
      <c r="I359" s="8">
        <v>47.93</v>
      </c>
      <c r="J359" s="8">
        <v>32.47</v>
      </c>
      <c r="K359" s="8">
        <v>3340.7</v>
      </c>
      <c r="L359" s="8">
        <v>462</v>
      </c>
      <c r="M359" s="11">
        <v>0.119</v>
      </c>
      <c r="N359" s="11">
        <v>0.1091</v>
      </c>
      <c r="O359" s="8">
        <v>6</v>
      </c>
      <c r="P359" s="8">
        <v>2653</v>
      </c>
      <c r="Q359" s="11">
        <v>0.1014</v>
      </c>
      <c r="R359" s="11">
        <v>0.2602</v>
      </c>
      <c r="S359" s="8">
        <v>72</v>
      </c>
      <c r="T359" s="11">
        <v>0.1562</v>
      </c>
      <c r="U359" s="11">
        <v>0.3099</v>
      </c>
      <c r="V359" s="11">
        <v>0.2566</v>
      </c>
      <c r="W359" s="11">
        <v>0.3205</v>
      </c>
      <c r="X359" s="8">
        <v>0</v>
      </c>
      <c r="Y359" s="8">
        <v>0</v>
      </c>
      <c r="Z359" s="8">
        <v>-0.01</v>
      </c>
      <c r="AA359" s="8">
        <v>0</v>
      </c>
      <c r="AB359" s="8">
        <v>0</v>
      </c>
      <c r="AC359" s="8">
        <v>2.04</v>
      </c>
      <c r="AD359" s="8">
        <v>0</v>
      </c>
      <c r="AE359" s="8">
        <v>0</v>
      </c>
      <c r="AF359" s="11">
        <v>0</v>
      </c>
      <c r="AG359" s="8">
        <v>0</v>
      </c>
      <c r="AH359" s="8">
        <v>0</v>
      </c>
      <c r="AI359" s="11">
        <v>0</v>
      </c>
      <c r="AJ359" s="8" t="s">
        <v>736</v>
      </c>
    </row>
    <row r="360" customFormat="1" ht="22" customHeight="1" spans="1:36">
      <c r="A360" s="8" t="s">
        <v>37</v>
      </c>
      <c r="B360" s="8" t="e">
        <f>VLOOKUP(F360,[1]Sheet1!$B:$E,3,FALSE)</f>
        <v>#N/A</v>
      </c>
      <c r="C360" s="8" t="e">
        <f>VLOOKUP(F360,[1]Sheet1!$B:$E,4,FALSE)</f>
        <v>#N/A</v>
      </c>
      <c r="D360" s="8" t="s">
        <v>737</v>
      </c>
      <c r="E360" s="8">
        <v>4.6</v>
      </c>
      <c r="F360" s="10">
        <v>20948803</v>
      </c>
      <c r="G360" s="8">
        <v>243</v>
      </c>
      <c r="H360" s="12">
        <v>183.4</v>
      </c>
      <c r="I360" s="8">
        <v>43.57</v>
      </c>
      <c r="J360" s="8">
        <v>30.57</v>
      </c>
      <c r="K360" s="8">
        <v>4737.69</v>
      </c>
      <c r="L360" s="8">
        <v>996</v>
      </c>
      <c r="M360" s="11">
        <v>0.0582</v>
      </c>
      <c r="N360" s="11">
        <v>0.1034</v>
      </c>
      <c r="O360" s="8">
        <v>6</v>
      </c>
      <c r="P360" s="8">
        <v>3540</v>
      </c>
      <c r="Q360" s="11">
        <v>0.0992</v>
      </c>
      <c r="R360" s="11">
        <v>0.2251</v>
      </c>
      <c r="S360" s="8">
        <v>81</v>
      </c>
      <c r="T360" s="11">
        <v>0.1231</v>
      </c>
      <c r="U360" s="11">
        <v>0.2459</v>
      </c>
      <c r="V360" s="11">
        <v>0.2236</v>
      </c>
      <c r="W360" s="11">
        <v>0.3129</v>
      </c>
      <c r="X360" s="8">
        <v>48.65</v>
      </c>
      <c r="Y360" s="8">
        <v>59</v>
      </c>
      <c r="Z360" s="8">
        <v>0.82</v>
      </c>
      <c r="AA360" s="8">
        <v>48.65</v>
      </c>
      <c r="AB360" s="8">
        <v>26.53</v>
      </c>
      <c r="AC360" s="8">
        <v>4.1</v>
      </c>
      <c r="AD360" s="8">
        <v>3</v>
      </c>
      <c r="AE360" s="8">
        <v>3</v>
      </c>
      <c r="AF360" s="11">
        <v>1</v>
      </c>
      <c r="AG360" s="8">
        <v>0</v>
      </c>
      <c r="AH360" s="8">
        <v>0</v>
      </c>
      <c r="AI360" s="11">
        <v>0</v>
      </c>
      <c r="AJ360" s="8" t="s">
        <v>738</v>
      </c>
    </row>
    <row r="361" customFormat="1" ht="22" customHeight="1" spans="1:36">
      <c r="A361" s="8" t="s">
        <v>37</v>
      </c>
      <c r="B361" s="8" t="str">
        <f>VLOOKUP(F361,[1]Sheet1!$B:$E,3,FALSE)</f>
        <v>岳贝贝</v>
      </c>
      <c r="C361" s="8" t="str">
        <f>VLOOKUP(F361,[1]Sheet1!$B:$E,4,FALSE)</f>
        <v>B</v>
      </c>
      <c r="D361" s="8" t="s">
        <v>739</v>
      </c>
      <c r="E361" s="8">
        <v>4.8</v>
      </c>
      <c r="F361" s="10">
        <v>33967606</v>
      </c>
      <c r="G361" s="8">
        <v>344</v>
      </c>
      <c r="H361" s="12">
        <v>177.75</v>
      </c>
      <c r="I361" s="8">
        <v>32.6</v>
      </c>
      <c r="J361" s="8">
        <v>22.22</v>
      </c>
      <c r="K361" s="8">
        <v>4250.23</v>
      </c>
      <c r="L361" s="8">
        <v>770</v>
      </c>
      <c r="M361" s="11">
        <v>0.0753</v>
      </c>
      <c r="N361" s="11">
        <v>0.1379</v>
      </c>
      <c r="O361" s="8">
        <v>8</v>
      </c>
      <c r="P361" s="8">
        <v>3012</v>
      </c>
      <c r="Q361" s="11">
        <v>0.1062</v>
      </c>
      <c r="R361" s="11">
        <v>0.4031</v>
      </c>
      <c r="S361" s="8">
        <v>132</v>
      </c>
      <c r="T361" s="11">
        <v>0.0735</v>
      </c>
      <c r="U361" s="11">
        <v>0</v>
      </c>
      <c r="V361" s="11">
        <v>0.2728</v>
      </c>
      <c r="W361" s="11">
        <v>0.3621</v>
      </c>
      <c r="X361" s="8">
        <v>21.84</v>
      </c>
      <c r="Y361" s="8">
        <v>22</v>
      </c>
      <c r="Z361" s="8">
        <v>0.99</v>
      </c>
      <c r="AA361" s="8">
        <v>21.84</v>
      </c>
      <c r="AB361" s="8">
        <v>12.29</v>
      </c>
      <c r="AC361" s="8">
        <v>2.24</v>
      </c>
      <c r="AD361" s="8">
        <v>0</v>
      </c>
      <c r="AE361" s="8">
        <v>0</v>
      </c>
      <c r="AF361" s="11">
        <v>0</v>
      </c>
      <c r="AG361" s="8">
        <v>0</v>
      </c>
      <c r="AH361" s="8">
        <v>0</v>
      </c>
      <c r="AI361" s="11">
        <v>0</v>
      </c>
      <c r="AJ361" s="8" t="s">
        <v>740</v>
      </c>
    </row>
    <row r="362" customFormat="1" ht="22" customHeight="1" spans="1:36">
      <c r="A362" s="8" t="s">
        <v>37</v>
      </c>
      <c r="B362" s="8" t="str">
        <f>VLOOKUP(F362,[1]Sheet1!$B:$E,3,FALSE)</f>
        <v>徐从众</v>
      </c>
      <c r="C362" s="9" t="str">
        <f>VLOOKUP(F362,[1]Sheet1!$B:$E,4,FALSE)</f>
        <v>A</v>
      </c>
      <c r="D362" s="8" t="s">
        <v>741</v>
      </c>
      <c r="E362" s="8">
        <v>4.4</v>
      </c>
      <c r="F362" s="10">
        <v>30162255</v>
      </c>
      <c r="G362" s="8">
        <v>309</v>
      </c>
      <c r="H362" s="12">
        <v>171.9</v>
      </c>
      <c r="I362" s="8">
        <v>31.46</v>
      </c>
      <c r="J362" s="8">
        <v>19.1</v>
      </c>
      <c r="K362" s="8">
        <v>3273.95</v>
      </c>
      <c r="L362" s="8">
        <v>583</v>
      </c>
      <c r="M362" s="11">
        <v>0.0858</v>
      </c>
      <c r="N362" s="11">
        <v>0.18</v>
      </c>
      <c r="O362" s="8">
        <v>9</v>
      </c>
      <c r="P362" s="8">
        <v>4828</v>
      </c>
      <c r="Q362" s="11">
        <v>0.0766</v>
      </c>
      <c r="R362" s="11">
        <v>0.2838</v>
      </c>
      <c r="S362" s="8">
        <v>107</v>
      </c>
      <c r="T362" s="11">
        <v>0.1</v>
      </c>
      <c r="U362" s="11">
        <v>0.2125</v>
      </c>
      <c r="V362" s="11">
        <v>0.2212</v>
      </c>
      <c r="W362" s="11">
        <v>0.3069</v>
      </c>
      <c r="X362" s="8">
        <v>40.38</v>
      </c>
      <c r="Y362" s="8">
        <v>30</v>
      </c>
      <c r="Z362" s="8">
        <v>1.35</v>
      </c>
      <c r="AA362" s="8">
        <v>40.38</v>
      </c>
      <c r="AB362" s="8">
        <v>23.49</v>
      </c>
      <c r="AC362" s="8">
        <v>1.89</v>
      </c>
      <c r="AD362" s="8">
        <v>0</v>
      </c>
      <c r="AE362" s="8">
        <v>0</v>
      </c>
      <c r="AF362" s="11">
        <v>0</v>
      </c>
      <c r="AG362" s="8">
        <v>0</v>
      </c>
      <c r="AH362" s="8">
        <v>0</v>
      </c>
      <c r="AI362" s="11">
        <v>0</v>
      </c>
      <c r="AJ362" s="8" t="s">
        <v>742</v>
      </c>
    </row>
    <row r="363" customFormat="1" ht="22" customHeight="1" spans="1:36">
      <c r="A363" s="8" t="s">
        <v>37</v>
      </c>
      <c r="B363" s="8" t="str">
        <f>VLOOKUP(F363,[1]Sheet1!$B:$E,3,FALSE)</f>
        <v>岳贝贝</v>
      </c>
      <c r="C363" s="9" t="str">
        <f>VLOOKUP(F363,[1]Sheet1!$B:$E,4,FALSE)</f>
        <v>A</v>
      </c>
      <c r="D363" s="12" t="s">
        <v>743</v>
      </c>
      <c r="E363" s="12">
        <v>4.3</v>
      </c>
      <c r="F363" s="13">
        <v>29780772</v>
      </c>
      <c r="G363" s="8">
        <v>286</v>
      </c>
      <c r="H363" s="12">
        <v>171.09</v>
      </c>
      <c r="I363" s="8">
        <v>24.27</v>
      </c>
      <c r="J363" s="8">
        <v>15.55</v>
      </c>
      <c r="K363" s="8">
        <v>2594.88</v>
      </c>
      <c r="L363" s="8">
        <v>540</v>
      </c>
      <c r="M363" s="11">
        <v>0.0667</v>
      </c>
      <c r="N363" s="11">
        <v>0.3056</v>
      </c>
      <c r="O363" s="8">
        <v>11</v>
      </c>
      <c r="P363" s="8">
        <v>2849</v>
      </c>
      <c r="Q363" s="11">
        <v>0.093</v>
      </c>
      <c r="R363" s="11">
        <v>0.4113</v>
      </c>
      <c r="S363" s="8">
        <v>116</v>
      </c>
      <c r="T363" s="11">
        <v>0.1176</v>
      </c>
      <c r="U363" s="11">
        <v>0.2353</v>
      </c>
      <c r="V363" s="11">
        <v>0.2656</v>
      </c>
      <c r="W363" s="11">
        <v>0.3455</v>
      </c>
      <c r="X363" s="8">
        <v>0</v>
      </c>
      <c r="Y363" s="8">
        <v>0</v>
      </c>
      <c r="Z363" s="8">
        <v>-0.01</v>
      </c>
      <c r="AA363" s="8">
        <v>0</v>
      </c>
      <c r="AB363" s="8">
        <v>0</v>
      </c>
      <c r="AC363" s="8">
        <v>1.89</v>
      </c>
      <c r="AD363" s="8">
        <v>0</v>
      </c>
      <c r="AE363" s="8">
        <v>0</v>
      </c>
      <c r="AF363" s="11">
        <v>0</v>
      </c>
      <c r="AG363" s="8">
        <v>0</v>
      </c>
      <c r="AH363" s="8">
        <v>0</v>
      </c>
      <c r="AI363" s="11">
        <v>0</v>
      </c>
      <c r="AJ363" s="8" t="s">
        <v>744</v>
      </c>
    </row>
    <row r="364" customFormat="1" ht="22" customHeight="1" spans="1:36">
      <c r="A364" s="8" t="s">
        <v>37</v>
      </c>
      <c r="B364" s="8" t="str">
        <f>VLOOKUP(F364,[1]Sheet1!$B:$E,3,FALSE)</f>
        <v>岳贝贝</v>
      </c>
      <c r="C364" s="9" t="str">
        <f>VLOOKUP(F364,[1]Sheet1!$B:$E,4,FALSE)</f>
        <v>A</v>
      </c>
      <c r="D364" s="8" t="s">
        <v>745</v>
      </c>
      <c r="E364" s="8">
        <v>4.9</v>
      </c>
      <c r="F364" s="10">
        <v>30335718</v>
      </c>
      <c r="G364" s="8">
        <v>191</v>
      </c>
      <c r="H364" s="12">
        <v>165.81</v>
      </c>
      <c r="I364" s="8">
        <v>29.55</v>
      </c>
      <c r="J364" s="8">
        <v>20.73</v>
      </c>
      <c r="K364" s="8">
        <v>1038.11</v>
      </c>
      <c r="L364" s="8">
        <v>377</v>
      </c>
      <c r="M364" s="11">
        <v>0.0955</v>
      </c>
      <c r="N364" s="11">
        <v>0.2222</v>
      </c>
      <c r="O364" s="8">
        <v>8</v>
      </c>
      <c r="P364" s="8">
        <v>1347</v>
      </c>
      <c r="Q364" s="11">
        <v>0.1114</v>
      </c>
      <c r="R364" s="11">
        <v>0.38</v>
      </c>
      <c r="S364" s="8">
        <v>60</v>
      </c>
      <c r="T364" s="11">
        <v>0.2708</v>
      </c>
      <c r="U364" s="11">
        <v>0.5455</v>
      </c>
      <c r="V364" s="11">
        <v>0.3432</v>
      </c>
      <c r="W364" s="11">
        <v>0.4833</v>
      </c>
      <c r="X364" s="8">
        <v>0</v>
      </c>
      <c r="Y364" s="8">
        <v>0</v>
      </c>
      <c r="Z364" s="8">
        <v>-0.01</v>
      </c>
      <c r="AA364" s="8">
        <v>0</v>
      </c>
      <c r="AB364" s="8">
        <v>0</v>
      </c>
      <c r="AC364" s="8">
        <v>1.97</v>
      </c>
      <c r="AD364" s="8">
        <v>0</v>
      </c>
      <c r="AE364" s="8">
        <v>0</v>
      </c>
      <c r="AF364" s="11">
        <v>0</v>
      </c>
      <c r="AG364" s="8">
        <v>0</v>
      </c>
      <c r="AH364" s="8">
        <v>0</v>
      </c>
      <c r="AI364" s="11">
        <v>0</v>
      </c>
      <c r="AJ364" s="8" t="s">
        <v>746</v>
      </c>
    </row>
    <row r="365" customFormat="1" ht="22" customHeight="1" spans="1:36">
      <c r="A365" s="8" t="s">
        <v>37</v>
      </c>
      <c r="B365" s="8" t="e">
        <f>VLOOKUP(F365,[1]Sheet1!$B:$E,3,FALSE)</f>
        <v>#N/A</v>
      </c>
      <c r="C365" s="8" t="e">
        <f>VLOOKUP(F365,[1]Sheet1!$B:$E,4,FALSE)</f>
        <v>#N/A</v>
      </c>
      <c r="D365" s="8" t="s">
        <v>747</v>
      </c>
      <c r="E365" s="8">
        <v>4.5</v>
      </c>
      <c r="F365" s="10">
        <v>34164070</v>
      </c>
      <c r="G365" s="8">
        <v>176</v>
      </c>
      <c r="H365" s="12">
        <v>163.95</v>
      </c>
      <c r="I365" s="8">
        <v>19.67</v>
      </c>
      <c r="J365" s="8">
        <v>10.93</v>
      </c>
      <c r="K365" s="8">
        <v>2935.37</v>
      </c>
      <c r="L365" s="8">
        <v>1937</v>
      </c>
      <c r="M365" s="11">
        <v>0.0872</v>
      </c>
      <c r="N365" s="11">
        <v>0.0888</v>
      </c>
      <c r="O365" s="8">
        <v>15</v>
      </c>
      <c r="P365" s="8">
        <v>4978</v>
      </c>
      <c r="Q365" s="11">
        <v>0.0773</v>
      </c>
      <c r="R365" s="11">
        <v>0.3039</v>
      </c>
      <c r="S365" s="8">
        <v>120</v>
      </c>
      <c r="T365" s="11">
        <v>0.1319</v>
      </c>
      <c r="U365" s="11">
        <v>0.3333</v>
      </c>
      <c r="V365" s="11">
        <v>0.2481</v>
      </c>
      <c r="W365" s="11">
        <v>0.3171</v>
      </c>
      <c r="X365" s="8">
        <v>0</v>
      </c>
      <c r="Y365" s="8">
        <v>0</v>
      </c>
      <c r="Z365" s="8">
        <v>-0.01</v>
      </c>
      <c r="AA365" s="8">
        <v>0</v>
      </c>
      <c r="AB365" s="8">
        <v>0</v>
      </c>
      <c r="AC365" s="8">
        <v>11.01</v>
      </c>
      <c r="AD365" s="8">
        <v>4</v>
      </c>
      <c r="AE365" s="8">
        <v>4</v>
      </c>
      <c r="AF365" s="11">
        <v>1</v>
      </c>
      <c r="AG365" s="8">
        <v>0</v>
      </c>
      <c r="AH365" s="8">
        <v>0</v>
      </c>
      <c r="AI365" s="11">
        <v>0</v>
      </c>
      <c r="AJ365" s="8" t="s">
        <v>748</v>
      </c>
    </row>
    <row r="366" customFormat="1" ht="22" customHeight="1" spans="1:36">
      <c r="A366" s="8" t="s">
        <v>37</v>
      </c>
      <c r="B366" s="8" t="str">
        <f>VLOOKUP(F366,[1]Sheet1!$B:$E,3,FALSE)</f>
        <v>刘欢</v>
      </c>
      <c r="C366" s="8" t="str">
        <f>VLOOKUP(F366,[1]Sheet1!$B:$E,4,FALSE)</f>
        <v>B</v>
      </c>
      <c r="D366" s="8" t="s">
        <v>749</v>
      </c>
      <c r="E366" s="8">
        <v>4.4</v>
      </c>
      <c r="F366" s="10">
        <v>31953691</v>
      </c>
      <c r="G366" s="8">
        <v>568</v>
      </c>
      <c r="H366" s="12">
        <v>162.67</v>
      </c>
      <c r="I366" s="8">
        <v>25.22</v>
      </c>
      <c r="J366" s="8">
        <v>11.62</v>
      </c>
      <c r="K366" s="8">
        <v>1543.48</v>
      </c>
      <c r="L366" s="8">
        <v>735</v>
      </c>
      <c r="M366" s="11">
        <v>0.0626</v>
      </c>
      <c r="N366" s="11">
        <v>0.3043</v>
      </c>
      <c r="O366" s="8">
        <v>14</v>
      </c>
      <c r="P366" s="8">
        <v>3474</v>
      </c>
      <c r="Q366" s="11">
        <v>0.0656</v>
      </c>
      <c r="R366" s="11">
        <v>0.307</v>
      </c>
      <c r="S366" s="8">
        <v>71</v>
      </c>
      <c r="T366" s="11">
        <v>0.0818</v>
      </c>
      <c r="U366" s="11">
        <v>0.1452</v>
      </c>
      <c r="V366" s="11">
        <v>0.2021</v>
      </c>
      <c r="W366" s="11">
        <v>0.2908</v>
      </c>
      <c r="X366" s="8">
        <v>20</v>
      </c>
      <c r="Y366" s="8">
        <v>19</v>
      </c>
      <c r="Z366" s="8">
        <v>1.05</v>
      </c>
      <c r="AA366" s="8">
        <v>20</v>
      </c>
      <c r="AB366" s="8">
        <v>12.29</v>
      </c>
      <c r="AC366" s="8">
        <v>1.29</v>
      </c>
      <c r="AD366" s="8">
        <v>3</v>
      </c>
      <c r="AE366" s="8">
        <v>2</v>
      </c>
      <c r="AF366" s="11">
        <v>0.6667</v>
      </c>
      <c r="AG366" s="8">
        <v>0</v>
      </c>
      <c r="AH366" s="8">
        <v>1</v>
      </c>
      <c r="AI366" s="11">
        <v>0.3333</v>
      </c>
      <c r="AJ366" s="8" t="s">
        <v>750</v>
      </c>
    </row>
    <row r="367" customFormat="1" ht="22" customHeight="1" spans="1:36">
      <c r="A367" s="8" t="s">
        <v>37</v>
      </c>
      <c r="B367" s="8" t="e">
        <f>VLOOKUP(F367,[1]Sheet1!$B:$E,3,FALSE)</f>
        <v>#N/A</v>
      </c>
      <c r="C367" s="8" t="e">
        <f>VLOOKUP(F367,[1]Sheet1!$B:$E,4,FALSE)</f>
        <v>#N/A</v>
      </c>
      <c r="D367" s="12" t="s">
        <v>751</v>
      </c>
      <c r="E367" s="12">
        <v>4.1</v>
      </c>
      <c r="F367" s="13">
        <v>32559667</v>
      </c>
      <c r="G367" s="8">
        <v>167</v>
      </c>
      <c r="H367" s="12">
        <v>161.18</v>
      </c>
      <c r="I367" s="8">
        <v>21.65</v>
      </c>
      <c r="J367" s="8">
        <v>17.91</v>
      </c>
      <c r="K367" s="8">
        <v>3554.94</v>
      </c>
      <c r="L367" s="8">
        <v>362</v>
      </c>
      <c r="M367" s="11">
        <v>0.0801</v>
      </c>
      <c r="N367" s="11">
        <v>0.3103</v>
      </c>
      <c r="O367" s="8">
        <v>9</v>
      </c>
      <c r="P367" s="8">
        <v>4329</v>
      </c>
      <c r="Q367" s="11">
        <v>0.0788</v>
      </c>
      <c r="R367" s="11">
        <v>0.3314</v>
      </c>
      <c r="S367" s="8">
        <v>117</v>
      </c>
      <c r="T367" s="11">
        <v>0.1308</v>
      </c>
      <c r="U367" s="11">
        <v>0.28</v>
      </c>
      <c r="V367" s="11">
        <v>0.1794</v>
      </c>
      <c r="W367" s="11">
        <v>0.2926</v>
      </c>
      <c r="X367" s="8">
        <v>0</v>
      </c>
      <c r="Y367" s="8">
        <v>0</v>
      </c>
      <c r="Z367" s="8">
        <v>-0.01</v>
      </c>
      <c r="AA367" s="8">
        <v>0</v>
      </c>
      <c r="AB367" s="8">
        <v>0</v>
      </c>
      <c r="AC367" s="8">
        <v>2.17</v>
      </c>
      <c r="AD367" s="8">
        <v>1</v>
      </c>
      <c r="AE367" s="8">
        <v>0</v>
      </c>
      <c r="AF367" s="11">
        <v>0</v>
      </c>
      <c r="AG367" s="8">
        <v>0</v>
      </c>
      <c r="AH367" s="8">
        <v>1</v>
      </c>
      <c r="AI367" s="11">
        <v>1</v>
      </c>
      <c r="AJ367" s="8" t="s">
        <v>752</v>
      </c>
    </row>
    <row r="368" customFormat="1" ht="22" customHeight="1" spans="1:36">
      <c r="A368" s="8" t="s">
        <v>37</v>
      </c>
      <c r="B368" s="8" t="str">
        <f>VLOOKUP(F368,[1]Sheet1!$B:$E,3,FALSE)</f>
        <v>刘欢</v>
      </c>
      <c r="C368" s="8" t="str">
        <f>VLOOKUP(F368,[1]Sheet1!$B:$E,4,FALSE)</f>
        <v>C</v>
      </c>
      <c r="D368" s="12" t="s">
        <v>753</v>
      </c>
      <c r="E368" s="12">
        <v>4.3</v>
      </c>
      <c r="F368" s="13">
        <v>20721239</v>
      </c>
      <c r="G368" s="8">
        <v>125</v>
      </c>
      <c r="H368" s="12">
        <v>150.3</v>
      </c>
      <c r="I368" s="8">
        <v>56.45</v>
      </c>
      <c r="J368" s="8">
        <v>37.58</v>
      </c>
      <c r="K368" s="8">
        <v>3453.73</v>
      </c>
      <c r="L368" s="8">
        <v>507</v>
      </c>
      <c r="M368" s="11">
        <v>0.071</v>
      </c>
      <c r="N368" s="11">
        <v>0.1389</v>
      </c>
      <c r="O368" s="8">
        <v>4</v>
      </c>
      <c r="P368" s="8">
        <v>2272</v>
      </c>
      <c r="Q368" s="11">
        <v>0.0709</v>
      </c>
      <c r="R368" s="11">
        <v>0.2857</v>
      </c>
      <c r="S368" s="8">
        <v>46</v>
      </c>
      <c r="T368" s="11">
        <v>0.0472</v>
      </c>
      <c r="U368" s="11">
        <v>0</v>
      </c>
      <c r="V368" s="11">
        <v>0.1031</v>
      </c>
      <c r="W368" s="11">
        <v>0.1712</v>
      </c>
      <c r="X368" s="8">
        <v>0</v>
      </c>
      <c r="Y368" s="8">
        <v>0</v>
      </c>
      <c r="Z368" s="8">
        <v>-0.01</v>
      </c>
      <c r="AA368" s="8">
        <v>0</v>
      </c>
      <c r="AB368" s="8">
        <v>0</v>
      </c>
      <c r="AC368" s="8">
        <v>4.06</v>
      </c>
      <c r="AD368" s="8">
        <v>0</v>
      </c>
      <c r="AE368" s="8">
        <v>0</v>
      </c>
      <c r="AF368" s="11">
        <v>0</v>
      </c>
      <c r="AG368" s="8">
        <v>0</v>
      </c>
      <c r="AH368" s="8">
        <v>0</v>
      </c>
      <c r="AI368" s="11">
        <v>0</v>
      </c>
      <c r="AJ368" s="8" t="s">
        <v>754</v>
      </c>
    </row>
    <row r="369" customFormat="1" ht="22" customHeight="1" spans="1:36">
      <c r="A369" s="8" t="s">
        <v>37</v>
      </c>
      <c r="B369" s="8" t="e">
        <f>VLOOKUP(F369,[1]Sheet1!$B:$E,3,FALSE)</f>
        <v>#N/A</v>
      </c>
      <c r="C369" s="8" t="e">
        <f>VLOOKUP(F369,[1]Sheet1!$B:$E,4,FALSE)</f>
        <v>#N/A</v>
      </c>
      <c r="D369" s="8" t="s">
        <v>755</v>
      </c>
      <c r="E369" s="8">
        <v>4.6</v>
      </c>
      <c r="F369" s="10">
        <v>31633973</v>
      </c>
      <c r="G369" s="8">
        <v>117</v>
      </c>
      <c r="H369" s="12">
        <v>150.22</v>
      </c>
      <c r="I369" s="8">
        <v>98.35</v>
      </c>
      <c r="J369" s="8">
        <v>75.11</v>
      </c>
      <c r="K369" s="8">
        <v>2717.45</v>
      </c>
      <c r="L369" s="8">
        <v>191</v>
      </c>
      <c r="M369" s="11">
        <v>0.0681</v>
      </c>
      <c r="N369" s="11">
        <v>0.1538</v>
      </c>
      <c r="O369" s="8">
        <v>2</v>
      </c>
      <c r="P369" s="8">
        <v>3156</v>
      </c>
      <c r="Q369" s="11">
        <v>0.084</v>
      </c>
      <c r="R369" s="11">
        <v>0.3396</v>
      </c>
      <c r="S369" s="8">
        <v>92</v>
      </c>
      <c r="T369" s="11">
        <v>0.0641</v>
      </c>
      <c r="U369" s="11">
        <v>0.1429</v>
      </c>
      <c r="V369" s="11">
        <v>0.2404</v>
      </c>
      <c r="W369" s="11">
        <v>0.3076</v>
      </c>
      <c r="X369" s="8">
        <v>0</v>
      </c>
      <c r="Y369" s="8">
        <v>0</v>
      </c>
      <c r="Z369" s="8">
        <v>-0.01</v>
      </c>
      <c r="AA369" s="8">
        <v>0</v>
      </c>
      <c r="AB369" s="8">
        <v>0</v>
      </c>
      <c r="AC369" s="8">
        <v>1.63</v>
      </c>
      <c r="AD369" s="8">
        <v>0</v>
      </c>
      <c r="AE369" s="8">
        <v>0</v>
      </c>
      <c r="AF369" s="11">
        <v>0</v>
      </c>
      <c r="AG369" s="8">
        <v>0</v>
      </c>
      <c r="AH369" s="8">
        <v>0</v>
      </c>
      <c r="AI369" s="11">
        <v>0</v>
      </c>
      <c r="AJ369" s="8" t="s">
        <v>756</v>
      </c>
    </row>
    <row r="370" customFormat="1" ht="22" customHeight="1" spans="1:36">
      <c r="A370" s="8" t="s">
        <v>37</v>
      </c>
      <c r="B370" s="8" t="str">
        <f>VLOOKUP(F370,[1]Sheet1!$B:$E,3,FALSE)</f>
        <v>徐从众</v>
      </c>
      <c r="C370" s="9" t="str">
        <f>VLOOKUP(F370,[1]Sheet1!$B:$E,4,FALSE)</f>
        <v>A</v>
      </c>
      <c r="D370" s="12" t="s">
        <v>757</v>
      </c>
      <c r="E370" s="12">
        <v>3.9</v>
      </c>
      <c r="F370" s="13">
        <v>25493658</v>
      </c>
      <c r="G370" s="8">
        <v>133</v>
      </c>
      <c r="H370" s="12">
        <v>150.12</v>
      </c>
      <c r="I370" s="8">
        <v>51.91</v>
      </c>
      <c r="J370" s="8">
        <v>37.53</v>
      </c>
      <c r="K370" s="8">
        <v>2768.71</v>
      </c>
      <c r="L370" s="8">
        <v>177</v>
      </c>
      <c r="M370" s="11">
        <v>0.0621</v>
      </c>
      <c r="N370" s="11">
        <v>0.3636</v>
      </c>
      <c r="O370" s="8">
        <v>4</v>
      </c>
      <c r="P370" s="8">
        <v>3866</v>
      </c>
      <c r="Q370" s="11">
        <v>0.0722</v>
      </c>
      <c r="R370" s="11">
        <v>0.276</v>
      </c>
      <c r="S370" s="8">
        <v>78</v>
      </c>
      <c r="T370" s="11">
        <v>0.0851</v>
      </c>
      <c r="U370" s="11">
        <v>0.22</v>
      </c>
      <c r="V370" s="11">
        <v>0.2041</v>
      </c>
      <c r="W370" s="11">
        <v>0.2772</v>
      </c>
      <c r="X370" s="8">
        <v>0</v>
      </c>
      <c r="Y370" s="8">
        <v>0</v>
      </c>
      <c r="Z370" s="8">
        <v>-0.01</v>
      </c>
      <c r="AA370" s="8">
        <v>0</v>
      </c>
      <c r="AB370" s="8">
        <v>0</v>
      </c>
      <c r="AC370" s="8">
        <v>1.33</v>
      </c>
      <c r="AD370" s="8">
        <v>0</v>
      </c>
      <c r="AE370" s="8">
        <v>0</v>
      </c>
      <c r="AF370" s="11">
        <v>0</v>
      </c>
      <c r="AG370" s="8">
        <v>0</v>
      </c>
      <c r="AH370" s="8">
        <v>0</v>
      </c>
      <c r="AI370" s="11">
        <v>0</v>
      </c>
      <c r="AJ370" s="8" t="s">
        <v>758</v>
      </c>
    </row>
    <row r="371" customFormat="1" ht="22" customHeight="1" spans="1:36">
      <c r="A371" s="8" t="s">
        <v>37</v>
      </c>
      <c r="B371" s="8" t="str">
        <f>VLOOKUP(F371,[1]Sheet1!$B:$E,3,FALSE)</f>
        <v>徐从众</v>
      </c>
      <c r="C371" s="9" t="str">
        <f>VLOOKUP(F371,[1]Sheet1!$B:$E,4,FALSE)</f>
        <v>S</v>
      </c>
      <c r="D371" s="8" t="s">
        <v>759</v>
      </c>
      <c r="E371" s="8">
        <v>4.4</v>
      </c>
      <c r="F371" s="10">
        <v>33217318</v>
      </c>
      <c r="G371" s="8">
        <v>90</v>
      </c>
      <c r="H371" s="12">
        <v>147.86</v>
      </c>
      <c r="I371" s="8">
        <v>54.05</v>
      </c>
      <c r="J371" s="8">
        <v>36.97</v>
      </c>
      <c r="K371" s="8">
        <v>4708.75</v>
      </c>
      <c r="L371" s="8">
        <v>208</v>
      </c>
      <c r="M371" s="11">
        <v>0.1346</v>
      </c>
      <c r="N371" s="11">
        <v>0.1429</v>
      </c>
      <c r="O371" s="8">
        <v>4</v>
      </c>
      <c r="P371" s="8">
        <v>3841</v>
      </c>
      <c r="Q371" s="11">
        <v>0.0937</v>
      </c>
      <c r="R371" s="11">
        <v>0.2278</v>
      </c>
      <c r="S371" s="8">
        <v>85</v>
      </c>
      <c r="T371" s="11">
        <v>0.1552</v>
      </c>
      <c r="U371" s="11">
        <v>0.2308</v>
      </c>
      <c r="V371" s="11">
        <v>0.2072</v>
      </c>
      <c r="W371" s="11">
        <v>0.2735</v>
      </c>
      <c r="X371" s="8">
        <v>2.95</v>
      </c>
      <c r="Y371" s="8">
        <v>5</v>
      </c>
      <c r="Z371" s="8">
        <v>0.59</v>
      </c>
      <c r="AA371" s="8">
        <v>2.95</v>
      </c>
      <c r="AB371" s="8">
        <v>2</v>
      </c>
      <c r="AC371" s="8">
        <v>2.31</v>
      </c>
      <c r="AD371" s="8">
        <v>2</v>
      </c>
      <c r="AE371" s="8">
        <v>2</v>
      </c>
      <c r="AF371" s="11">
        <v>1</v>
      </c>
      <c r="AG371" s="8">
        <v>0</v>
      </c>
      <c r="AH371" s="8">
        <v>0</v>
      </c>
      <c r="AI371" s="11">
        <v>0</v>
      </c>
      <c r="AJ371" s="8" t="s">
        <v>760</v>
      </c>
    </row>
    <row r="372" customFormat="1" ht="22" customHeight="1" spans="1:36">
      <c r="A372" s="8" t="s">
        <v>37</v>
      </c>
      <c r="B372" s="8" t="e">
        <f>VLOOKUP(F372,[1]Sheet1!$B:$E,3,FALSE)</f>
        <v>#N/A</v>
      </c>
      <c r="C372" s="8" t="e">
        <f>VLOOKUP(F372,[1]Sheet1!$B:$E,4,FALSE)</f>
        <v>#N/A</v>
      </c>
      <c r="D372" s="8" t="s">
        <v>761</v>
      </c>
      <c r="E372" s="8">
        <v>4.9</v>
      </c>
      <c r="F372" s="10">
        <v>32336330</v>
      </c>
      <c r="G372" s="8">
        <v>233</v>
      </c>
      <c r="H372" s="12">
        <v>146.08</v>
      </c>
      <c r="I372" s="8">
        <v>21.79</v>
      </c>
      <c r="J372" s="8">
        <v>12.17</v>
      </c>
      <c r="K372" s="8">
        <v>1869.42</v>
      </c>
      <c r="L372" s="8">
        <v>693</v>
      </c>
      <c r="M372" s="11">
        <v>0.0678</v>
      </c>
      <c r="N372" s="11">
        <v>0.234</v>
      </c>
      <c r="O372" s="8">
        <v>12</v>
      </c>
      <c r="P372" s="8">
        <v>1646</v>
      </c>
      <c r="Q372" s="11">
        <v>0.1069</v>
      </c>
      <c r="R372" s="11">
        <v>0.3466</v>
      </c>
      <c r="S372" s="8">
        <v>63</v>
      </c>
      <c r="T372" s="11">
        <v>0.208</v>
      </c>
      <c r="U372" s="11">
        <v>0.56</v>
      </c>
      <c r="V372" s="11">
        <v>0.2405</v>
      </c>
      <c r="W372" s="11">
        <v>0.3091</v>
      </c>
      <c r="X372" s="8">
        <v>0</v>
      </c>
      <c r="Y372" s="8">
        <v>0</v>
      </c>
      <c r="Z372" s="8">
        <v>-0.01</v>
      </c>
      <c r="AA372" s="8">
        <v>0</v>
      </c>
      <c r="AB372" s="8">
        <v>0</v>
      </c>
      <c r="AC372" s="8">
        <v>2.97</v>
      </c>
      <c r="AD372" s="8">
        <v>0</v>
      </c>
      <c r="AE372" s="8">
        <v>0</v>
      </c>
      <c r="AF372" s="11">
        <v>0</v>
      </c>
      <c r="AG372" s="8">
        <v>0</v>
      </c>
      <c r="AH372" s="8">
        <v>0</v>
      </c>
      <c r="AI372" s="11">
        <v>0</v>
      </c>
      <c r="AJ372" s="8" t="s">
        <v>762</v>
      </c>
    </row>
    <row r="373" customFormat="1" ht="22" customHeight="1" spans="1:36">
      <c r="A373" s="8" t="s">
        <v>37</v>
      </c>
      <c r="B373" s="8" t="e">
        <f>VLOOKUP(F373,[1]Sheet1!$B:$E,3,FALSE)</f>
        <v>#N/A</v>
      </c>
      <c r="C373" s="8" t="e">
        <f>VLOOKUP(F373,[1]Sheet1!$B:$E,4,FALSE)</f>
        <v>#N/A</v>
      </c>
      <c r="D373" s="12" t="s">
        <v>763</v>
      </c>
      <c r="E373" s="12">
        <v>4.2</v>
      </c>
      <c r="F373" s="13">
        <v>25623655</v>
      </c>
      <c r="G373" s="8">
        <v>310</v>
      </c>
      <c r="H373" s="12">
        <v>142.95</v>
      </c>
      <c r="I373" s="8">
        <v>29.59</v>
      </c>
      <c r="J373" s="8">
        <v>17.87</v>
      </c>
      <c r="K373" s="8">
        <v>7811.57</v>
      </c>
      <c r="L373" s="8">
        <v>778</v>
      </c>
      <c r="M373" s="11">
        <v>0.0951</v>
      </c>
      <c r="N373" s="11">
        <v>0.1081</v>
      </c>
      <c r="O373" s="8">
        <v>8</v>
      </c>
      <c r="P373" s="8">
        <v>7364</v>
      </c>
      <c r="Q373" s="11">
        <v>0.0789</v>
      </c>
      <c r="R373" s="11">
        <v>0.1928</v>
      </c>
      <c r="S373" s="8">
        <v>121</v>
      </c>
      <c r="T373" s="11">
        <v>0.0318</v>
      </c>
      <c r="U373" s="11">
        <v>0.15</v>
      </c>
      <c r="V373" s="11">
        <v>0.19</v>
      </c>
      <c r="W373" s="11">
        <v>0.2405</v>
      </c>
      <c r="X373" s="8">
        <v>13.48</v>
      </c>
      <c r="Y373" s="8">
        <v>14</v>
      </c>
      <c r="Z373" s="8">
        <v>0.96</v>
      </c>
      <c r="AA373" s="8">
        <v>13.48</v>
      </c>
      <c r="AB373" s="8">
        <v>9.43</v>
      </c>
      <c r="AC373" s="8">
        <v>2.51</v>
      </c>
      <c r="AD373" s="8">
        <v>0</v>
      </c>
      <c r="AE373" s="8">
        <v>0</v>
      </c>
      <c r="AF373" s="11">
        <v>0</v>
      </c>
      <c r="AG373" s="8">
        <v>0</v>
      </c>
      <c r="AH373" s="8">
        <v>0</v>
      </c>
      <c r="AI373" s="11">
        <v>0</v>
      </c>
      <c r="AJ373" s="8" t="s">
        <v>764</v>
      </c>
    </row>
    <row r="374" customFormat="1" ht="22" customHeight="1" spans="1:36">
      <c r="A374" s="8" t="s">
        <v>37</v>
      </c>
      <c r="B374" s="8" t="str">
        <f>VLOOKUP(F374,[1]Sheet1!$B:$E,3,FALSE)</f>
        <v>岳贝贝</v>
      </c>
      <c r="C374" s="8">
        <f>VLOOKUP(F374,[1]Sheet1!$B:$E,4,FALSE)</f>
        <v>0</v>
      </c>
      <c r="D374" s="8" t="s">
        <v>765</v>
      </c>
      <c r="E374" s="8">
        <v>4.5</v>
      </c>
      <c r="F374" s="10">
        <v>33065330</v>
      </c>
      <c r="G374" s="8">
        <v>304</v>
      </c>
      <c r="H374" s="12">
        <v>139.34</v>
      </c>
      <c r="I374" s="8">
        <v>31.93</v>
      </c>
      <c r="J374" s="8">
        <v>23.22</v>
      </c>
      <c r="K374" s="8">
        <v>4771.24</v>
      </c>
      <c r="L374" s="8">
        <v>1135</v>
      </c>
      <c r="M374" s="11">
        <v>0.1436</v>
      </c>
      <c r="N374" s="11">
        <v>0.0368</v>
      </c>
      <c r="O374" s="8">
        <v>6</v>
      </c>
      <c r="P374" s="8">
        <v>4260</v>
      </c>
      <c r="Q374" s="11">
        <v>0.0892</v>
      </c>
      <c r="R374" s="11">
        <v>0.2658</v>
      </c>
      <c r="S374" s="8">
        <v>105</v>
      </c>
      <c r="T374" s="11">
        <v>0.1192</v>
      </c>
      <c r="U374" s="11">
        <v>0</v>
      </c>
      <c r="V374" s="11">
        <v>0.2349</v>
      </c>
      <c r="W374" s="11">
        <v>0.3102</v>
      </c>
      <c r="X374" s="8">
        <v>0</v>
      </c>
      <c r="Y374" s="8">
        <v>0</v>
      </c>
      <c r="Z374" s="8">
        <v>-0.01</v>
      </c>
      <c r="AA374" s="8">
        <v>0</v>
      </c>
      <c r="AB374" s="8">
        <v>0</v>
      </c>
      <c r="AC374" s="8">
        <v>3.73</v>
      </c>
      <c r="AD374" s="8">
        <v>0</v>
      </c>
      <c r="AE374" s="8">
        <v>0</v>
      </c>
      <c r="AF374" s="11">
        <v>0</v>
      </c>
      <c r="AG374" s="8">
        <v>0</v>
      </c>
      <c r="AH374" s="8">
        <v>0</v>
      </c>
      <c r="AI374" s="11">
        <v>0</v>
      </c>
      <c r="AJ374" s="8" t="s">
        <v>766</v>
      </c>
    </row>
    <row r="375" customFormat="1" ht="22" customHeight="1" spans="1:36">
      <c r="A375" s="8" t="s">
        <v>37</v>
      </c>
      <c r="B375" s="8" t="str">
        <f>VLOOKUP(F375,[1]Sheet1!$B:$E,3,FALSE)</f>
        <v>徐从众</v>
      </c>
      <c r="C375" s="9" t="str">
        <f>VLOOKUP(F375,[1]Sheet1!$B:$E,4,FALSE)</f>
        <v>S</v>
      </c>
      <c r="D375" s="8" t="s">
        <v>767</v>
      </c>
      <c r="E375" s="8">
        <v>4.5</v>
      </c>
      <c r="F375" s="10">
        <v>22855583</v>
      </c>
      <c r="G375" s="8">
        <v>143</v>
      </c>
      <c r="H375" s="12">
        <v>134.8</v>
      </c>
      <c r="I375" s="8">
        <v>38.06</v>
      </c>
      <c r="J375" s="8">
        <v>26.96</v>
      </c>
      <c r="K375" s="8">
        <v>3678.39</v>
      </c>
      <c r="L375" s="8">
        <v>227</v>
      </c>
      <c r="M375" s="11">
        <v>0.1278</v>
      </c>
      <c r="N375" s="11">
        <v>0.1724</v>
      </c>
      <c r="O375" s="8">
        <v>5</v>
      </c>
      <c r="P375" s="8">
        <v>2765</v>
      </c>
      <c r="Q375" s="11">
        <v>0.0929</v>
      </c>
      <c r="R375" s="11">
        <v>0.214</v>
      </c>
      <c r="S375" s="8">
        <v>57</v>
      </c>
      <c r="T375" s="11">
        <v>0.1321</v>
      </c>
      <c r="U375" s="11">
        <v>0.3714</v>
      </c>
      <c r="V375" s="11">
        <v>0.1889</v>
      </c>
      <c r="W375" s="11">
        <v>0.2449</v>
      </c>
      <c r="X375" s="8">
        <v>0</v>
      </c>
      <c r="Y375" s="8">
        <v>0</v>
      </c>
      <c r="Z375" s="8">
        <v>-0.01</v>
      </c>
      <c r="AA375" s="8">
        <v>0</v>
      </c>
      <c r="AB375" s="8">
        <v>0</v>
      </c>
      <c r="AC375" s="8">
        <v>1.59</v>
      </c>
      <c r="AD375" s="8">
        <v>0</v>
      </c>
      <c r="AE375" s="8">
        <v>0</v>
      </c>
      <c r="AF375" s="11">
        <v>0</v>
      </c>
      <c r="AG375" s="8">
        <v>0</v>
      </c>
      <c r="AH375" s="8">
        <v>0</v>
      </c>
      <c r="AI375" s="11">
        <v>0</v>
      </c>
      <c r="AJ375" s="8" t="s">
        <v>768</v>
      </c>
    </row>
    <row r="376" customFormat="1" ht="22" customHeight="1" spans="1:36">
      <c r="A376" s="8" t="s">
        <v>37</v>
      </c>
      <c r="B376" s="8" t="str">
        <f>VLOOKUP(F376,[1]Sheet1!$B:$E,3,FALSE)</f>
        <v>刘欢</v>
      </c>
      <c r="C376" s="8" t="str">
        <f>VLOOKUP(F376,[1]Sheet1!$B:$E,4,FALSE)</f>
        <v>C</v>
      </c>
      <c r="D376" s="8" t="s">
        <v>769</v>
      </c>
      <c r="E376" s="8">
        <v>4.8</v>
      </c>
      <c r="F376" s="10">
        <v>33750216</v>
      </c>
      <c r="G376" s="8">
        <v>214</v>
      </c>
      <c r="H376" s="12">
        <v>134.77</v>
      </c>
      <c r="I376" s="8">
        <v>27.48</v>
      </c>
      <c r="J376" s="8">
        <v>14.97</v>
      </c>
      <c r="K376" s="8">
        <v>769.31</v>
      </c>
      <c r="L376" s="8">
        <v>864</v>
      </c>
      <c r="M376" s="11">
        <v>0.0613</v>
      </c>
      <c r="N376" s="11">
        <v>0.1509</v>
      </c>
      <c r="O376" s="8">
        <v>9</v>
      </c>
      <c r="P376" s="8">
        <v>1721</v>
      </c>
      <c r="Q376" s="11">
        <v>0.0581</v>
      </c>
      <c r="R376" s="11">
        <v>0.15</v>
      </c>
      <c r="S376" s="8">
        <v>15</v>
      </c>
      <c r="T376" s="11">
        <v>0.1131</v>
      </c>
      <c r="U376" s="11">
        <v>0.3333</v>
      </c>
      <c r="V376" s="11">
        <v>0.0252</v>
      </c>
      <c r="W376" s="11">
        <v>0.0769</v>
      </c>
      <c r="X376" s="8">
        <v>0</v>
      </c>
      <c r="Y376" s="8">
        <v>0</v>
      </c>
      <c r="Z376" s="8">
        <v>-0.01</v>
      </c>
      <c r="AA376" s="8">
        <v>0</v>
      </c>
      <c r="AB376" s="8">
        <v>0</v>
      </c>
      <c r="AC376" s="8">
        <v>4.04</v>
      </c>
      <c r="AD376" s="8">
        <v>2</v>
      </c>
      <c r="AE376" s="8">
        <v>2</v>
      </c>
      <c r="AF376" s="11">
        <v>1</v>
      </c>
      <c r="AG376" s="8">
        <v>0</v>
      </c>
      <c r="AH376" s="8">
        <v>0</v>
      </c>
      <c r="AI376" s="11">
        <v>0</v>
      </c>
      <c r="AJ376" s="8" t="s">
        <v>770</v>
      </c>
    </row>
    <row r="377" customFormat="1" ht="22" customHeight="1" spans="1:36">
      <c r="A377" s="8" t="s">
        <v>37</v>
      </c>
      <c r="B377" s="8" t="e">
        <f>VLOOKUP(F377,[1]Sheet1!$B:$E,3,FALSE)</f>
        <v>#N/A</v>
      </c>
      <c r="C377" s="8" t="e">
        <f>VLOOKUP(F377,[1]Sheet1!$B:$E,4,FALSE)</f>
        <v>#N/A</v>
      </c>
      <c r="D377" s="8" t="s">
        <v>771</v>
      </c>
      <c r="E377" s="8">
        <v>4.5</v>
      </c>
      <c r="F377" s="10">
        <v>33157179</v>
      </c>
      <c r="G377" s="8">
        <v>1526</v>
      </c>
      <c r="H377" s="12">
        <v>133.81</v>
      </c>
      <c r="I377" s="8">
        <v>24.38</v>
      </c>
      <c r="J377" s="8">
        <v>12.16</v>
      </c>
      <c r="K377" s="8">
        <v>3277.77</v>
      </c>
      <c r="L377" s="8">
        <v>1745</v>
      </c>
      <c r="M377" s="11">
        <v>0.051</v>
      </c>
      <c r="N377" s="11">
        <v>0.1236</v>
      </c>
      <c r="O377" s="8">
        <v>11</v>
      </c>
      <c r="P377" s="8">
        <v>3511</v>
      </c>
      <c r="Q377" s="11">
        <v>0.0931</v>
      </c>
      <c r="R377" s="11">
        <v>0.3364</v>
      </c>
      <c r="S377" s="8">
        <v>114</v>
      </c>
      <c r="T377" s="11">
        <v>0.1197</v>
      </c>
      <c r="U377" s="11">
        <v>0.5172</v>
      </c>
      <c r="V377" s="11">
        <v>0.2324</v>
      </c>
      <c r="W377" s="11">
        <v>0.3007</v>
      </c>
      <c r="X377" s="8">
        <v>58.76</v>
      </c>
      <c r="Y377" s="8">
        <v>54</v>
      </c>
      <c r="Z377" s="8">
        <v>1.09</v>
      </c>
      <c r="AA377" s="8">
        <v>58.76</v>
      </c>
      <c r="AB377" s="8">
        <v>43.91</v>
      </c>
      <c r="AC377" s="8">
        <v>1.14</v>
      </c>
      <c r="AD377" s="8">
        <v>3</v>
      </c>
      <c r="AE377" s="8">
        <v>3</v>
      </c>
      <c r="AF377" s="11">
        <v>1</v>
      </c>
      <c r="AG377" s="8">
        <v>0</v>
      </c>
      <c r="AH377" s="8">
        <v>0</v>
      </c>
      <c r="AI377" s="11">
        <v>0</v>
      </c>
      <c r="AJ377" s="8" t="s">
        <v>772</v>
      </c>
    </row>
    <row r="378" customFormat="1" ht="22" customHeight="1" spans="1:36">
      <c r="A378" s="8" t="s">
        <v>37</v>
      </c>
      <c r="B378" s="8" t="str">
        <f>VLOOKUP(F378,[1]Sheet1!$B:$E,3,FALSE)</f>
        <v>刘欢</v>
      </c>
      <c r="C378" s="9" t="str">
        <f>VLOOKUP(F378,[1]Sheet1!$B:$E,4,FALSE)</f>
        <v>A</v>
      </c>
      <c r="D378" s="8" t="s">
        <v>773</v>
      </c>
      <c r="E378" s="8">
        <v>4.6</v>
      </c>
      <c r="F378" s="10">
        <v>33904676</v>
      </c>
      <c r="G378" s="8">
        <v>302</v>
      </c>
      <c r="H378" s="12">
        <v>131.41</v>
      </c>
      <c r="I378" s="8">
        <v>38.7</v>
      </c>
      <c r="J378" s="8">
        <v>32.85</v>
      </c>
      <c r="K378" s="8">
        <v>1922.65</v>
      </c>
      <c r="L378" s="8">
        <v>657</v>
      </c>
      <c r="M378" s="11">
        <v>0.0502</v>
      </c>
      <c r="N378" s="11">
        <v>0.1212</v>
      </c>
      <c r="O378" s="8">
        <v>4</v>
      </c>
      <c r="P378" s="8">
        <v>1759</v>
      </c>
      <c r="Q378" s="11">
        <v>0.1137</v>
      </c>
      <c r="R378" s="11">
        <v>0.31</v>
      </c>
      <c r="S378" s="8">
        <v>64</v>
      </c>
      <c r="T378" s="11">
        <v>0.15</v>
      </c>
      <c r="U378" s="11">
        <v>0.2222</v>
      </c>
      <c r="V378" s="11">
        <v>0.2488</v>
      </c>
      <c r="W378" s="11">
        <v>0.3123</v>
      </c>
      <c r="X378" s="8">
        <v>0</v>
      </c>
      <c r="Y378" s="8">
        <v>0</v>
      </c>
      <c r="Z378" s="8">
        <v>-0.01</v>
      </c>
      <c r="AA378" s="8">
        <v>0</v>
      </c>
      <c r="AB378" s="8">
        <v>0</v>
      </c>
      <c r="AC378" s="8">
        <v>2.18</v>
      </c>
      <c r="AD378" s="8">
        <v>0</v>
      </c>
      <c r="AE378" s="8">
        <v>0</v>
      </c>
      <c r="AF378" s="11">
        <v>0</v>
      </c>
      <c r="AG378" s="8">
        <v>0</v>
      </c>
      <c r="AH378" s="8">
        <v>0</v>
      </c>
      <c r="AI378" s="11">
        <v>0</v>
      </c>
      <c r="AJ378" s="8" t="s">
        <v>774</v>
      </c>
    </row>
    <row r="379" customFormat="1" ht="22" customHeight="1" spans="1:36">
      <c r="A379" s="8" t="s">
        <v>37</v>
      </c>
      <c r="B379" s="8" t="e">
        <f>VLOOKUP(F379,[1]Sheet1!$B:$E,3,FALSE)</f>
        <v>#N/A</v>
      </c>
      <c r="C379" s="8" t="e">
        <f>VLOOKUP(F379,[1]Sheet1!$B:$E,4,FALSE)</f>
        <v>#N/A</v>
      </c>
      <c r="D379" s="8" t="s">
        <v>775</v>
      </c>
      <c r="E379" s="8">
        <v>4.8</v>
      </c>
      <c r="F379" s="10">
        <v>34067460</v>
      </c>
      <c r="G379" s="8">
        <v>105</v>
      </c>
      <c r="H379" s="12">
        <v>129.65</v>
      </c>
      <c r="I379" s="8">
        <v>19.48</v>
      </c>
      <c r="J379" s="8">
        <v>12.96</v>
      </c>
      <c r="K379" s="8">
        <v>2463.85</v>
      </c>
      <c r="L379" s="8">
        <v>919</v>
      </c>
      <c r="M379" s="11">
        <v>0.0947</v>
      </c>
      <c r="N379" s="11">
        <v>0.1034</v>
      </c>
      <c r="O379" s="8">
        <v>10</v>
      </c>
      <c r="P379" s="8">
        <v>3992</v>
      </c>
      <c r="Q379" s="11">
        <v>0.0736</v>
      </c>
      <c r="R379" s="11">
        <v>0.2823</v>
      </c>
      <c r="S379" s="8">
        <v>85</v>
      </c>
      <c r="T379" s="11">
        <v>0.0638</v>
      </c>
      <c r="U379" s="11">
        <v>0</v>
      </c>
      <c r="V379" s="11">
        <v>0.1903</v>
      </c>
      <c r="W379" s="11">
        <v>0.2907</v>
      </c>
      <c r="X379" s="8">
        <v>10.9</v>
      </c>
      <c r="Y379" s="8">
        <v>19</v>
      </c>
      <c r="Z379" s="8">
        <v>0.57</v>
      </c>
      <c r="AA379" s="8">
        <v>10.9</v>
      </c>
      <c r="AB379" s="8">
        <v>8.41</v>
      </c>
      <c r="AC379" s="8">
        <v>8.75</v>
      </c>
      <c r="AD379" s="8">
        <v>0</v>
      </c>
      <c r="AE379" s="8">
        <v>0</v>
      </c>
      <c r="AF379" s="11">
        <v>0</v>
      </c>
      <c r="AG379" s="8">
        <v>0</v>
      </c>
      <c r="AH379" s="8">
        <v>0</v>
      </c>
      <c r="AI379" s="11">
        <v>0</v>
      </c>
      <c r="AJ379" s="8" t="s">
        <v>776</v>
      </c>
    </row>
    <row r="380" customFormat="1" ht="22" customHeight="1" spans="1:36">
      <c r="A380" s="8" t="s">
        <v>37</v>
      </c>
      <c r="B380" s="8" t="e">
        <f>VLOOKUP(F380,[1]Sheet1!$B:$E,3,FALSE)</f>
        <v>#N/A</v>
      </c>
      <c r="C380" s="8" t="e">
        <f>VLOOKUP(F380,[1]Sheet1!$B:$E,4,FALSE)</f>
        <v>#N/A</v>
      </c>
      <c r="D380" s="8" t="s">
        <v>777</v>
      </c>
      <c r="E380" s="8">
        <v>4.6</v>
      </c>
      <c r="F380" s="10">
        <v>33553428</v>
      </c>
      <c r="G380" s="8">
        <v>197</v>
      </c>
      <c r="H380" s="12">
        <v>129.12</v>
      </c>
      <c r="I380" s="8">
        <v>27.97</v>
      </c>
      <c r="J380" s="8">
        <v>21.52</v>
      </c>
      <c r="K380" s="8">
        <v>3514.98</v>
      </c>
      <c r="L380" s="8">
        <v>414</v>
      </c>
      <c r="M380" s="11">
        <v>0.0942</v>
      </c>
      <c r="N380" s="11">
        <v>0.1538</v>
      </c>
      <c r="O380" s="8">
        <v>6</v>
      </c>
      <c r="P380" s="8">
        <v>3866</v>
      </c>
      <c r="Q380" s="11">
        <v>0.0846</v>
      </c>
      <c r="R380" s="11">
        <v>0.3425</v>
      </c>
      <c r="S380" s="8">
        <v>115</v>
      </c>
      <c r="T380" s="11">
        <v>0.0909</v>
      </c>
      <c r="U380" s="11">
        <v>0.3684</v>
      </c>
      <c r="V380" s="11">
        <v>0.1835</v>
      </c>
      <c r="W380" s="11">
        <v>0.2622</v>
      </c>
      <c r="X380" s="8">
        <v>0</v>
      </c>
      <c r="Y380" s="8">
        <v>0</v>
      </c>
      <c r="Z380" s="8">
        <v>-0.01</v>
      </c>
      <c r="AA380" s="8">
        <v>0</v>
      </c>
      <c r="AB380" s="8">
        <v>0</v>
      </c>
      <c r="AC380" s="8">
        <v>2.1</v>
      </c>
      <c r="AD380" s="8">
        <v>0</v>
      </c>
      <c r="AE380" s="8">
        <v>0</v>
      </c>
      <c r="AF380" s="11">
        <v>0</v>
      </c>
      <c r="AG380" s="8">
        <v>0</v>
      </c>
      <c r="AH380" s="8">
        <v>0</v>
      </c>
      <c r="AI380" s="11">
        <v>0</v>
      </c>
      <c r="AJ380" s="8" t="s">
        <v>778</v>
      </c>
    </row>
    <row r="381" customFormat="1" ht="22" customHeight="1" spans="1:36">
      <c r="A381" s="8" t="s">
        <v>37</v>
      </c>
      <c r="B381" s="8" t="str">
        <f>VLOOKUP(F381,[1]Sheet1!$B:$E,3,FALSE)</f>
        <v>徐从众</v>
      </c>
      <c r="C381" s="9" t="str">
        <f>VLOOKUP(F381,[1]Sheet1!$B:$E,4,FALSE)</f>
        <v>S</v>
      </c>
      <c r="D381" s="8" t="s">
        <v>779</v>
      </c>
      <c r="E381" s="8">
        <v>4.9</v>
      </c>
      <c r="F381" s="10">
        <v>27917483</v>
      </c>
      <c r="G381" s="8">
        <v>163</v>
      </c>
      <c r="H381" s="12">
        <v>124.71</v>
      </c>
      <c r="I381" s="8">
        <v>56.75</v>
      </c>
      <c r="J381" s="8">
        <v>41.57</v>
      </c>
      <c r="K381" s="8">
        <v>878.42</v>
      </c>
      <c r="L381" s="8">
        <v>252</v>
      </c>
      <c r="M381" s="11">
        <v>0.0833</v>
      </c>
      <c r="N381" s="11">
        <v>0.1429</v>
      </c>
      <c r="O381" s="8">
        <v>3</v>
      </c>
      <c r="P381" s="8">
        <v>1607</v>
      </c>
      <c r="Q381" s="11">
        <v>0.0859</v>
      </c>
      <c r="R381" s="11">
        <v>0.2899</v>
      </c>
      <c r="S381" s="8">
        <v>41</v>
      </c>
      <c r="T381" s="11">
        <v>0.1429</v>
      </c>
      <c r="U381" s="11">
        <v>0.2545</v>
      </c>
      <c r="V381" s="11">
        <v>0.1996</v>
      </c>
      <c r="W381" s="11">
        <v>0.2905</v>
      </c>
      <c r="X381" s="8">
        <v>0</v>
      </c>
      <c r="Y381" s="8">
        <v>0</v>
      </c>
      <c r="Z381" s="8">
        <v>-0.01</v>
      </c>
      <c r="AA381" s="8">
        <v>0</v>
      </c>
      <c r="AB381" s="8">
        <v>0</v>
      </c>
      <c r="AC381" s="8">
        <v>1.55</v>
      </c>
      <c r="AD381" s="8">
        <v>0</v>
      </c>
      <c r="AE381" s="8">
        <v>0</v>
      </c>
      <c r="AF381" s="11">
        <v>0</v>
      </c>
      <c r="AG381" s="8">
        <v>0</v>
      </c>
      <c r="AH381" s="8">
        <v>0</v>
      </c>
      <c r="AI381" s="11">
        <v>0</v>
      </c>
      <c r="AJ381" s="8" t="s">
        <v>780</v>
      </c>
    </row>
    <row r="382" customFormat="1" ht="22" customHeight="1" spans="1:36">
      <c r="A382" s="8" t="s">
        <v>37</v>
      </c>
      <c r="B382" s="8" t="str">
        <f>VLOOKUP(F382,[1]Sheet1!$B:$E,3,FALSE)</f>
        <v>岳贝贝</v>
      </c>
      <c r="C382" s="8" t="str">
        <f>VLOOKUP(F382,[1]Sheet1!$B:$E,4,FALSE)</f>
        <v>B</v>
      </c>
      <c r="D382" s="8" t="s">
        <v>781</v>
      </c>
      <c r="E382" s="8">
        <v>4.6</v>
      </c>
      <c r="F382" s="10">
        <v>33632881</v>
      </c>
      <c r="G382" s="8">
        <v>339</v>
      </c>
      <c r="H382" s="12">
        <v>121.02</v>
      </c>
      <c r="I382" s="8">
        <v>23.18</v>
      </c>
      <c r="J382" s="8">
        <v>13.45</v>
      </c>
      <c r="K382" s="8">
        <v>3957.41</v>
      </c>
      <c r="L382" s="8">
        <v>263</v>
      </c>
      <c r="M382" s="11">
        <v>0.0646</v>
      </c>
      <c r="N382" s="11">
        <v>0.5294</v>
      </c>
      <c r="O382" s="8">
        <v>9</v>
      </c>
      <c r="P382" s="8">
        <v>5562</v>
      </c>
      <c r="Q382" s="11">
        <v>0.0759</v>
      </c>
      <c r="R382" s="11">
        <v>0.3768</v>
      </c>
      <c r="S382" s="8">
        <v>165</v>
      </c>
      <c r="T382" s="11">
        <v>0.0744</v>
      </c>
      <c r="U382" s="11">
        <v>0.381</v>
      </c>
      <c r="V382" s="11">
        <v>0.2086</v>
      </c>
      <c r="W382" s="11">
        <v>0.312</v>
      </c>
      <c r="X382" s="8">
        <v>0</v>
      </c>
      <c r="Y382" s="8">
        <v>0</v>
      </c>
      <c r="Z382" s="8">
        <v>-0.01</v>
      </c>
      <c r="AA382" s="8">
        <v>0</v>
      </c>
      <c r="AB382" s="8">
        <v>0</v>
      </c>
      <c r="AC382" s="8">
        <v>0.78</v>
      </c>
      <c r="AD382" s="8">
        <v>0</v>
      </c>
      <c r="AE382" s="8">
        <v>0</v>
      </c>
      <c r="AF382" s="11">
        <v>0</v>
      </c>
      <c r="AG382" s="8">
        <v>0</v>
      </c>
      <c r="AH382" s="8">
        <v>0</v>
      </c>
      <c r="AI382" s="11">
        <v>0</v>
      </c>
      <c r="AJ382" s="8" t="s">
        <v>782</v>
      </c>
    </row>
    <row r="383" customFormat="1" ht="22" customHeight="1" spans="1:36">
      <c r="A383" s="8" t="s">
        <v>37</v>
      </c>
      <c r="B383" s="8" t="str">
        <f>VLOOKUP(F383,[1]Sheet1!$B:$E,3,FALSE)</f>
        <v>刘欢</v>
      </c>
      <c r="C383" s="8" t="str">
        <f>VLOOKUP(F383,[1]Sheet1!$B:$E,4,FALSE)</f>
        <v>C</v>
      </c>
      <c r="D383" s="12" t="s">
        <v>783</v>
      </c>
      <c r="E383" s="12">
        <v>4.3</v>
      </c>
      <c r="F383" s="13">
        <v>2405613</v>
      </c>
      <c r="G383" s="8">
        <v>272</v>
      </c>
      <c r="H383" s="12">
        <v>113.8</v>
      </c>
      <c r="I383" s="8">
        <v>59.3</v>
      </c>
      <c r="J383" s="8">
        <v>37.93</v>
      </c>
      <c r="K383" s="8">
        <v>2727.85</v>
      </c>
      <c r="L383" s="8">
        <v>232</v>
      </c>
      <c r="M383" s="11">
        <v>0.0647</v>
      </c>
      <c r="N383" s="11">
        <v>0.2</v>
      </c>
      <c r="O383" s="8">
        <v>3</v>
      </c>
      <c r="P383" s="8">
        <v>3764</v>
      </c>
      <c r="Q383" s="11">
        <v>0.0784</v>
      </c>
      <c r="R383" s="11">
        <v>0.3797</v>
      </c>
      <c r="S383" s="8">
        <v>116</v>
      </c>
      <c r="T383" s="11">
        <v>0.0989</v>
      </c>
      <c r="U383" s="11">
        <v>0.3585</v>
      </c>
      <c r="V383" s="11">
        <v>0.2539</v>
      </c>
      <c r="W383" s="11">
        <v>0.3345</v>
      </c>
      <c r="X383" s="8">
        <v>0</v>
      </c>
      <c r="Y383" s="8">
        <v>0</v>
      </c>
      <c r="Z383" s="8">
        <v>-0.01</v>
      </c>
      <c r="AA383" s="8">
        <v>0</v>
      </c>
      <c r="AB383" s="8">
        <v>0</v>
      </c>
      <c r="AC383" s="8">
        <v>0.85</v>
      </c>
      <c r="AD383" s="8">
        <v>0</v>
      </c>
      <c r="AE383" s="8">
        <v>0</v>
      </c>
      <c r="AF383" s="11">
        <v>0</v>
      </c>
      <c r="AG383" s="8">
        <v>0</v>
      </c>
      <c r="AH383" s="8">
        <v>0</v>
      </c>
      <c r="AI383" s="11">
        <v>0</v>
      </c>
      <c r="AJ383" s="8" t="s">
        <v>784</v>
      </c>
    </row>
    <row r="384" customFormat="1" ht="22" customHeight="1" spans="1:36">
      <c r="A384" s="8" t="s">
        <v>37</v>
      </c>
      <c r="B384" s="8" t="e">
        <f>VLOOKUP(F384,[1]Sheet1!$B:$E,3,FALSE)</f>
        <v>#N/A</v>
      </c>
      <c r="C384" s="8" t="e">
        <f>VLOOKUP(F384,[1]Sheet1!$B:$E,4,FALSE)</f>
        <v>#N/A</v>
      </c>
      <c r="D384" s="12" t="s">
        <v>785</v>
      </c>
      <c r="E384" s="12">
        <v>3.9</v>
      </c>
      <c r="F384" s="13">
        <v>29817730</v>
      </c>
      <c r="G384" s="8">
        <v>151</v>
      </c>
      <c r="H384" s="12">
        <v>105.43</v>
      </c>
      <c r="I384" s="8">
        <v>28.21</v>
      </c>
      <c r="J384" s="8">
        <v>21.09</v>
      </c>
      <c r="K384" s="8">
        <v>2358.54</v>
      </c>
      <c r="L384" s="8">
        <v>543</v>
      </c>
      <c r="M384" s="11">
        <v>0.07</v>
      </c>
      <c r="N384" s="11">
        <v>0.1316</v>
      </c>
      <c r="O384" s="8">
        <v>5</v>
      </c>
      <c r="P384" s="8">
        <v>2247</v>
      </c>
      <c r="Q384" s="11">
        <v>0.1024</v>
      </c>
      <c r="R384" s="11">
        <v>0.3565</v>
      </c>
      <c r="S384" s="8">
        <v>85</v>
      </c>
      <c r="T384" s="11">
        <v>0.092</v>
      </c>
      <c r="U384" s="11">
        <v>0.1944</v>
      </c>
      <c r="V384" s="11">
        <v>0.2603</v>
      </c>
      <c r="W384" s="11">
        <v>0.343</v>
      </c>
      <c r="X384" s="8">
        <v>0.69</v>
      </c>
      <c r="Y384" s="8">
        <v>1</v>
      </c>
      <c r="Z384" s="8">
        <v>0.69</v>
      </c>
      <c r="AA384" s="8">
        <v>0.69</v>
      </c>
      <c r="AB384" s="8">
        <v>0.65</v>
      </c>
      <c r="AC384" s="8">
        <v>3.6</v>
      </c>
      <c r="AD384" s="8">
        <v>0</v>
      </c>
      <c r="AE384" s="8">
        <v>0</v>
      </c>
      <c r="AF384" s="11">
        <v>0</v>
      </c>
      <c r="AG384" s="8">
        <v>0</v>
      </c>
      <c r="AH384" s="8">
        <v>0</v>
      </c>
      <c r="AI384" s="11">
        <v>0</v>
      </c>
      <c r="AJ384" s="8" t="s">
        <v>786</v>
      </c>
    </row>
    <row r="385" customFormat="1" ht="22" customHeight="1" spans="1:36">
      <c r="A385" s="8" t="s">
        <v>37</v>
      </c>
      <c r="B385" s="8" t="e">
        <f>VLOOKUP(F385,[1]Sheet1!$B:$E,3,FALSE)</f>
        <v>#N/A</v>
      </c>
      <c r="C385" s="8" t="e">
        <f>VLOOKUP(F385,[1]Sheet1!$B:$E,4,FALSE)</f>
        <v>#N/A</v>
      </c>
      <c r="D385" s="8" t="s">
        <v>787</v>
      </c>
      <c r="E385" s="8">
        <v>4.8</v>
      </c>
      <c r="F385" s="10">
        <v>34034930</v>
      </c>
      <c r="G385" s="8">
        <v>208</v>
      </c>
      <c r="H385" s="12">
        <v>104.77</v>
      </c>
      <c r="I385" s="8">
        <v>12.85</v>
      </c>
      <c r="J385" s="8">
        <v>4.76</v>
      </c>
      <c r="K385" s="8">
        <v>1300.07</v>
      </c>
      <c r="L385" s="8">
        <v>1717</v>
      </c>
      <c r="M385" s="11">
        <v>0.0419</v>
      </c>
      <c r="N385" s="11">
        <v>0.2222</v>
      </c>
      <c r="O385" s="8">
        <v>22</v>
      </c>
      <c r="P385" s="8">
        <v>1689</v>
      </c>
      <c r="Q385" s="11">
        <v>0.1089</v>
      </c>
      <c r="R385" s="11">
        <v>0.3098</v>
      </c>
      <c r="S385" s="8">
        <v>60</v>
      </c>
      <c r="T385" s="11">
        <v>0.1491</v>
      </c>
      <c r="U385" s="11">
        <v>0</v>
      </c>
      <c r="V385" s="11">
        <v>0.2579</v>
      </c>
      <c r="W385" s="11">
        <v>0.3546</v>
      </c>
      <c r="X385" s="8">
        <v>2.28</v>
      </c>
      <c r="Y385" s="8">
        <v>7</v>
      </c>
      <c r="Z385" s="8">
        <v>0.33</v>
      </c>
      <c r="AA385" s="8">
        <v>2.28</v>
      </c>
      <c r="AB385" s="8">
        <v>2.18</v>
      </c>
      <c r="AC385" s="8">
        <v>8.25</v>
      </c>
      <c r="AD385" s="8">
        <v>0</v>
      </c>
      <c r="AE385" s="8">
        <v>0</v>
      </c>
      <c r="AF385" s="11">
        <v>0</v>
      </c>
      <c r="AG385" s="8">
        <v>0</v>
      </c>
      <c r="AH385" s="8">
        <v>0</v>
      </c>
      <c r="AI385" s="11">
        <v>0</v>
      </c>
      <c r="AJ385" s="8" t="s">
        <v>788</v>
      </c>
    </row>
    <row r="386" customFormat="1" ht="22" customHeight="1" spans="1:36">
      <c r="A386" s="8" t="s">
        <v>37</v>
      </c>
      <c r="B386" s="8" t="str">
        <f>VLOOKUP(F386,[1]Sheet1!$B:$E,3,FALSE)</f>
        <v>王森</v>
      </c>
      <c r="C386" s="8">
        <f>VLOOKUP(F386,[1]Sheet1!$B:$E,4,FALSE)</f>
        <v>0</v>
      </c>
      <c r="D386" s="12" t="s">
        <v>789</v>
      </c>
      <c r="E386" s="12">
        <v>0</v>
      </c>
      <c r="F386" s="13">
        <v>28083067</v>
      </c>
      <c r="G386" s="8">
        <v>102</v>
      </c>
      <c r="H386" s="12">
        <v>102.72</v>
      </c>
      <c r="I386" s="8">
        <v>30.62</v>
      </c>
      <c r="J386" s="8">
        <v>20.54</v>
      </c>
      <c r="K386" s="8">
        <v>2494.88</v>
      </c>
      <c r="L386" s="8">
        <v>476</v>
      </c>
      <c r="M386" s="11">
        <v>0.0378</v>
      </c>
      <c r="N386" s="11">
        <v>0.2778</v>
      </c>
      <c r="O386" s="8">
        <v>5</v>
      </c>
      <c r="P386" s="8">
        <v>3709</v>
      </c>
      <c r="Q386" s="11">
        <v>0.0803</v>
      </c>
      <c r="R386" s="11">
        <v>0.2886</v>
      </c>
      <c r="S386" s="8">
        <v>89</v>
      </c>
      <c r="T386" s="11">
        <v>0.0556</v>
      </c>
      <c r="U386" s="11">
        <v>0.2553</v>
      </c>
      <c r="V386" s="11">
        <v>0.1984</v>
      </c>
      <c r="W386" s="11">
        <v>0.298</v>
      </c>
      <c r="X386" s="8">
        <v>0</v>
      </c>
      <c r="Y386" s="8">
        <v>0</v>
      </c>
      <c r="Z386" s="8">
        <v>-0.01</v>
      </c>
      <c r="AA386" s="8">
        <v>0</v>
      </c>
      <c r="AB386" s="8">
        <v>0</v>
      </c>
      <c r="AC386" s="8">
        <v>4.67</v>
      </c>
      <c r="AD386" s="8">
        <v>0</v>
      </c>
      <c r="AE386" s="8">
        <v>0</v>
      </c>
      <c r="AF386" s="11">
        <v>0</v>
      </c>
      <c r="AG386" s="8">
        <v>0</v>
      </c>
      <c r="AH386" s="8">
        <v>0</v>
      </c>
      <c r="AI386" s="11">
        <v>0</v>
      </c>
      <c r="AJ386" s="8" t="s">
        <v>790</v>
      </c>
    </row>
    <row r="387" customFormat="1" ht="22" customHeight="1" spans="1:36">
      <c r="A387" s="8" t="s">
        <v>37</v>
      </c>
      <c r="B387" s="8" t="str">
        <f>VLOOKUP(F387,[1]Sheet1!$B:$E,3,FALSE)</f>
        <v>岳贝贝</v>
      </c>
      <c r="C387" s="8" t="str">
        <f>VLOOKUP(F387,[1]Sheet1!$B:$E,4,FALSE)</f>
        <v>B</v>
      </c>
      <c r="D387" s="8" t="s">
        <v>791</v>
      </c>
      <c r="E387" s="8">
        <v>4.5</v>
      </c>
      <c r="F387" s="10">
        <v>33967571</v>
      </c>
      <c r="G387" s="8">
        <v>341</v>
      </c>
      <c r="H387" s="12">
        <v>98.45</v>
      </c>
      <c r="I387" s="8">
        <v>36.7</v>
      </c>
      <c r="J387" s="8">
        <v>24.61</v>
      </c>
      <c r="K387" s="8">
        <v>4593.32</v>
      </c>
      <c r="L387" s="8">
        <v>981</v>
      </c>
      <c r="M387" s="11">
        <v>0.0673</v>
      </c>
      <c r="N387" s="11">
        <v>0.0606</v>
      </c>
      <c r="O387" s="8">
        <v>4</v>
      </c>
      <c r="P387" s="8">
        <v>5385</v>
      </c>
      <c r="Q387" s="11">
        <v>0.0825</v>
      </c>
      <c r="R387" s="11">
        <v>0.3694</v>
      </c>
      <c r="S387" s="8">
        <v>167</v>
      </c>
      <c r="T387" s="11">
        <v>0.0933</v>
      </c>
      <c r="U387" s="11">
        <v>0</v>
      </c>
      <c r="V387" s="11">
        <v>0.2021</v>
      </c>
      <c r="W387" s="11">
        <v>0.3208</v>
      </c>
      <c r="X387" s="8">
        <v>48.17</v>
      </c>
      <c r="Y387" s="8">
        <v>40</v>
      </c>
      <c r="Z387" s="8">
        <v>1.2</v>
      </c>
      <c r="AA387" s="8">
        <v>48.17</v>
      </c>
      <c r="AB387" s="8">
        <v>48.93</v>
      </c>
      <c r="AC387" s="8">
        <v>2.88</v>
      </c>
      <c r="AD387" s="8">
        <v>0</v>
      </c>
      <c r="AE387" s="8">
        <v>0</v>
      </c>
      <c r="AF387" s="11">
        <v>0</v>
      </c>
      <c r="AG387" s="8">
        <v>0</v>
      </c>
      <c r="AH387" s="8">
        <v>0</v>
      </c>
      <c r="AI387" s="11">
        <v>0</v>
      </c>
      <c r="AJ387" s="8" t="s">
        <v>792</v>
      </c>
    </row>
    <row r="388" customFormat="1" ht="22" customHeight="1" spans="1:36">
      <c r="A388" s="8" t="s">
        <v>37</v>
      </c>
      <c r="B388" s="8" t="e">
        <f>VLOOKUP(F388,[1]Sheet1!$B:$E,3,FALSE)</f>
        <v>#N/A</v>
      </c>
      <c r="C388" s="8" t="e">
        <f>VLOOKUP(F388,[1]Sheet1!$B:$E,4,FALSE)</f>
        <v>#N/A</v>
      </c>
      <c r="D388" s="8" t="s">
        <v>793</v>
      </c>
      <c r="E388" s="8">
        <v>4.7</v>
      </c>
      <c r="F388" s="10">
        <v>32426169</v>
      </c>
      <c r="G388" s="8">
        <v>137</v>
      </c>
      <c r="H388" s="12">
        <v>96.5</v>
      </c>
      <c r="I388" s="8">
        <v>23.82</v>
      </c>
      <c r="J388" s="8">
        <v>16.08</v>
      </c>
      <c r="K388" s="8">
        <v>3468.57</v>
      </c>
      <c r="L388" s="8">
        <v>211</v>
      </c>
      <c r="M388" s="11">
        <v>0.0853</v>
      </c>
      <c r="N388" s="11">
        <v>0.3333</v>
      </c>
      <c r="O388" s="8">
        <v>6</v>
      </c>
      <c r="P388" s="8">
        <v>4946</v>
      </c>
      <c r="Q388" s="11">
        <v>0.0833</v>
      </c>
      <c r="R388" s="11">
        <v>0.2913</v>
      </c>
      <c r="S388" s="8">
        <v>122</v>
      </c>
      <c r="T388" s="11">
        <v>0.1667</v>
      </c>
      <c r="U388" s="11">
        <v>0.4737</v>
      </c>
      <c r="V388" s="11">
        <v>0.211</v>
      </c>
      <c r="W388" s="11">
        <v>0.2779</v>
      </c>
      <c r="X388" s="8">
        <v>4.18</v>
      </c>
      <c r="Y388" s="8">
        <v>6</v>
      </c>
      <c r="Z388" s="8">
        <v>0.7</v>
      </c>
      <c r="AA388" s="8">
        <v>4.18</v>
      </c>
      <c r="AB388" s="8">
        <v>4.33</v>
      </c>
      <c r="AC388" s="8">
        <v>1.54</v>
      </c>
      <c r="AD388" s="8">
        <v>0</v>
      </c>
      <c r="AE388" s="8">
        <v>0</v>
      </c>
      <c r="AF388" s="11">
        <v>0</v>
      </c>
      <c r="AG388" s="8">
        <v>0</v>
      </c>
      <c r="AH388" s="8">
        <v>0</v>
      </c>
      <c r="AI388" s="11">
        <v>0</v>
      </c>
      <c r="AJ388" s="8" t="s">
        <v>794</v>
      </c>
    </row>
    <row r="389" customFormat="1" ht="22" customHeight="1" spans="1:36">
      <c r="A389" s="8" t="s">
        <v>37</v>
      </c>
      <c r="B389" s="8" t="str">
        <f>VLOOKUP(F389,[1]Sheet1!$B:$E,3,FALSE)</f>
        <v>王森</v>
      </c>
      <c r="C389" s="9" t="str">
        <f>VLOOKUP(F389,[1]Sheet1!$B:$E,4,FALSE)</f>
        <v>A</v>
      </c>
      <c r="D389" s="8" t="s">
        <v>795</v>
      </c>
      <c r="E389" s="8">
        <v>4.5</v>
      </c>
      <c r="F389" s="10">
        <v>33299214</v>
      </c>
      <c r="G389" s="8">
        <v>54</v>
      </c>
      <c r="H389" s="12">
        <v>95.21</v>
      </c>
      <c r="I389" s="8">
        <v>60.24</v>
      </c>
      <c r="J389" s="8">
        <v>47.6</v>
      </c>
      <c r="K389" s="8">
        <v>4593.32</v>
      </c>
      <c r="L389" s="8">
        <v>191</v>
      </c>
      <c r="M389" s="11">
        <v>0.0366</v>
      </c>
      <c r="N389" s="11">
        <v>0.2857</v>
      </c>
      <c r="O389" s="8">
        <v>2</v>
      </c>
      <c r="P389" s="8">
        <v>5385</v>
      </c>
      <c r="Q389" s="11">
        <v>0.0825</v>
      </c>
      <c r="R389" s="11">
        <v>0.3694</v>
      </c>
      <c r="S389" s="8">
        <v>167</v>
      </c>
      <c r="T389" s="11">
        <v>0.1923</v>
      </c>
      <c r="U389" s="11">
        <v>0.5</v>
      </c>
      <c r="V389" s="11">
        <v>0.2021</v>
      </c>
      <c r="W389" s="11">
        <v>0.3208</v>
      </c>
      <c r="X389" s="8">
        <v>0</v>
      </c>
      <c r="Y389" s="8">
        <v>0</v>
      </c>
      <c r="Z389" s="8">
        <v>-0.01</v>
      </c>
      <c r="AA389" s="8">
        <v>0</v>
      </c>
      <c r="AB389" s="8">
        <v>0</v>
      </c>
      <c r="AC389" s="8">
        <v>3.54</v>
      </c>
      <c r="AD389" s="8">
        <v>0</v>
      </c>
      <c r="AE389" s="8">
        <v>0</v>
      </c>
      <c r="AF389" s="11">
        <v>0</v>
      </c>
      <c r="AG389" s="8">
        <v>0</v>
      </c>
      <c r="AH389" s="8">
        <v>0</v>
      </c>
      <c r="AI389" s="11">
        <v>0</v>
      </c>
      <c r="AJ389" s="8" t="s">
        <v>796</v>
      </c>
    </row>
    <row r="390" customFormat="1" ht="22" customHeight="1" spans="1:36">
      <c r="A390" s="8" t="s">
        <v>37</v>
      </c>
      <c r="B390" s="8" t="e">
        <f>VLOOKUP(F390,[1]Sheet1!$B:$E,3,FALSE)</f>
        <v>#N/A</v>
      </c>
      <c r="C390" s="8" t="e">
        <f>VLOOKUP(F390,[1]Sheet1!$B:$E,4,FALSE)</f>
        <v>#N/A</v>
      </c>
      <c r="D390" s="8" t="s">
        <v>797</v>
      </c>
      <c r="E390" s="8">
        <v>4.6</v>
      </c>
      <c r="F390" s="10">
        <v>33402502</v>
      </c>
      <c r="G390" s="8">
        <v>307</v>
      </c>
      <c r="H390" s="12">
        <v>95.2</v>
      </c>
      <c r="I390" s="8">
        <v>29.33</v>
      </c>
      <c r="J390" s="8">
        <v>19.04</v>
      </c>
      <c r="K390" s="8">
        <v>3631.7</v>
      </c>
      <c r="L390" s="8">
        <v>255</v>
      </c>
      <c r="M390" s="11">
        <v>0.0667</v>
      </c>
      <c r="N390" s="11">
        <v>0.2941</v>
      </c>
      <c r="O390" s="8">
        <v>5</v>
      </c>
      <c r="P390" s="8">
        <v>5731</v>
      </c>
      <c r="Q390" s="11">
        <v>0.0766</v>
      </c>
      <c r="R390" s="11">
        <v>0.3508</v>
      </c>
      <c r="S390" s="8">
        <v>157</v>
      </c>
      <c r="T390" s="11">
        <v>0.1514</v>
      </c>
      <c r="U390" s="11">
        <v>0.5385</v>
      </c>
      <c r="V390" s="11">
        <v>0.231</v>
      </c>
      <c r="W390" s="11">
        <v>0.3246</v>
      </c>
      <c r="X390" s="8">
        <v>0</v>
      </c>
      <c r="Y390" s="8">
        <v>0</v>
      </c>
      <c r="Z390" s="8">
        <v>-0.01</v>
      </c>
      <c r="AA390" s="8">
        <v>0</v>
      </c>
      <c r="AB390" s="8">
        <v>0</v>
      </c>
      <c r="AC390" s="8">
        <v>0.83</v>
      </c>
      <c r="AD390" s="8">
        <v>0</v>
      </c>
      <c r="AE390" s="8">
        <v>0</v>
      </c>
      <c r="AF390" s="11">
        <v>0</v>
      </c>
      <c r="AG390" s="8">
        <v>0</v>
      </c>
      <c r="AH390" s="8">
        <v>0</v>
      </c>
      <c r="AI390" s="11">
        <v>0</v>
      </c>
      <c r="AJ390" s="8" t="s">
        <v>798</v>
      </c>
    </row>
    <row r="391" customFormat="1" ht="22" customHeight="1" spans="1:36">
      <c r="A391" s="8" t="s">
        <v>37</v>
      </c>
      <c r="B391" s="8" t="e">
        <f>VLOOKUP(F391,[1]Sheet1!$B:$E,3,FALSE)</f>
        <v>#N/A</v>
      </c>
      <c r="C391" s="8" t="e">
        <f>VLOOKUP(F391,[1]Sheet1!$B:$E,4,FALSE)</f>
        <v>#N/A</v>
      </c>
      <c r="D391" s="8" t="s">
        <v>799</v>
      </c>
      <c r="E391" s="8">
        <v>4.5</v>
      </c>
      <c r="F391" s="10">
        <v>33259479</v>
      </c>
      <c r="G391" s="8">
        <v>178</v>
      </c>
      <c r="H391" s="12">
        <v>92.99</v>
      </c>
      <c r="I391" s="8">
        <v>22.04</v>
      </c>
      <c r="J391" s="8">
        <v>13.28</v>
      </c>
      <c r="K391" s="8">
        <v>2694.33</v>
      </c>
      <c r="L391" s="8">
        <v>668</v>
      </c>
      <c r="M391" s="11">
        <v>0.0524</v>
      </c>
      <c r="N391" s="11">
        <v>0.2</v>
      </c>
      <c r="O391" s="8">
        <v>7</v>
      </c>
      <c r="P391" s="8">
        <v>4360</v>
      </c>
      <c r="Q391" s="11">
        <v>0.0917</v>
      </c>
      <c r="R391" s="11">
        <v>0.26</v>
      </c>
      <c r="S391" s="8">
        <v>108</v>
      </c>
      <c r="T391" s="11">
        <v>0.1458</v>
      </c>
      <c r="U391" s="11">
        <v>0.6667</v>
      </c>
      <c r="V391" s="11">
        <v>0.2178</v>
      </c>
      <c r="W391" s="11">
        <v>0.2791</v>
      </c>
      <c r="X391" s="8">
        <v>10.64</v>
      </c>
      <c r="Y391" s="8">
        <v>15</v>
      </c>
      <c r="Z391" s="8">
        <v>0.71</v>
      </c>
      <c r="AA391" s="8">
        <v>10.64</v>
      </c>
      <c r="AB391" s="8">
        <v>11.44</v>
      </c>
      <c r="AC391" s="8">
        <v>3.75</v>
      </c>
      <c r="AD391" s="8">
        <v>0</v>
      </c>
      <c r="AE391" s="8">
        <v>0</v>
      </c>
      <c r="AF391" s="11">
        <v>0</v>
      </c>
      <c r="AG391" s="8">
        <v>0</v>
      </c>
      <c r="AH391" s="8">
        <v>0</v>
      </c>
      <c r="AI391" s="11">
        <v>0</v>
      </c>
      <c r="AJ391" s="8" t="s">
        <v>800</v>
      </c>
    </row>
    <row r="392" customFormat="1" ht="22" customHeight="1" spans="1:36">
      <c r="A392" s="8" t="s">
        <v>37</v>
      </c>
      <c r="B392" s="8" t="str">
        <f>VLOOKUP(F392,[1]Sheet1!$B:$E,3,FALSE)</f>
        <v>刘欢</v>
      </c>
      <c r="C392" s="8">
        <f>VLOOKUP(F392,[1]Sheet1!$B:$E,4,FALSE)</f>
        <v>0</v>
      </c>
      <c r="D392" s="8" t="s">
        <v>801</v>
      </c>
      <c r="E392" s="8">
        <v>4.8</v>
      </c>
      <c r="F392" s="10">
        <v>33941006</v>
      </c>
      <c r="G392" s="8">
        <v>68</v>
      </c>
      <c r="H392" s="12">
        <v>91.67</v>
      </c>
      <c r="I392" s="8">
        <v>20.07</v>
      </c>
      <c r="J392" s="8">
        <v>13.1</v>
      </c>
      <c r="K392" s="8">
        <v>2902.75</v>
      </c>
      <c r="L392" s="8">
        <v>2789</v>
      </c>
      <c r="M392" s="11">
        <v>0.0552</v>
      </c>
      <c r="N392" s="11">
        <v>0.0455</v>
      </c>
      <c r="O392" s="8">
        <v>7</v>
      </c>
      <c r="P392" s="8">
        <v>5385</v>
      </c>
      <c r="Q392" s="11">
        <v>0.0637</v>
      </c>
      <c r="R392" s="11">
        <v>0.277</v>
      </c>
      <c r="S392" s="8">
        <v>95</v>
      </c>
      <c r="T392" s="11">
        <v>0.1228</v>
      </c>
      <c r="U392" s="11">
        <v>0</v>
      </c>
      <c r="V392" s="11">
        <v>0.155</v>
      </c>
      <c r="W392" s="11">
        <v>0.1565</v>
      </c>
      <c r="X392" s="8">
        <v>50</v>
      </c>
      <c r="Y392" s="8">
        <v>117</v>
      </c>
      <c r="Z392" s="8">
        <v>0.43</v>
      </c>
      <c r="AA392" s="8">
        <v>50</v>
      </c>
      <c r="AB392" s="8">
        <v>54.54</v>
      </c>
      <c r="AC392" s="8">
        <v>41.01</v>
      </c>
      <c r="AD392" s="8">
        <v>5</v>
      </c>
      <c r="AE392" s="8">
        <v>5</v>
      </c>
      <c r="AF392" s="11">
        <v>1</v>
      </c>
      <c r="AG392" s="8">
        <v>0</v>
      </c>
      <c r="AH392" s="8">
        <v>0</v>
      </c>
      <c r="AI392" s="11">
        <v>0</v>
      </c>
      <c r="AJ392" s="8" t="s">
        <v>802</v>
      </c>
    </row>
    <row r="393" customFormat="1" ht="22" customHeight="1" spans="1:36">
      <c r="A393" s="8" t="s">
        <v>37</v>
      </c>
      <c r="B393" s="8" t="str">
        <f>VLOOKUP(F393,[1]Sheet1!$B:$E,3,FALSE)</f>
        <v>王森</v>
      </c>
      <c r="C393" s="8">
        <f>VLOOKUP(F393,[1]Sheet1!$B:$E,4,FALSE)</f>
        <v>0</v>
      </c>
      <c r="D393" s="8" t="s">
        <v>803</v>
      </c>
      <c r="E393" s="8">
        <v>4.4</v>
      </c>
      <c r="F393" s="10">
        <v>28882885</v>
      </c>
      <c r="G393" s="8">
        <v>88</v>
      </c>
      <c r="H393" s="12">
        <v>91.39</v>
      </c>
      <c r="I393" s="8">
        <v>38.81</v>
      </c>
      <c r="J393" s="8">
        <v>30.46</v>
      </c>
      <c r="K393" s="8">
        <v>873.16</v>
      </c>
      <c r="L393" s="8">
        <v>299</v>
      </c>
      <c r="M393" s="11">
        <v>0.0669</v>
      </c>
      <c r="N393" s="11">
        <v>0.15</v>
      </c>
      <c r="O393" s="8">
        <v>3</v>
      </c>
      <c r="P393" s="8">
        <v>2129</v>
      </c>
      <c r="Q393" s="11">
        <v>0.0761</v>
      </c>
      <c r="R393" s="11">
        <v>0.1852</v>
      </c>
      <c r="S393" s="8">
        <v>30</v>
      </c>
      <c r="T393" s="11">
        <v>0.0541</v>
      </c>
      <c r="U393" s="11">
        <v>0.1944</v>
      </c>
      <c r="V393" s="11">
        <v>0.1125</v>
      </c>
      <c r="W393" s="11">
        <v>0.0905</v>
      </c>
      <c r="X393" s="8">
        <v>0</v>
      </c>
      <c r="Y393" s="8">
        <v>0</v>
      </c>
      <c r="Z393" s="8">
        <v>-0.01</v>
      </c>
      <c r="AA393" s="8">
        <v>0</v>
      </c>
      <c r="AB393" s="8">
        <v>0</v>
      </c>
      <c r="AC393" s="8">
        <v>3.4</v>
      </c>
      <c r="AD393" s="8">
        <v>0</v>
      </c>
      <c r="AE393" s="8">
        <v>0</v>
      </c>
      <c r="AF393" s="11">
        <v>0</v>
      </c>
      <c r="AG393" s="8">
        <v>0</v>
      </c>
      <c r="AH393" s="8">
        <v>0</v>
      </c>
      <c r="AI393" s="11">
        <v>0</v>
      </c>
      <c r="AJ393" s="8" t="s">
        <v>804</v>
      </c>
    </row>
    <row r="394" customFormat="1" ht="22" customHeight="1" spans="1:36">
      <c r="A394" s="8" t="s">
        <v>37</v>
      </c>
      <c r="B394" s="8" t="str">
        <f>VLOOKUP(F394,[1]Sheet1!$B:$E,3,FALSE)</f>
        <v>岳贝贝</v>
      </c>
      <c r="C394" s="8" t="str">
        <f>VLOOKUP(F394,[1]Sheet1!$B:$E,4,FALSE)</f>
        <v>B</v>
      </c>
      <c r="D394" s="12" t="s">
        <v>805</v>
      </c>
      <c r="E394" s="12">
        <v>3.7</v>
      </c>
      <c r="F394" s="13">
        <v>30666434</v>
      </c>
      <c r="G394" s="8">
        <v>398</v>
      </c>
      <c r="H394" s="12">
        <v>87.18</v>
      </c>
      <c r="I394" s="8">
        <v>18.6</v>
      </c>
      <c r="J394" s="8">
        <v>10.9</v>
      </c>
      <c r="K394" s="8">
        <v>2703.59</v>
      </c>
      <c r="L394" s="8">
        <v>778</v>
      </c>
      <c r="M394" s="11">
        <v>0.0501</v>
      </c>
      <c r="N394" s="11">
        <v>0.2051</v>
      </c>
      <c r="O394" s="8">
        <v>8</v>
      </c>
      <c r="P394" s="8">
        <v>4784</v>
      </c>
      <c r="Q394" s="11">
        <v>0.0796</v>
      </c>
      <c r="R394" s="11">
        <v>0.2966</v>
      </c>
      <c r="S394" s="8">
        <v>117</v>
      </c>
      <c r="T394" s="11">
        <v>0.0839</v>
      </c>
      <c r="U394" s="11">
        <v>0.1667</v>
      </c>
      <c r="V394" s="11">
        <v>0.1835</v>
      </c>
      <c r="W394" s="11">
        <v>0.3209</v>
      </c>
      <c r="X394" s="8">
        <v>0</v>
      </c>
      <c r="Y394" s="8">
        <v>0</v>
      </c>
      <c r="Z394" s="8">
        <v>-0.01</v>
      </c>
      <c r="AA394" s="8">
        <v>0</v>
      </c>
      <c r="AB394" s="8">
        <v>0</v>
      </c>
      <c r="AC394" s="8">
        <v>1.95</v>
      </c>
      <c r="AD394" s="8">
        <v>3</v>
      </c>
      <c r="AE394" s="8">
        <v>3</v>
      </c>
      <c r="AF394" s="11">
        <v>1</v>
      </c>
      <c r="AG394" s="8">
        <v>0</v>
      </c>
      <c r="AH394" s="8">
        <v>0</v>
      </c>
      <c r="AI394" s="11">
        <v>0</v>
      </c>
      <c r="AJ394" s="8" t="s">
        <v>806</v>
      </c>
    </row>
    <row r="395" customFormat="1" ht="22" customHeight="1" spans="1:36">
      <c r="A395" s="8" t="s">
        <v>37</v>
      </c>
      <c r="B395" s="8" t="e">
        <f>VLOOKUP(F395,[1]Sheet1!$B:$E,3,FALSE)</f>
        <v>#N/A</v>
      </c>
      <c r="C395" s="8" t="e">
        <f>VLOOKUP(F395,[1]Sheet1!$B:$E,4,FALSE)</f>
        <v>#N/A</v>
      </c>
      <c r="D395" s="8" t="s">
        <v>807</v>
      </c>
      <c r="E395" s="8">
        <v>4.8</v>
      </c>
      <c r="F395" s="10">
        <v>30374654</v>
      </c>
      <c r="G395" s="8">
        <v>168</v>
      </c>
      <c r="H395" s="12">
        <v>81.75</v>
      </c>
      <c r="I395" s="8">
        <v>24.62</v>
      </c>
      <c r="J395" s="8">
        <v>20.44</v>
      </c>
      <c r="K395" s="8">
        <v>2500.69</v>
      </c>
      <c r="L395" s="8">
        <v>426</v>
      </c>
      <c r="M395" s="11">
        <v>0.0587</v>
      </c>
      <c r="N395" s="11">
        <v>0.16</v>
      </c>
      <c r="O395" s="8">
        <v>4</v>
      </c>
      <c r="P395" s="8">
        <v>5165</v>
      </c>
      <c r="Q395" s="11">
        <v>0.0709</v>
      </c>
      <c r="R395" s="11">
        <v>0.2923</v>
      </c>
      <c r="S395" s="8">
        <v>110</v>
      </c>
      <c r="T395" s="11">
        <v>0.1204</v>
      </c>
      <c r="U395" s="11">
        <v>0.2941</v>
      </c>
      <c r="V395" s="11">
        <v>0.1664</v>
      </c>
      <c r="W395" s="11">
        <v>0.256</v>
      </c>
      <c r="X395" s="8">
        <v>0</v>
      </c>
      <c r="Y395" s="8">
        <v>0</v>
      </c>
      <c r="Z395" s="8">
        <v>-0.01</v>
      </c>
      <c r="AA395" s="8">
        <v>0</v>
      </c>
      <c r="AB395" s="8">
        <v>0</v>
      </c>
      <c r="AC395" s="8">
        <v>2.54</v>
      </c>
      <c r="AD395" s="8">
        <v>0</v>
      </c>
      <c r="AE395" s="8">
        <v>0</v>
      </c>
      <c r="AF395" s="11">
        <v>0</v>
      </c>
      <c r="AG395" s="8">
        <v>0</v>
      </c>
      <c r="AH395" s="8">
        <v>0</v>
      </c>
      <c r="AI395" s="11">
        <v>0</v>
      </c>
      <c r="AJ395" s="8" t="s">
        <v>808</v>
      </c>
    </row>
    <row r="396" customFormat="1" ht="22" customHeight="1" spans="1:36">
      <c r="A396" s="8" t="s">
        <v>37</v>
      </c>
      <c r="B396" s="8" t="str">
        <f>VLOOKUP(F396,[1]Sheet1!$B:$E,3,FALSE)</f>
        <v>刘欢</v>
      </c>
      <c r="C396" s="8" t="str">
        <f>VLOOKUP(F396,[1]Sheet1!$B:$E,4,FALSE)</f>
        <v>B</v>
      </c>
      <c r="D396" s="8" t="s">
        <v>809</v>
      </c>
      <c r="E396" s="8">
        <v>4.7</v>
      </c>
      <c r="F396" s="10">
        <v>33257018</v>
      </c>
      <c r="G396" s="8">
        <v>200</v>
      </c>
      <c r="H396" s="12">
        <v>81.66</v>
      </c>
      <c r="I396" s="8">
        <v>35.97</v>
      </c>
      <c r="J396" s="8">
        <v>16.33</v>
      </c>
      <c r="K396" s="8">
        <v>1709.7</v>
      </c>
      <c r="L396" s="8">
        <v>435</v>
      </c>
      <c r="M396" s="11">
        <v>0.1172</v>
      </c>
      <c r="N396" s="11">
        <v>0.098</v>
      </c>
      <c r="O396" s="8">
        <v>5</v>
      </c>
      <c r="P396" s="8">
        <v>1450</v>
      </c>
      <c r="Q396" s="11">
        <v>0.1097</v>
      </c>
      <c r="R396" s="11">
        <v>0.2013</v>
      </c>
      <c r="S396" s="8">
        <v>34</v>
      </c>
      <c r="T396" s="11">
        <v>0.0955</v>
      </c>
      <c r="U396" s="11">
        <v>0.0714</v>
      </c>
      <c r="V396" s="11">
        <v>0.1563</v>
      </c>
      <c r="W396" s="11">
        <v>0.2691</v>
      </c>
      <c r="X396" s="8">
        <v>25.53</v>
      </c>
      <c r="Y396" s="8">
        <v>35</v>
      </c>
      <c r="Z396" s="8">
        <v>0.73</v>
      </c>
      <c r="AA396" s="8">
        <v>25.53</v>
      </c>
      <c r="AB396" s="8">
        <v>31.26</v>
      </c>
      <c r="AC396" s="8">
        <v>2.18</v>
      </c>
      <c r="AD396" s="8">
        <v>1</v>
      </c>
      <c r="AE396" s="8">
        <v>1</v>
      </c>
      <c r="AF396" s="11">
        <v>1</v>
      </c>
      <c r="AG396" s="8">
        <v>0</v>
      </c>
      <c r="AH396" s="8">
        <v>0</v>
      </c>
      <c r="AI396" s="11">
        <v>0</v>
      </c>
      <c r="AJ396" s="8" t="s">
        <v>810</v>
      </c>
    </row>
    <row r="397" customFormat="1" ht="22" customHeight="1" spans="1:36">
      <c r="A397" s="8" t="s">
        <v>37</v>
      </c>
      <c r="B397" s="8" t="str">
        <f>VLOOKUP(F397,[1]Sheet1!$B:$E,3,FALSE)</f>
        <v>刘欢</v>
      </c>
      <c r="C397" s="8">
        <f>VLOOKUP(F397,[1]Sheet1!$B:$E,4,FALSE)</f>
        <v>0</v>
      </c>
      <c r="D397" s="8" t="s">
        <v>811</v>
      </c>
      <c r="E397" s="8">
        <v>4.9</v>
      </c>
      <c r="F397" s="10">
        <v>26750552</v>
      </c>
      <c r="G397" s="8">
        <v>178</v>
      </c>
      <c r="H397" s="12">
        <v>80.67</v>
      </c>
      <c r="I397" s="8">
        <v>22.33</v>
      </c>
      <c r="J397" s="8">
        <v>11.52</v>
      </c>
      <c r="K397" s="8">
        <v>3261.48</v>
      </c>
      <c r="L397" s="8">
        <v>314</v>
      </c>
      <c r="M397" s="11">
        <v>0.0478</v>
      </c>
      <c r="N397" s="11">
        <v>0.4667</v>
      </c>
      <c r="O397" s="8">
        <v>7</v>
      </c>
      <c r="P397" s="8">
        <v>3797</v>
      </c>
      <c r="Q397" s="11">
        <v>0.0793</v>
      </c>
      <c r="R397" s="11">
        <v>0.3654</v>
      </c>
      <c r="S397" s="8">
        <v>114</v>
      </c>
      <c r="T397" s="11">
        <v>0.127</v>
      </c>
      <c r="U397" s="11">
        <v>0.322</v>
      </c>
      <c r="V397" s="11">
        <v>0.2267</v>
      </c>
      <c r="W397" s="11">
        <v>0.3017</v>
      </c>
      <c r="X397" s="8">
        <v>0</v>
      </c>
      <c r="Y397" s="8">
        <v>0</v>
      </c>
      <c r="Z397" s="8">
        <v>-0.01</v>
      </c>
      <c r="AA397" s="8">
        <v>0</v>
      </c>
      <c r="AB397" s="8">
        <v>0</v>
      </c>
      <c r="AC397" s="8">
        <v>1.76</v>
      </c>
      <c r="AD397" s="8">
        <v>0</v>
      </c>
      <c r="AE397" s="8">
        <v>0</v>
      </c>
      <c r="AF397" s="11">
        <v>0</v>
      </c>
      <c r="AG397" s="8">
        <v>0</v>
      </c>
      <c r="AH397" s="8">
        <v>0</v>
      </c>
      <c r="AI397" s="11">
        <v>0</v>
      </c>
      <c r="AJ397" s="8" t="s">
        <v>812</v>
      </c>
    </row>
    <row r="398" customFormat="1" ht="22" customHeight="1" spans="1:36">
      <c r="A398" s="8" t="s">
        <v>37</v>
      </c>
      <c r="B398" s="8" t="e">
        <f>VLOOKUP(F398,[1]Sheet1!$B:$E,3,FALSE)</f>
        <v>#N/A</v>
      </c>
      <c r="C398" s="8" t="e">
        <f>VLOOKUP(F398,[1]Sheet1!$B:$E,4,FALSE)</f>
        <v>#N/A</v>
      </c>
      <c r="D398" s="8" t="s">
        <v>813</v>
      </c>
      <c r="E398" s="8">
        <v>4.6</v>
      </c>
      <c r="F398" s="10">
        <v>34208946</v>
      </c>
      <c r="G398" s="8">
        <v>43</v>
      </c>
      <c r="H398" s="12">
        <v>75.72</v>
      </c>
      <c r="I398" s="8">
        <v>22.45</v>
      </c>
      <c r="J398" s="8">
        <v>12.62</v>
      </c>
      <c r="K398" s="8">
        <v>1280.47</v>
      </c>
      <c r="L398" s="8">
        <v>774</v>
      </c>
      <c r="M398" s="11">
        <v>0.0814</v>
      </c>
      <c r="N398" s="11">
        <v>0.0952</v>
      </c>
      <c r="O398" s="8">
        <v>6</v>
      </c>
      <c r="P398" s="8">
        <v>2756</v>
      </c>
      <c r="Q398" s="11">
        <v>0.0758</v>
      </c>
      <c r="R398" s="11">
        <v>0.3301</v>
      </c>
      <c r="S398" s="8">
        <v>71</v>
      </c>
      <c r="T398" s="11">
        <v>0.1389</v>
      </c>
      <c r="U398" s="11">
        <v>0</v>
      </c>
      <c r="V398" s="11">
        <v>0.2155</v>
      </c>
      <c r="W398" s="11">
        <v>0.276</v>
      </c>
      <c r="X398" s="8">
        <v>0</v>
      </c>
      <c r="Y398" s="8">
        <v>0</v>
      </c>
      <c r="Z398" s="8">
        <v>-0.01</v>
      </c>
      <c r="AA398" s="8">
        <v>0</v>
      </c>
      <c r="AB398" s="8">
        <v>0</v>
      </c>
      <c r="AC398" s="8">
        <v>18</v>
      </c>
      <c r="AD398" s="8">
        <v>0</v>
      </c>
      <c r="AE398" s="8">
        <v>0</v>
      </c>
      <c r="AF398" s="11">
        <v>0</v>
      </c>
      <c r="AG398" s="8">
        <v>0</v>
      </c>
      <c r="AH398" s="8">
        <v>0</v>
      </c>
      <c r="AI398" s="11">
        <v>0</v>
      </c>
      <c r="AJ398" s="8" t="s">
        <v>814</v>
      </c>
    </row>
    <row r="399" customFormat="1" ht="22" customHeight="1" spans="1:36">
      <c r="A399" s="8" t="s">
        <v>37</v>
      </c>
      <c r="B399" s="8" t="str">
        <f>VLOOKUP(F399,[1]Sheet1!$B:$E,3,FALSE)</f>
        <v>徐从众</v>
      </c>
      <c r="C399" s="9" t="str">
        <f>VLOOKUP(F399,[1]Sheet1!$B:$E,4,FALSE)</f>
        <v>A</v>
      </c>
      <c r="D399" s="12" t="s">
        <v>815</v>
      </c>
      <c r="E399" s="12">
        <v>0</v>
      </c>
      <c r="F399" s="13">
        <v>32363884</v>
      </c>
      <c r="G399" s="8">
        <v>81</v>
      </c>
      <c r="H399" s="12">
        <v>73.61</v>
      </c>
      <c r="I399" s="8">
        <v>52.9</v>
      </c>
      <c r="J399" s="8">
        <v>36.8</v>
      </c>
      <c r="K399" s="8">
        <v>3166.01</v>
      </c>
      <c r="L399" s="8">
        <v>999</v>
      </c>
      <c r="M399" s="11">
        <v>0.0601</v>
      </c>
      <c r="N399" s="11">
        <v>0.0333</v>
      </c>
      <c r="O399" s="8">
        <v>2</v>
      </c>
      <c r="P399" s="8">
        <v>5049</v>
      </c>
      <c r="Q399" s="11">
        <v>0.0766</v>
      </c>
      <c r="R399" s="11">
        <v>0.2248</v>
      </c>
      <c r="S399" s="8">
        <v>88</v>
      </c>
      <c r="T399" s="11">
        <v>0.0645</v>
      </c>
      <c r="U399" s="11">
        <v>0.5</v>
      </c>
      <c r="V399" s="11">
        <v>0.1573</v>
      </c>
      <c r="W399" s="11">
        <v>0.2701</v>
      </c>
      <c r="X399" s="8">
        <v>58.85</v>
      </c>
      <c r="Y399" s="8">
        <v>59</v>
      </c>
      <c r="Z399" s="8">
        <v>1</v>
      </c>
      <c r="AA399" s="8">
        <v>58.85</v>
      </c>
      <c r="AB399" s="8">
        <v>79.95</v>
      </c>
      <c r="AC399" s="8">
        <v>12.33</v>
      </c>
      <c r="AD399" s="8">
        <v>0</v>
      </c>
      <c r="AE399" s="8">
        <v>0</v>
      </c>
      <c r="AF399" s="11">
        <v>0</v>
      </c>
      <c r="AG399" s="8">
        <v>0</v>
      </c>
      <c r="AH399" s="8">
        <v>0</v>
      </c>
      <c r="AI399" s="11">
        <v>0</v>
      </c>
      <c r="AJ399" s="8" t="s">
        <v>816</v>
      </c>
    </row>
    <row r="400" customFormat="1" ht="22" customHeight="1" spans="1:36">
      <c r="A400" s="8" t="s">
        <v>37</v>
      </c>
      <c r="B400" s="8" t="e">
        <f>VLOOKUP(F400,[1]Sheet1!$B:$E,3,FALSE)</f>
        <v>#N/A</v>
      </c>
      <c r="C400" s="8" t="e">
        <f>VLOOKUP(F400,[1]Sheet1!$B:$E,4,FALSE)</f>
        <v>#N/A</v>
      </c>
      <c r="D400" s="8" t="s">
        <v>817</v>
      </c>
      <c r="E400" s="8">
        <v>4.5</v>
      </c>
      <c r="F400" s="10">
        <v>32463725</v>
      </c>
      <c r="G400" s="8">
        <v>178</v>
      </c>
      <c r="H400" s="12">
        <v>70.19</v>
      </c>
      <c r="I400" s="8">
        <v>32.67</v>
      </c>
      <c r="J400" s="8">
        <v>23.4</v>
      </c>
      <c r="K400" s="8">
        <v>3380.22</v>
      </c>
      <c r="L400" s="8">
        <v>328</v>
      </c>
      <c r="M400" s="11">
        <v>0.1341</v>
      </c>
      <c r="N400" s="11">
        <v>0.0682</v>
      </c>
      <c r="O400" s="8">
        <v>3</v>
      </c>
      <c r="P400" s="8">
        <v>3417</v>
      </c>
      <c r="Q400" s="11">
        <v>0.0808</v>
      </c>
      <c r="R400" s="11">
        <v>0.2101</v>
      </c>
      <c r="S400" s="8">
        <v>59</v>
      </c>
      <c r="T400" s="11">
        <v>0.0957</v>
      </c>
      <c r="U400" s="11">
        <v>0.2917</v>
      </c>
      <c r="V400" s="11">
        <v>0.194</v>
      </c>
      <c r="W400" s="11">
        <v>0.301</v>
      </c>
      <c r="X400" s="8">
        <v>0</v>
      </c>
      <c r="Y400" s="8">
        <v>0</v>
      </c>
      <c r="Z400" s="8">
        <v>-0.01</v>
      </c>
      <c r="AA400" s="8">
        <v>0</v>
      </c>
      <c r="AB400" s="8">
        <v>0</v>
      </c>
      <c r="AC400" s="8">
        <v>1.84</v>
      </c>
      <c r="AD400" s="8">
        <v>0</v>
      </c>
      <c r="AE400" s="8">
        <v>0</v>
      </c>
      <c r="AF400" s="11">
        <v>0</v>
      </c>
      <c r="AG400" s="8">
        <v>0</v>
      </c>
      <c r="AH400" s="8">
        <v>0</v>
      </c>
      <c r="AI400" s="11">
        <v>0</v>
      </c>
      <c r="AJ400" s="8" t="s">
        <v>818</v>
      </c>
    </row>
    <row r="401" customFormat="1" ht="22" customHeight="1" spans="1:36">
      <c r="A401" s="8" t="s">
        <v>37</v>
      </c>
      <c r="B401" s="8" t="str">
        <f>VLOOKUP(F401,[1]Sheet1!$B:$E,3,FALSE)</f>
        <v>刘欢</v>
      </c>
      <c r="C401" s="8" t="str">
        <f>VLOOKUP(F401,[1]Sheet1!$B:$E,4,FALSE)</f>
        <v>C</v>
      </c>
      <c r="D401" s="12" t="s">
        <v>819</v>
      </c>
      <c r="E401" s="12">
        <v>3.9</v>
      </c>
      <c r="F401" s="13">
        <v>28463312</v>
      </c>
      <c r="G401" s="8">
        <v>166</v>
      </c>
      <c r="H401" s="12">
        <v>67.74</v>
      </c>
      <c r="I401" s="8">
        <v>18.39</v>
      </c>
      <c r="J401" s="8">
        <v>11.29</v>
      </c>
      <c r="K401" s="8">
        <v>2787.14</v>
      </c>
      <c r="L401" s="8">
        <v>412</v>
      </c>
      <c r="M401" s="11">
        <v>0.0485</v>
      </c>
      <c r="N401" s="11">
        <v>0.3</v>
      </c>
      <c r="O401" s="8">
        <v>6</v>
      </c>
      <c r="P401" s="8">
        <v>6303</v>
      </c>
      <c r="Q401" s="11">
        <v>0.0609</v>
      </c>
      <c r="R401" s="11">
        <v>0.4141</v>
      </c>
      <c r="S401" s="8">
        <v>163</v>
      </c>
      <c r="T401" s="11">
        <v>0.0938</v>
      </c>
      <c r="U401" s="11">
        <v>0.2308</v>
      </c>
      <c r="V401" s="11">
        <v>0.1901</v>
      </c>
      <c r="W401" s="11">
        <v>0.2589</v>
      </c>
      <c r="X401" s="8">
        <v>0</v>
      </c>
      <c r="Y401" s="8">
        <v>0</v>
      </c>
      <c r="Z401" s="8">
        <v>-0.01</v>
      </c>
      <c r="AA401" s="8">
        <v>0</v>
      </c>
      <c r="AB401" s="8">
        <v>0</v>
      </c>
      <c r="AC401" s="8">
        <v>2.48</v>
      </c>
      <c r="AD401" s="8">
        <v>0</v>
      </c>
      <c r="AE401" s="8">
        <v>0</v>
      </c>
      <c r="AF401" s="11">
        <v>0</v>
      </c>
      <c r="AG401" s="8">
        <v>0</v>
      </c>
      <c r="AH401" s="8">
        <v>0</v>
      </c>
      <c r="AI401" s="11">
        <v>0</v>
      </c>
      <c r="AJ401" s="8" t="s">
        <v>820</v>
      </c>
    </row>
    <row r="402" customFormat="1" ht="22" customHeight="1" spans="1:36">
      <c r="A402" s="8" t="s">
        <v>37</v>
      </c>
      <c r="B402" s="8" t="str">
        <f>VLOOKUP(F402,[1]Sheet1!$B:$E,3,FALSE)</f>
        <v>刘欢</v>
      </c>
      <c r="C402" s="8" t="str">
        <f>VLOOKUP(F402,[1]Sheet1!$B:$E,4,FALSE)</f>
        <v>C</v>
      </c>
      <c r="D402" s="12" t="s">
        <v>821</v>
      </c>
      <c r="E402" s="12">
        <v>0</v>
      </c>
      <c r="F402" s="13">
        <v>26518489</v>
      </c>
      <c r="G402" s="8">
        <v>30</v>
      </c>
      <c r="H402" s="12">
        <v>67.59</v>
      </c>
      <c r="I402" s="8">
        <v>51.3</v>
      </c>
      <c r="J402" s="8">
        <v>33.8</v>
      </c>
      <c r="K402" s="8">
        <v>3210.1</v>
      </c>
      <c r="L402" s="8">
        <v>213</v>
      </c>
      <c r="M402" s="11">
        <v>0.061</v>
      </c>
      <c r="N402" s="11">
        <v>0.1538</v>
      </c>
      <c r="O402" s="8">
        <v>2</v>
      </c>
      <c r="P402" s="8">
        <v>3768</v>
      </c>
      <c r="Q402" s="11">
        <v>0.1043</v>
      </c>
      <c r="R402" s="11">
        <v>0.2087</v>
      </c>
      <c r="S402" s="8">
        <v>84</v>
      </c>
      <c r="T402" s="11">
        <v>0</v>
      </c>
      <c r="U402" s="11">
        <v>0</v>
      </c>
      <c r="V402" s="11">
        <v>0.1054</v>
      </c>
      <c r="W402" s="11">
        <v>0.1843</v>
      </c>
      <c r="X402" s="8">
        <v>0</v>
      </c>
      <c r="Y402" s="8">
        <v>0</v>
      </c>
      <c r="Z402" s="8">
        <v>-0.01</v>
      </c>
      <c r="AA402" s="8">
        <v>0</v>
      </c>
      <c r="AB402" s="8">
        <v>0</v>
      </c>
      <c r="AC402" s="8">
        <v>7.1</v>
      </c>
      <c r="AD402" s="8">
        <v>0</v>
      </c>
      <c r="AE402" s="8">
        <v>0</v>
      </c>
      <c r="AF402" s="11">
        <v>0</v>
      </c>
      <c r="AG402" s="8">
        <v>0</v>
      </c>
      <c r="AH402" s="8">
        <v>0</v>
      </c>
      <c r="AI402" s="11">
        <v>0</v>
      </c>
      <c r="AJ402" s="8" t="s">
        <v>822</v>
      </c>
    </row>
    <row r="403" customFormat="1" ht="22" customHeight="1" spans="1:36">
      <c r="A403" s="8" t="s">
        <v>37</v>
      </c>
      <c r="B403" s="8" t="str">
        <f>VLOOKUP(F403,[1]Sheet1!$B:$E,3,FALSE)</f>
        <v>王森</v>
      </c>
      <c r="C403" s="8">
        <f>VLOOKUP(F403,[1]Sheet1!$B:$E,4,FALSE)</f>
        <v>0</v>
      </c>
      <c r="D403" s="8" t="s">
        <v>823</v>
      </c>
      <c r="E403" s="8">
        <v>4.6</v>
      </c>
      <c r="F403" s="10">
        <v>30165010</v>
      </c>
      <c r="G403" s="8">
        <v>197</v>
      </c>
      <c r="H403" s="12">
        <v>58.99</v>
      </c>
      <c r="I403" s="8">
        <v>23.52</v>
      </c>
      <c r="J403" s="8">
        <v>14.75</v>
      </c>
      <c r="K403" s="8">
        <v>1117.07</v>
      </c>
      <c r="L403" s="8">
        <v>550</v>
      </c>
      <c r="M403" s="11">
        <v>0.0745</v>
      </c>
      <c r="N403" s="11">
        <v>0.0976</v>
      </c>
      <c r="O403" s="8">
        <v>4</v>
      </c>
      <c r="P403" s="8">
        <v>2543</v>
      </c>
      <c r="Q403" s="11">
        <v>0.059</v>
      </c>
      <c r="R403" s="11">
        <v>0.28</v>
      </c>
      <c r="S403" s="8">
        <v>43</v>
      </c>
      <c r="T403" s="11">
        <v>0.1134</v>
      </c>
      <c r="U403" s="11">
        <v>0.1304</v>
      </c>
      <c r="V403" s="11">
        <v>0.158</v>
      </c>
      <c r="W403" s="11">
        <v>0.2219</v>
      </c>
      <c r="X403" s="8">
        <v>0</v>
      </c>
      <c r="Y403" s="8">
        <v>0</v>
      </c>
      <c r="Z403" s="8">
        <v>-0.01</v>
      </c>
      <c r="AA403" s="8">
        <v>0</v>
      </c>
      <c r="AB403" s="8">
        <v>0</v>
      </c>
      <c r="AC403" s="8">
        <v>2.79</v>
      </c>
      <c r="AD403" s="8">
        <v>0</v>
      </c>
      <c r="AE403" s="8">
        <v>0</v>
      </c>
      <c r="AF403" s="11">
        <v>0</v>
      </c>
      <c r="AG403" s="8">
        <v>0</v>
      </c>
      <c r="AH403" s="8">
        <v>0</v>
      </c>
      <c r="AI403" s="11">
        <v>0</v>
      </c>
      <c r="AJ403" s="8" t="s">
        <v>824</v>
      </c>
    </row>
    <row r="404" customFormat="1" ht="22" customHeight="1" spans="1:36">
      <c r="A404" s="8" t="s">
        <v>37</v>
      </c>
      <c r="B404" s="8" t="e">
        <f>VLOOKUP(F404,[1]Sheet1!$B:$E,3,FALSE)</f>
        <v>#N/A</v>
      </c>
      <c r="C404" s="8" t="e">
        <f>VLOOKUP(F404,[1]Sheet1!$B:$E,4,FALSE)</f>
        <v>#N/A</v>
      </c>
      <c r="D404" s="12" t="s">
        <v>825</v>
      </c>
      <c r="E404" s="12">
        <v>0</v>
      </c>
      <c r="F404" s="13">
        <v>32560907</v>
      </c>
      <c r="G404" s="8">
        <v>35</v>
      </c>
      <c r="H404" s="12">
        <v>58.63</v>
      </c>
      <c r="I404" s="8">
        <v>22.7</v>
      </c>
      <c r="J404" s="8">
        <v>19.54</v>
      </c>
      <c r="K404" s="8">
        <v>3554.94</v>
      </c>
      <c r="L404" s="8">
        <v>108</v>
      </c>
      <c r="M404" s="11">
        <v>0.037</v>
      </c>
      <c r="N404" s="11">
        <v>0.75</v>
      </c>
      <c r="O404" s="8">
        <v>3</v>
      </c>
      <c r="P404" s="8">
        <v>4329</v>
      </c>
      <c r="Q404" s="11">
        <v>0.0788</v>
      </c>
      <c r="R404" s="11">
        <v>0.3314</v>
      </c>
      <c r="S404" s="8">
        <v>117</v>
      </c>
      <c r="T404" s="11">
        <v>0.1739</v>
      </c>
      <c r="U404" s="11">
        <v>0.2</v>
      </c>
      <c r="V404" s="11">
        <v>0.1794</v>
      </c>
      <c r="W404" s="11">
        <v>0.2926</v>
      </c>
      <c r="X404" s="8">
        <v>0</v>
      </c>
      <c r="Y404" s="8">
        <v>0</v>
      </c>
      <c r="Z404" s="8">
        <v>-0.01</v>
      </c>
      <c r="AA404" s="8">
        <v>0</v>
      </c>
      <c r="AB404" s="8">
        <v>0</v>
      </c>
      <c r="AC404" s="8">
        <v>3.09</v>
      </c>
      <c r="AD404" s="8">
        <v>0</v>
      </c>
      <c r="AE404" s="8">
        <v>0</v>
      </c>
      <c r="AF404" s="11">
        <v>0</v>
      </c>
      <c r="AG404" s="8">
        <v>0</v>
      </c>
      <c r="AH404" s="8">
        <v>0</v>
      </c>
      <c r="AI404" s="11">
        <v>0</v>
      </c>
      <c r="AJ404" s="8" t="s">
        <v>826</v>
      </c>
    </row>
    <row r="405" customFormat="1" ht="22" customHeight="1" spans="1:36">
      <c r="A405" s="8" t="s">
        <v>37</v>
      </c>
      <c r="B405" s="8" t="e">
        <f>VLOOKUP(F405,[1]Sheet1!$B:$E,3,FALSE)</f>
        <v>#N/A</v>
      </c>
      <c r="C405" s="8" t="e">
        <f>VLOOKUP(F405,[1]Sheet1!$B:$E,4,FALSE)</f>
        <v>#N/A</v>
      </c>
      <c r="D405" s="12" t="s">
        <v>827</v>
      </c>
      <c r="E405" s="12">
        <v>0</v>
      </c>
      <c r="F405" s="13">
        <v>32326980</v>
      </c>
      <c r="G405" s="8">
        <v>35</v>
      </c>
      <c r="H405" s="12">
        <v>58.04</v>
      </c>
      <c r="I405" s="8">
        <v>33.6</v>
      </c>
      <c r="J405" s="8">
        <v>29.02</v>
      </c>
      <c r="K405" s="8">
        <v>2835.26</v>
      </c>
      <c r="L405" s="8">
        <v>113</v>
      </c>
      <c r="M405" s="11">
        <v>0.0885</v>
      </c>
      <c r="N405" s="11">
        <v>0.2</v>
      </c>
      <c r="O405" s="8">
        <v>2</v>
      </c>
      <c r="P405" s="8">
        <v>2324</v>
      </c>
      <c r="Q405" s="11">
        <v>0.0818</v>
      </c>
      <c r="R405" s="11">
        <v>0.2737</v>
      </c>
      <c r="S405" s="8">
        <v>54</v>
      </c>
      <c r="T405" s="11">
        <v>0.0556</v>
      </c>
      <c r="U405" s="11">
        <v>0</v>
      </c>
      <c r="V405" s="11">
        <v>0.2013</v>
      </c>
      <c r="W405" s="11">
        <v>0.2801</v>
      </c>
      <c r="X405" s="8">
        <v>4.49</v>
      </c>
      <c r="Y405" s="8">
        <v>5</v>
      </c>
      <c r="Z405" s="8">
        <v>0.9</v>
      </c>
      <c r="AA405" s="8">
        <v>4.49</v>
      </c>
      <c r="AB405" s="8">
        <v>7.74</v>
      </c>
      <c r="AC405" s="8">
        <v>3.23</v>
      </c>
      <c r="AD405" s="8">
        <v>0</v>
      </c>
      <c r="AE405" s="8">
        <v>0</v>
      </c>
      <c r="AF405" s="11">
        <v>0</v>
      </c>
      <c r="AG405" s="8">
        <v>0</v>
      </c>
      <c r="AH405" s="8">
        <v>0</v>
      </c>
      <c r="AI405" s="11">
        <v>0</v>
      </c>
      <c r="AJ405" s="8" t="s">
        <v>828</v>
      </c>
    </row>
    <row r="406" customFormat="1" ht="22" customHeight="1" spans="1:36">
      <c r="A406" s="8" t="s">
        <v>37</v>
      </c>
      <c r="B406" s="8" t="str">
        <f>VLOOKUP(F406,[1]Sheet1!$B:$E,3,FALSE)</f>
        <v>徐从众</v>
      </c>
      <c r="C406" s="9" t="str">
        <f>VLOOKUP(F406,[1]Sheet1!$B:$E,4,FALSE)</f>
        <v>S</v>
      </c>
      <c r="D406" s="8" t="s">
        <v>829</v>
      </c>
      <c r="E406" s="8">
        <v>4.8</v>
      </c>
      <c r="F406" s="10">
        <v>15217360</v>
      </c>
      <c r="G406" s="8">
        <v>86</v>
      </c>
      <c r="H406" s="12">
        <v>55.15</v>
      </c>
      <c r="I406" s="8">
        <v>51.6</v>
      </c>
      <c r="J406" s="8">
        <v>27.58</v>
      </c>
      <c r="K406" s="8">
        <v>4172.26</v>
      </c>
      <c r="L406" s="8">
        <v>160</v>
      </c>
      <c r="M406" s="11">
        <v>0.0688</v>
      </c>
      <c r="N406" s="11">
        <v>0.1818</v>
      </c>
      <c r="O406" s="8">
        <v>2</v>
      </c>
      <c r="P406" s="8">
        <v>3656</v>
      </c>
      <c r="Q406" s="11">
        <v>0.0892</v>
      </c>
      <c r="R406" s="11">
        <v>0.3252</v>
      </c>
      <c r="S406" s="8">
        <v>110</v>
      </c>
      <c r="T406" s="11">
        <v>0.122</v>
      </c>
      <c r="U406" s="11">
        <v>0.3333</v>
      </c>
      <c r="V406" s="11">
        <v>0.1984</v>
      </c>
      <c r="W406" s="11">
        <v>0.283</v>
      </c>
      <c r="X406" s="8">
        <v>0</v>
      </c>
      <c r="Y406" s="8">
        <v>0</v>
      </c>
      <c r="Z406" s="8">
        <v>-0.01</v>
      </c>
      <c r="AA406" s="8">
        <v>0</v>
      </c>
      <c r="AB406" s="8">
        <v>0</v>
      </c>
      <c r="AC406" s="8">
        <v>1.86</v>
      </c>
      <c r="AD406" s="8">
        <v>0</v>
      </c>
      <c r="AE406" s="8">
        <v>0</v>
      </c>
      <c r="AF406" s="11">
        <v>0</v>
      </c>
      <c r="AG406" s="8">
        <v>0</v>
      </c>
      <c r="AH406" s="8">
        <v>0</v>
      </c>
      <c r="AI406" s="11">
        <v>0</v>
      </c>
      <c r="AJ406" s="8" t="s">
        <v>830</v>
      </c>
    </row>
    <row r="407" customFormat="1" ht="22" customHeight="1" spans="1:36">
      <c r="A407" s="8" t="s">
        <v>37</v>
      </c>
      <c r="B407" s="8" t="e">
        <f>VLOOKUP(F407,[1]Sheet1!$B:$E,3,FALSE)</f>
        <v>#N/A</v>
      </c>
      <c r="C407" s="8" t="e">
        <f>VLOOKUP(F407,[1]Sheet1!$B:$E,4,FALSE)</f>
        <v>#N/A</v>
      </c>
      <c r="D407" s="12" t="s">
        <v>831</v>
      </c>
      <c r="E407" s="12">
        <v>0</v>
      </c>
      <c r="F407" s="13">
        <v>17232365</v>
      </c>
      <c r="G407" s="8">
        <v>38</v>
      </c>
      <c r="H407" s="12">
        <v>54.69</v>
      </c>
      <c r="I407" s="8">
        <v>40.15</v>
      </c>
      <c r="J407" s="8">
        <v>27.34</v>
      </c>
      <c r="K407" s="8">
        <v>3465.94</v>
      </c>
      <c r="L407" s="8">
        <v>194</v>
      </c>
      <c r="M407" s="11">
        <v>0.1237</v>
      </c>
      <c r="N407" s="11">
        <v>0.0833</v>
      </c>
      <c r="O407" s="8">
        <v>2</v>
      </c>
      <c r="P407" s="8">
        <v>5099</v>
      </c>
      <c r="Q407" s="11">
        <v>0.0914</v>
      </c>
      <c r="R407" s="11">
        <v>0.3112</v>
      </c>
      <c r="S407" s="8">
        <v>148</v>
      </c>
      <c r="T407" s="11">
        <v>0.0476</v>
      </c>
      <c r="U407" s="11">
        <v>0.25</v>
      </c>
      <c r="V407" s="11">
        <v>0.2292</v>
      </c>
      <c r="W407" s="11">
        <v>0.3316</v>
      </c>
      <c r="X407" s="8">
        <v>0</v>
      </c>
      <c r="Y407" s="8">
        <v>0</v>
      </c>
      <c r="Z407" s="8">
        <v>-0.01</v>
      </c>
      <c r="AA407" s="8">
        <v>0</v>
      </c>
      <c r="AB407" s="8">
        <v>0</v>
      </c>
      <c r="AC407" s="8">
        <v>5.11</v>
      </c>
      <c r="AD407" s="8">
        <v>0</v>
      </c>
      <c r="AE407" s="8">
        <v>0</v>
      </c>
      <c r="AF407" s="11">
        <v>0</v>
      </c>
      <c r="AG407" s="8">
        <v>0</v>
      </c>
      <c r="AH407" s="8">
        <v>0</v>
      </c>
      <c r="AI407" s="11">
        <v>0</v>
      </c>
      <c r="AJ407" s="8" t="s">
        <v>832</v>
      </c>
    </row>
    <row r="408" customFormat="1" ht="22" customHeight="1" spans="1:36">
      <c r="A408" s="8" t="s">
        <v>37</v>
      </c>
      <c r="B408" s="8" t="str">
        <f>VLOOKUP(F408,[1]Sheet1!$B:$E,3,FALSE)</f>
        <v>刘欢</v>
      </c>
      <c r="C408" s="8" t="str">
        <f>VLOOKUP(F408,[1]Sheet1!$B:$E,4,FALSE)</f>
        <v>B</v>
      </c>
      <c r="D408" s="8" t="s">
        <v>833</v>
      </c>
      <c r="E408" s="8">
        <v>4.5</v>
      </c>
      <c r="F408" s="10">
        <v>33500664</v>
      </c>
      <c r="G408" s="8">
        <v>128</v>
      </c>
      <c r="H408" s="12">
        <v>49.96</v>
      </c>
      <c r="I408" s="8">
        <v>27.09</v>
      </c>
      <c r="J408" s="8">
        <v>16.65</v>
      </c>
      <c r="K408" s="8">
        <v>1891.14</v>
      </c>
      <c r="L408" s="8">
        <v>537</v>
      </c>
      <c r="M408" s="11">
        <v>0.0428</v>
      </c>
      <c r="N408" s="11">
        <v>0.1304</v>
      </c>
      <c r="O408" s="8">
        <v>3</v>
      </c>
      <c r="P408" s="8">
        <v>3055</v>
      </c>
      <c r="Q408" s="11">
        <v>0.0766</v>
      </c>
      <c r="R408" s="11">
        <v>0.2906</v>
      </c>
      <c r="S408" s="8">
        <v>73</v>
      </c>
      <c r="T408" s="11">
        <v>0.0625</v>
      </c>
      <c r="U408" s="11">
        <v>0.1667</v>
      </c>
      <c r="V408" s="11">
        <v>0.1992</v>
      </c>
      <c r="W408" s="11">
        <v>0.2862</v>
      </c>
      <c r="X408" s="8">
        <v>0</v>
      </c>
      <c r="Y408" s="8">
        <v>0</v>
      </c>
      <c r="Z408" s="8">
        <v>-0.01</v>
      </c>
      <c r="AA408" s="8">
        <v>0</v>
      </c>
      <c r="AB408" s="8">
        <v>0</v>
      </c>
      <c r="AC408" s="8">
        <v>4.2</v>
      </c>
      <c r="AD408" s="8">
        <v>0</v>
      </c>
      <c r="AE408" s="8">
        <v>0</v>
      </c>
      <c r="AF408" s="11">
        <v>0</v>
      </c>
      <c r="AG408" s="8">
        <v>0</v>
      </c>
      <c r="AH408" s="8">
        <v>0</v>
      </c>
      <c r="AI408" s="11">
        <v>0</v>
      </c>
      <c r="AJ408" s="8" t="s">
        <v>834</v>
      </c>
    </row>
    <row r="409" customFormat="1" ht="22" customHeight="1" spans="1:36">
      <c r="A409" s="8" t="s">
        <v>37</v>
      </c>
      <c r="B409" s="8" t="str">
        <f>VLOOKUP(F409,[1]Sheet1!$B:$E,3,FALSE)</f>
        <v>刘欢</v>
      </c>
      <c r="C409" s="8" t="str">
        <f>VLOOKUP(F409,[1]Sheet1!$B:$E,4,FALSE)</f>
        <v>C</v>
      </c>
      <c r="D409" s="12" t="s">
        <v>835</v>
      </c>
      <c r="E409" s="12">
        <v>0</v>
      </c>
      <c r="F409" s="13">
        <v>29594909</v>
      </c>
      <c r="G409" s="8">
        <v>269</v>
      </c>
      <c r="H409" s="12">
        <v>49.06</v>
      </c>
      <c r="I409" s="8">
        <v>8.85</v>
      </c>
      <c r="J409" s="8">
        <v>5.45</v>
      </c>
      <c r="K409" s="8">
        <v>586.01</v>
      </c>
      <c r="L409" s="8">
        <v>453</v>
      </c>
      <c r="M409" s="11">
        <v>0.0486</v>
      </c>
      <c r="N409" s="11">
        <v>0.4091</v>
      </c>
      <c r="O409" s="8">
        <v>9</v>
      </c>
      <c r="P409" s="8">
        <v>1294</v>
      </c>
      <c r="Q409" s="11">
        <v>0.092</v>
      </c>
      <c r="R409" s="11">
        <v>0.3277</v>
      </c>
      <c r="S409" s="8">
        <v>40</v>
      </c>
      <c r="T409" s="11">
        <v>0.217</v>
      </c>
      <c r="U409" s="11">
        <v>0.3519</v>
      </c>
      <c r="V409" s="11">
        <v>0.2404</v>
      </c>
      <c r="W409" s="11">
        <v>0.2889</v>
      </c>
      <c r="X409" s="8">
        <v>0</v>
      </c>
      <c r="Y409" s="8">
        <v>0</v>
      </c>
      <c r="Z409" s="8">
        <v>-0.01</v>
      </c>
      <c r="AA409" s="8">
        <v>0</v>
      </c>
      <c r="AB409" s="8">
        <v>0</v>
      </c>
      <c r="AC409" s="8">
        <v>1.68</v>
      </c>
      <c r="AD409" s="8">
        <v>0</v>
      </c>
      <c r="AE409" s="8">
        <v>0</v>
      </c>
      <c r="AF409" s="11">
        <v>0</v>
      </c>
      <c r="AG409" s="8">
        <v>0</v>
      </c>
      <c r="AH409" s="8">
        <v>0</v>
      </c>
      <c r="AI409" s="11">
        <v>0</v>
      </c>
      <c r="AJ409" s="8" t="s">
        <v>836</v>
      </c>
    </row>
    <row r="410" customFormat="1" ht="22" customHeight="1" spans="1:36">
      <c r="A410" s="8" t="s">
        <v>37</v>
      </c>
      <c r="B410" s="8" t="str">
        <f>VLOOKUP(F410,[1]Sheet1!$B:$E,3,FALSE)</f>
        <v>徐从众</v>
      </c>
      <c r="C410" s="9" t="str">
        <f>VLOOKUP(F410,[1]Sheet1!$B:$E,4,FALSE)</f>
        <v>S</v>
      </c>
      <c r="D410" s="8" t="s">
        <v>837</v>
      </c>
      <c r="E410" s="8">
        <v>4.8</v>
      </c>
      <c r="F410" s="10">
        <v>33803186</v>
      </c>
      <c r="G410" s="8">
        <v>486</v>
      </c>
      <c r="H410" s="12">
        <v>48.09</v>
      </c>
      <c r="I410" s="8">
        <v>62.35</v>
      </c>
      <c r="J410" s="8">
        <v>24.04</v>
      </c>
      <c r="K410" s="8">
        <v>3740.55</v>
      </c>
      <c r="L410" s="8">
        <v>493</v>
      </c>
      <c r="M410" s="11">
        <v>0.1034</v>
      </c>
      <c r="N410" s="11">
        <v>0.0392</v>
      </c>
      <c r="O410" s="8">
        <v>2</v>
      </c>
      <c r="P410" s="8">
        <v>4550</v>
      </c>
      <c r="Q410" s="11">
        <v>0.0804</v>
      </c>
      <c r="R410" s="11">
        <v>0.2404</v>
      </c>
      <c r="S410" s="8">
        <v>91</v>
      </c>
      <c r="T410" s="11">
        <v>0.2097</v>
      </c>
      <c r="U410" s="11">
        <v>0.525</v>
      </c>
      <c r="V410" s="11">
        <v>0.1956</v>
      </c>
      <c r="W410" s="11">
        <v>0.2748</v>
      </c>
      <c r="X410" s="8">
        <v>0</v>
      </c>
      <c r="Y410" s="8">
        <v>0</v>
      </c>
      <c r="Z410" s="8">
        <v>-0.01</v>
      </c>
      <c r="AA410" s="8">
        <v>0</v>
      </c>
      <c r="AB410" s="8">
        <v>0</v>
      </c>
      <c r="AC410" s="8">
        <v>1.01</v>
      </c>
      <c r="AD410" s="8">
        <v>0</v>
      </c>
      <c r="AE410" s="8">
        <v>0</v>
      </c>
      <c r="AF410" s="11">
        <v>0</v>
      </c>
      <c r="AG410" s="8">
        <v>0</v>
      </c>
      <c r="AH410" s="8">
        <v>0</v>
      </c>
      <c r="AI410" s="11">
        <v>0</v>
      </c>
      <c r="AJ410" s="8" t="s">
        <v>838</v>
      </c>
    </row>
    <row r="411" customFormat="1" ht="22" customHeight="1" spans="1:36">
      <c r="A411" s="8" t="s">
        <v>37</v>
      </c>
      <c r="B411" s="8" t="str">
        <f>VLOOKUP(F411,[1]Sheet1!$B:$E,3,FALSE)</f>
        <v>刘欢</v>
      </c>
      <c r="C411" s="8" t="str">
        <f>VLOOKUP(F411,[1]Sheet1!$B:$E,4,FALSE)</f>
        <v>C</v>
      </c>
      <c r="D411" s="12" t="s">
        <v>839</v>
      </c>
      <c r="E411" s="12">
        <v>0</v>
      </c>
      <c r="F411" s="13">
        <v>8556703</v>
      </c>
      <c r="G411" s="8">
        <v>78</v>
      </c>
      <c r="H411" s="12">
        <v>47.02</v>
      </c>
      <c r="I411" s="8">
        <v>22</v>
      </c>
      <c r="J411" s="8">
        <v>23.51</v>
      </c>
      <c r="K411" s="8">
        <v>1338.08</v>
      </c>
      <c r="L411" s="8">
        <v>284</v>
      </c>
      <c r="M411" s="11">
        <v>0.1056</v>
      </c>
      <c r="N411" s="11">
        <v>0.0667</v>
      </c>
      <c r="O411" s="8">
        <v>2</v>
      </c>
      <c r="P411" s="8">
        <v>1385</v>
      </c>
      <c r="Q411" s="11">
        <v>0.0823</v>
      </c>
      <c r="R411" s="11">
        <v>0.1754</v>
      </c>
      <c r="S411" s="8">
        <v>20</v>
      </c>
      <c r="T411" s="11">
        <v>0.125</v>
      </c>
      <c r="U411" s="11">
        <v>0.2308</v>
      </c>
      <c r="V411" s="11">
        <v>0.2279</v>
      </c>
      <c r="W411" s="11">
        <v>0.2875</v>
      </c>
      <c r="X411" s="8">
        <v>0</v>
      </c>
      <c r="Y411" s="8">
        <v>0</v>
      </c>
      <c r="Z411" s="8">
        <v>-0.01</v>
      </c>
      <c r="AA411" s="8">
        <v>0</v>
      </c>
      <c r="AB411" s="8">
        <v>0</v>
      </c>
      <c r="AC411" s="8">
        <v>3.64</v>
      </c>
      <c r="AD411" s="8">
        <v>0</v>
      </c>
      <c r="AE411" s="8">
        <v>0</v>
      </c>
      <c r="AF411" s="11">
        <v>0</v>
      </c>
      <c r="AG411" s="8">
        <v>0</v>
      </c>
      <c r="AH411" s="8">
        <v>0</v>
      </c>
      <c r="AI411" s="11">
        <v>0</v>
      </c>
      <c r="AJ411" s="8" t="s">
        <v>840</v>
      </c>
    </row>
    <row r="412" customFormat="1" ht="22" customHeight="1" spans="1:36">
      <c r="A412" s="8" t="s">
        <v>37</v>
      </c>
      <c r="B412" s="8" t="str">
        <f>VLOOKUP(F412,[1]Sheet1!$B:$E,3,FALSE)</f>
        <v>刘欢</v>
      </c>
      <c r="C412" s="8" t="str">
        <f>VLOOKUP(F412,[1]Sheet1!$B:$E,4,FALSE)</f>
        <v>B</v>
      </c>
      <c r="D412" s="8" t="s">
        <v>841</v>
      </c>
      <c r="E412" s="8">
        <v>4.6</v>
      </c>
      <c r="F412" s="10">
        <v>31289358</v>
      </c>
      <c r="G412" s="8">
        <v>203</v>
      </c>
      <c r="H412" s="12">
        <v>46.74</v>
      </c>
      <c r="I412" s="8">
        <v>16.04</v>
      </c>
      <c r="J412" s="8">
        <v>9.35</v>
      </c>
      <c r="K412" s="8">
        <v>1302.61</v>
      </c>
      <c r="L412" s="8">
        <v>818</v>
      </c>
      <c r="M412" s="11">
        <v>0.1161</v>
      </c>
      <c r="N412" s="11">
        <v>0.0526</v>
      </c>
      <c r="O412" s="8">
        <v>5</v>
      </c>
      <c r="P412" s="8">
        <v>1071</v>
      </c>
      <c r="Q412" s="11">
        <v>0.1559</v>
      </c>
      <c r="R412" s="11">
        <v>0.3174</v>
      </c>
      <c r="S412" s="8">
        <v>56</v>
      </c>
      <c r="T412" s="11">
        <v>0.1293</v>
      </c>
      <c r="U412" s="11">
        <v>0.1628</v>
      </c>
      <c r="V412" s="11">
        <v>0.278</v>
      </c>
      <c r="W412" s="11">
        <v>0.2537</v>
      </c>
      <c r="X412" s="8">
        <v>25.6</v>
      </c>
      <c r="Y412" s="8">
        <v>65</v>
      </c>
      <c r="Z412" s="8">
        <v>0.39</v>
      </c>
      <c r="AA412" s="8">
        <v>25.6</v>
      </c>
      <c r="AB412" s="8">
        <v>54.77</v>
      </c>
      <c r="AC412" s="8">
        <v>4.03</v>
      </c>
      <c r="AD412" s="8">
        <v>0</v>
      </c>
      <c r="AE412" s="8">
        <v>0</v>
      </c>
      <c r="AF412" s="11">
        <v>0</v>
      </c>
      <c r="AG412" s="8">
        <v>0</v>
      </c>
      <c r="AH412" s="8">
        <v>0</v>
      </c>
      <c r="AI412" s="11">
        <v>0</v>
      </c>
      <c r="AJ412" s="8" t="s">
        <v>842</v>
      </c>
    </row>
    <row r="413" customFormat="1" ht="22" customHeight="1" spans="1:36">
      <c r="A413" s="8" t="s">
        <v>37</v>
      </c>
      <c r="B413" s="8" t="str">
        <f>VLOOKUP(F413,[1]Sheet1!$B:$E,3,FALSE)</f>
        <v>刘欢</v>
      </c>
      <c r="C413" s="8">
        <f>VLOOKUP(F413,[1]Sheet1!$B:$E,4,FALSE)</f>
        <v>0</v>
      </c>
      <c r="D413" s="8" t="s">
        <v>843</v>
      </c>
      <c r="E413" s="8">
        <v>4.4</v>
      </c>
      <c r="F413" s="10">
        <v>30496911</v>
      </c>
      <c r="G413" s="8">
        <v>119</v>
      </c>
      <c r="H413" s="12">
        <v>45.5</v>
      </c>
      <c r="I413" s="8">
        <v>22.46</v>
      </c>
      <c r="J413" s="8">
        <v>15.17</v>
      </c>
      <c r="K413" s="8">
        <v>3354.3</v>
      </c>
      <c r="L413" s="8">
        <v>483</v>
      </c>
      <c r="M413" s="11">
        <v>0.0725</v>
      </c>
      <c r="N413" s="11">
        <v>0.0857</v>
      </c>
      <c r="O413" s="8">
        <v>3</v>
      </c>
      <c r="P413" s="8">
        <v>3000</v>
      </c>
      <c r="Q413" s="11">
        <v>0.095</v>
      </c>
      <c r="R413" s="11">
        <v>0.3579</v>
      </c>
      <c r="S413" s="8">
        <v>104</v>
      </c>
      <c r="T413" s="11">
        <v>0.1325</v>
      </c>
      <c r="U413" s="11">
        <v>0.15</v>
      </c>
      <c r="V413" s="11">
        <v>0.2394</v>
      </c>
      <c r="W413" s="11">
        <v>0.312</v>
      </c>
      <c r="X413" s="8">
        <v>16.28</v>
      </c>
      <c r="Y413" s="8">
        <v>21</v>
      </c>
      <c r="Z413" s="8">
        <v>0.78</v>
      </c>
      <c r="AA413" s="8">
        <v>16.28</v>
      </c>
      <c r="AB413" s="8">
        <v>35.78</v>
      </c>
      <c r="AC413" s="8">
        <v>4.06</v>
      </c>
      <c r="AD413" s="8">
        <v>0</v>
      </c>
      <c r="AE413" s="8">
        <v>0</v>
      </c>
      <c r="AF413" s="11">
        <v>0</v>
      </c>
      <c r="AG413" s="8">
        <v>0</v>
      </c>
      <c r="AH413" s="8">
        <v>0</v>
      </c>
      <c r="AI413" s="11">
        <v>0</v>
      </c>
      <c r="AJ413" s="8" t="s">
        <v>844</v>
      </c>
    </row>
    <row r="414" customFormat="1" ht="22" customHeight="1" spans="1:36">
      <c r="A414" s="8" t="s">
        <v>37</v>
      </c>
      <c r="B414" s="8" t="e">
        <f>VLOOKUP(F414,[1]Sheet1!$B:$E,3,FALSE)</f>
        <v>#N/A</v>
      </c>
      <c r="C414" s="8" t="e">
        <f>VLOOKUP(F414,[1]Sheet1!$B:$E,4,FALSE)</f>
        <v>#N/A</v>
      </c>
      <c r="D414" s="12" t="s">
        <v>845</v>
      </c>
      <c r="E414" s="12">
        <v>0</v>
      </c>
      <c r="F414" s="13">
        <v>32711849</v>
      </c>
      <c r="G414" s="8">
        <v>65</v>
      </c>
      <c r="H414" s="12">
        <v>44.54</v>
      </c>
      <c r="I414" s="8">
        <v>34.74</v>
      </c>
      <c r="J414" s="8">
        <v>22.27</v>
      </c>
      <c r="K414" s="8">
        <v>1024.58</v>
      </c>
      <c r="L414" s="8">
        <v>135</v>
      </c>
      <c r="M414" s="11">
        <v>0.0815</v>
      </c>
      <c r="N414" s="11">
        <v>0.1818</v>
      </c>
      <c r="O414" s="8">
        <v>2</v>
      </c>
      <c r="P414" s="8">
        <v>1418</v>
      </c>
      <c r="Q414" s="11">
        <v>0.0825</v>
      </c>
      <c r="R414" s="11">
        <v>0.2564</v>
      </c>
      <c r="S414" s="8">
        <v>31</v>
      </c>
      <c r="T414" s="11">
        <v>0.1667</v>
      </c>
      <c r="U414" s="11">
        <v>0.1429</v>
      </c>
      <c r="V414" s="11">
        <v>0.2151</v>
      </c>
      <c r="W414" s="11">
        <v>0.3225</v>
      </c>
      <c r="X414" s="8">
        <v>0</v>
      </c>
      <c r="Y414" s="8">
        <v>0</v>
      </c>
      <c r="Z414" s="8">
        <v>-0.01</v>
      </c>
      <c r="AA414" s="8">
        <v>0</v>
      </c>
      <c r="AB414" s="8">
        <v>0</v>
      </c>
      <c r="AC414" s="8">
        <v>2.08</v>
      </c>
      <c r="AD414" s="8">
        <v>0</v>
      </c>
      <c r="AE414" s="8">
        <v>0</v>
      </c>
      <c r="AF414" s="11">
        <v>0</v>
      </c>
      <c r="AG414" s="8">
        <v>0</v>
      </c>
      <c r="AH414" s="8">
        <v>0</v>
      </c>
      <c r="AI414" s="11">
        <v>0</v>
      </c>
      <c r="AJ414" s="8" t="s">
        <v>846</v>
      </c>
    </row>
    <row r="415" customFormat="1" ht="22" customHeight="1" spans="1:36">
      <c r="A415" s="8" t="s">
        <v>37</v>
      </c>
      <c r="B415" s="8" t="str">
        <f>VLOOKUP(F415,[1]Sheet1!$B:$E,3,FALSE)</f>
        <v>王森</v>
      </c>
      <c r="C415" s="8">
        <f>VLOOKUP(F415,[1]Sheet1!$B:$E,4,FALSE)</f>
        <v>0</v>
      </c>
      <c r="D415" s="8" t="s">
        <v>847</v>
      </c>
      <c r="E415" s="8">
        <v>4.6</v>
      </c>
      <c r="F415" s="10">
        <v>32626446</v>
      </c>
      <c r="G415" s="8">
        <v>52</v>
      </c>
      <c r="H415" s="12">
        <v>42.98</v>
      </c>
      <c r="I415" s="8">
        <v>25.6</v>
      </c>
      <c r="J415" s="8">
        <v>14.33</v>
      </c>
      <c r="K415" s="8">
        <v>1380.25</v>
      </c>
      <c r="L415" s="8">
        <v>301</v>
      </c>
      <c r="M415" s="11">
        <v>0.0664</v>
      </c>
      <c r="N415" s="11">
        <v>0.1</v>
      </c>
      <c r="O415" s="8">
        <v>3</v>
      </c>
      <c r="P415" s="8">
        <v>1519</v>
      </c>
      <c r="Q415" s="11">
        <v>0.1145</v>
      </c>
      <c r="R415" s="11">
        <v>0.2529</v>
      </c>
      <c r="S415" s="8">
        <v>47</v>
      </c>
      <c r="T415" s="11">
        <v>0.1622</v>
      </c>
      <c r="U415" s="11">
        <v>0.1429</v>
      </c>
      <c r="V415" s="11">
        <v>0.2051</v>
      </c>
      <c r="W415" s="11">
        <v>0.2608</v>
      </c>
      <c r="X415" s="8">
        <v>0</v>
      </c>
      <c r="Y415" s="8">
        <v>0</v>
      </c>
      <c r="Z415" s="8">
        <v>-0.01</v>
      </c>
      <c r="AA415" s="8">
        <v>0</v>
      </c>
      <c r="AB415" s="8">
        <v>0</v>
      </c>
      <c r="AC415" s="8">
        <v>5.79</v>
      </c>
      <c r="AD415" s="8">
        <v>0</v>
      </c>
      <c r="AE415" s="8">
        <v>0</v>
      </c>
      <c r="AF415" s="11">
        <v>0</v>
      </c>
      <c r="AG415" s="8">
        <v>0</v>
      </c>
      <c r="AH415" s="8">
        <v>0</v>
      </c>
      <c r="AI415" s="11">
        <v>0</v>
      </c>
      <c r="AJ415" s="8" t="s">
        <v>848</v>
      </c>
    </row>
    <row r="416" customFormat="1" ht="22" customHeight="1" spans="1:36">
      <c r="A416" s="8" t="s">
        <v>37</v>
      </c>
      <c r="B416" s="8">
        <f>VLOOKUP(F416,[1]Sheet1!$B:$E,3,FALSE)</f>
        <v>1</v>
      </c>
      <c r="C416" s="8">
        <f>VLOOKUP(F416,[1]Sheet1!$B:$E,4,FALSE)</f>
        <v>0</v>
      </c>
      <c r="D416" s="12" t="s">
        <v>849</v>
      </c>
      <c r="E416" s="12">
        <v>3.7</v>
      </c>
      <c r="F416" s="13">
        <v>30103097</v>
      </c>
      <c r="G416" s="8">
        <v>185</v>
      </c>
      <c r="H416" s="12">
        <v>38.71</v>
      </c>
      <c r="I416" s="8">
        <v>14.48</v>
      </c>
      <c r="J416" s="8">
        <v>7.74</v>
      </c>
      <c r="K416" s="8">
        <v>1188.83</v>
      </c>
      <c r="L416" s="8">
        <v>784</v>
      </c>
      <c r="M416" s="11">
        <v>0.0446</v>
      </c>
      <c r="N416" s="11">
        <v>0.1429</v>
      </c>
      <c r="O416" s="8">
        <v>5</v>
      </c>
      <c r="P416" s="8">
        <v>2273</v>
      </c>
      <c r="Q416" s="11">
        <v>0.0774</v>
      </c>
      <c r="R416" s="11">
        <v>0.3182</v>
      </c>
      <c r="S416" s="8">
        <v>58</v>
      </c>
      <c r="T416" s="11">
        <v>0.0693</v>
      </c>
      <c r="U416" s="11">
        <v>0.1186</v>
      </c>
      <c r="V416" s="11">
        <v>0.2691</v>
      </c>
      <c r="W416" s="11">
        <v>0.3669</v>
      </c>
      <c r="X416" s="8">
        <v>8.87</v>
      </c>
      <c r="Y416" s="8">
        <v>20</v>
      </c>
      <c r="Z416" s="8">
        <v>0.44</v>
      </c>
      <c r="AA416" s="8">
        <v>8.87</v>
      </c>
      <c r="AB416" s="8">
        <v>22.91</v>
      </c>
      <c r="AC416" s="8">
        <v>4.24</v>
      </c>
      <c r="AD416" s="8">
        <v>0</v>
      </c>
      <c r="AE416" s="8">
        <v>0</v>
      </c>
      <c r="AF416" s="11">
        <v>0</v>
      </c>
      <c r="AG416" s="8">
        <v>0</v>
      </c>
      <c r="AH416" s="8">
        <v>0</v>
      </c>
      <c r="AI416" s="11">
        <v>0</v>
      </c>
      <c r="AJ416" s="8" t="s">
        <v>742</v>
      </c>
    </row>
    <row r="417" customFormat="1" ht="22" customHeight="1" spans="1:36">
      <c r="A417" s="8" t="s">
        <v>37</v>
      </c>
      <c r="B417" s="8" t="e">
        <f>VLOOKUP(F417,[1]Sheet1!$B:$E,3,FALSE)</f>
        <v>#N/A</v>
      </c>
      <c r="C417" s="8" t="e">
        <f>VLOOKUP(F417,[1]Sheet1!$B:$E,4,FALSE)</f>
        <v>#N/A</v>
      </c>
      <c r="D417" s="12" t="s">
        <v>850</v>
      </c>
      <c r="E417" s="12">
        <v>0</v>
      </c>
      <c r="F417" s="13">
        <v>34270419</v>
      </c>
      <c r="G417" s="8">
        <v>7</v>
      </c>
      <c r="H417" s="12">
        <v>38.39</v>
      </c>
      <c r="I417" s="8">
        <v>30.83</v>
      </c>
      <c r="J417" s="8">
        <v>19.2</v>
      </c>
      <c r="K417" s="8">
        <v>1346.31</v>
      </c>
      <c r="L417" s="8">
        <v>384</v>
      </c>
      <c r="M417" s="11">
        <v>0.1953</v>
      </c>
      <c r="N417" s="11">
        <v>0.0267</v>
      </c>
      <c r="O417" s="8">
        <v>2</v>
      </c>
      <c r="P417" s="8">
        <v>3372</v>
      </c>
      <c r="Q417" s="11">
        <v>0.0685</v>
      </c>
      <c r="R417" s="11">
        <v>0.2727</v>
      </c>
      <c r="S417" s="8">
        <v>65</v>
      </c>
      <c r="T417" s="11">
        <v>0.2</v>
      </c>
      <c r="U417" s="11">
        <v>0</v>
      </c>
      <c r="V417" s="11">
        <v>0.1557</v>
      </c>
      <c r="W417" s="11">
        <v>0.2275</v>
      </c>
      <c r="X417" s="8">
        <v>0</v>
      </c>
      <c r="Y417" s="8">
        <v>0</v>
      </c>
      <c r="Z417" s="8">
        <v>-0.01</v>
      </c>
      <c r="AA417" s="8">
        <v>0</v>
      </c>
      <c r="AB417" s="8">
        <v>0</v>
      </c>
      <c r="AC417" s="8">
        <v>54.86</v>
      </c>
      <c r="AD417" s="8">
        <v>0</v>
      </c>
      <c r="AE417" s="8">
        <v>0</v>
      </c>
      <c r="AF417" s="11">
        <v>0</v>
      </c>
      <c r="AG417" s="8">
        <v>0</v>
      </c>
      <c r="AH417" s="8">
        <v>0</v>
      </c>
      <c r="AI417" s="11">
        <v>0</v>
      </c>
      <c r="AJ417" s="8" t="s">
        <v>851</v>
      </c>
    </row>
    <row r="418" customFormat="1" ht="22" customHeight="1" spans="1:36">
      <c r="A418" s="8" t="s">
        <v>37</v>
      </c>
      <c r="B418" s="8" t="e">
        <f>VLOOKUP(F418,[1]Sheet1!$B:$E,3,FALSE)</f>
        <v>#N/A</v>
      </c>
      <c r="C418" s="8" t="e">
        <f>VLOOKUP(F418,[1]Sheet1!$B:$E,4,FALSE)</f>
        <v>#N/A</v>
      </c>
      <c r="D418" s="8" t="s">
        <v>852</v>
      </c>
      <c r="E418" s="8">
        <v>4.6</v>
      </c>
      <c r="F418" s="10">
        <v>34079344</v>
      </c>
      <c r="G418" s="8">
        <v>14</v>
      </c>
      <c r="H418" s="12">
        <v>37.15</v>
      </c>
      <c r="I418" s="8">
        <v>16.8</v>
      </c>
      <c r="J418" s="8">
        <v>9.29</v>
      </c>
      <c r="K418" s="8">
        <v>3928.19</v>
      </c>
      <c r="L418" s="8">
        <v>826</v>
      </c>
      <c r="M418" s="11">
        <v>0.046</v>
      </c>
      <c r="N418" s="11">
        <v>0.1053</v>
      </c>
      <c r="O418" s="8">
        <v>4</v>
      </c>
      <c r="P418" s="8">
        <v>4495</v>
      </c>
      <c r="Q418" s="11">
        <v>0.0943</v>
      </c>
      <c r="R418" s="11">
        <v>0.3821</v>
      </c>
      <c r="S418" s="8">
        <v>171</v>
      </c>
      <c r="T418" s="11">
        <v>0</v>
      </c>
      <c r="U418" s="11">
        <v>0</v>
      </c>
      <c r="V418" s="11">
        <v>0.2658</v>
      </c>
      <c r="W418" s="11">
        <v>0.3203</v>
      </c>
      <c r="X418" s="8">
        <v>0</v>
      </c>
      <c r="Y418" s="8">
        <v>0</v>
      </c>
      <c r="Z418" s="8">
        <v>-0.01</v>
      </c>
      <c r="AA418" s="8">
        <v>0</v>
      </c>
      <c r="AB418" s="8">
        <v>0</v>
      </c>
      <c r="AC418" s="8">
        <v>59</v>
      </c>
      <c r="AD418" s="8">
        <v>1</v>
      </c>
      <c r="AE418" s="8">
        <v>0</v>
      </c>
      <c r="AF418" s="11">
        <v>0</v>
      </c>
      <c r="AG418" s="8">
        <v>0</v>
      </c>
      <c r="AH418" s="8">
        <v>1</v>
      </c>
      <c r="AI418" s="11">
        <v>1</v>
      </c>
      <c r="AJ418" s="8" t="s">
        <v>853</v>
      </c>
    </row>
    <row r="419" customFormat="1" ht="22" customHeight="1" spans="1:36">
      <c r="A419" s="8" t="s">
        <v>37</v>
      </c>
      <c r="B419" s="8" t="str">
        <f>VLOOKUP(F419,[1]Sheet1!$B:$E,3,FALSE)</f>
        <v>徐从众</v>
      </c>
      <c r="C419" s="9" t="str">
        <f>VLOOKUP(F419,[1]Sheet1!$B:$E,4,FALSE)</f>
        <v>A</v>
      </c>
      <c r="D419" s="8" t="s">
        <v>854</v>
      </c>
      <c r="E419" s="8">
        <v>4.9</v>
      </c>
      <c r="F419" s="10">
        <v>31152401</v>
      </c>
      <c r="G419" s="8">
        <v>160</v>
      </c>
      <c r="H419" s="12">
        <v>35.61</v>
      </c>
      <c r="I419" s="8">
        <v>31.55</v>
      </c>
      <c r="J419" s="8">
        <v>17.8</v>
      </c>
      <c r="K419" s="8">
        <v>3944.23</v>
      </c>
      <c r="L419" s="8">
        <v>154</v>
      </c>
      <c r="M419" s="11">
        <v>0.0974</v>
      </c>
      <c r="N419" s="11">
        <v>0.1333</v>
      </c>
      <c r="O419" s="8">
        <v>2</v>
      </c>
      <c r="P419" s="8">
        <v>3669</v>
      </c>
      <c r="Q419" s="11">
        <v>0.0924</v>
      </c>
      <c r="R419" s="11">
        <v>0.3569</v>
      </c>
      <c r="S419" s="8">
        <v>123</v>
      </c>
      <c r="T419" s="11">
        <v>0.1639</v>
      </c>
      <c r="U419" s="11">
        <v>0.4054</v>
      </c>
      <c r="V419" s="11">
        <v>0.2567</v>
      </c>
      <c r="W419" s="11">
        <v>0.3377</v>
      </c>
      <c r="X419" s="8">
        <v>0</v>
      </c>
      <c r="Y419" s="8">
        <v>0</v>
      </c>
      <c r="Z419" s="8">
        <v>-0.01</v>
      </c>
      <c r="AA419" s="8">
        <v>0</v>
      </c>
      <c r="AB419" s="8">
        <v>0</v>
      </c>
      <c r="AC419" s="8">
        <v>0.96</v>
      </c>
      <c r="AD419" s="8">
        <v>0</v>
      </c>
      <c r="AE419" s="8">
        <v>0</v>
      </c>
      <c r="AF419" s="11">
        <v>0</v>
      </c>
      <c r="AG419" s="8">
        <v>0</v>
      </c>
      <c r="AH419" s="8">
        <v>0</v>
      </c>
      <c r="AI419" s="11">
        <v>0</v>
      </c>
      <c r="AJ419" s="8" t="s">
        <v>855</v>
      </c>
    </row>
    <row r="420" customFormat="1" ht="22" customHeight="1" spans="1:36">
      <c r="A420" s="8" t="s">
        <v>37</v>
      </c>
      <c r="B420" s="8" t="e">
        <f>VLOOKUP(F420,[1]Sheet1!$B:$E,3,FALSE)</f>
        <v>#N/A</v>
      </c>
      <c r="C420" s="8" t="e">
        <f>VLOOKUP(F420,[1]Sheet1!$B:$E,4,FALSE)</f>
        <v>#N/A</v>
      </c>
      <c r="D420" s="8" t="s">
        <v>856</v>
      </c>
      <c r="E420" s="8">
        <v>4.4</v>
      </c>
      <c r="F420" s="10">
        <v>33869521</v>
      </c>
      <c r="G420" s="8">
        <v>316</v>
      </c>
      <c r="H420" s="12">
        <v>35.56</v>
      </c>
      <c r="I420" s="8">
        <v>0</v>
      </c>
      <c r="J420" s="8">
        <v>0</v>
      </c>
      <c r="K420" s="8">
        <v>0</v>
      </c>
      <c r="L420" s="8">
        <v>40</v>
      </c>
      <c r="M420" s="11">
        <v>0.05</v>
      </c>
      <c r="N420" s="11">
        <v>0</v>
      </c>
      <c r="O420" s="8">
        <v>0</v>
      </c>
      <c r="P420" s="8">
        <v>0</v>
      </c>
      <c r="Q420" s="11">
        <v>0</v>
      </c>
      <c r="R420" s="11">
        <v>0</v>
      </c>
      <c r="S420" s="8">
        <v>0</v>
      </c>
      <c r="T420" s="11">
        <v>0.1535</v>
      </c>
      <c r="U420" s="11">
        <v>0.5</v>
      </c>
      <c r="V420" s="11">
        <v>0.235</v>
      </c>
      <c r="W420" s="11">
        <v>0.3053</v>
      </c>
      <c r="X420" s="8">
        <v>0</v>
      </c>
      <c r="Y420" s="8">
        <v>0</v>
      </c>
      <c r="Z420" s="8">
        <v>-0.01</v>
      </c>
      <c r="AA420" s="8">
        <v>0</v>
      </c>
      <c r="AB420" s="8">
        <v>0</v>
      </c>
      <c r="AC420" s="8">
        <v>0.13</v>
      </c>
      <c r="AD420" s="8">
        <v>0</v>
      </c>
      <c r="AE420" s="8">
        <v>0</v>
      </c>
      <c r="AF420" s="11">
        <v>0</v>
      </c>
      <c r="AG420" s="8">
        <v>0</v>
      </c>
      <c r="AH420" s="8">
        <v>0</v>
      </c>
      <c r="AI420" s="11">
        <v>0</v>
      </c>
      <c r="AJ420" s="8" t="s">
        <v>857</v>
      </c>
    </row>
    <row r="421" customFormat="1" ht="22" customHeight="1" spans="1:36">
      <c r="A421" s="8" t="s">
        <v>37</v>
      </c>
      <c r="B421" s="8" t="str">
        <f>VLOOKUP(F421,[1]Sheet1!$B:$E,3,FALSE)</f>
        <v>王森</v>
      </c>
      <c r="C421" s="8">
        <f>VLOOKUP(F421,[1]Sheet1!$B:$E,4,FALSE)</f>
        <v>0</v>
      </c>
      <c r="D421" s="8" t="s">
        <v>858</v>
      </c>
      <c r="E421" s="8">
        <v>4.6</v>
      </c>
      <c r="F421" s="10">
        <v>25273055</v>
      </c>
      <c r="G421" s="8">
        <v>67</v>
      </c>
      <c r="H421" s="12">
        <v>34.55</v>
      </c>
      <c r="I421" s="8">
        <v>27.95</v>
      </c>
      <c r="J421" s="8">
        <v>17.27</v>
      </c>
      <c r="K421" s="8">
        <v>2750.38</v>
      </c>
      <c r="L421" s="8">
        <v>338</v>
      </c>
      <c r="M421" s="11">
        <v>0.071</v>
      </c>
      <c r="N421" s="11">
        <v>0.0833</v>
      </c>
      <c r="O421" s="8">
        <v>2</v>
      </c>
      <c r="P421" s="8">
        <v>2543</v>
      </c>
      <c r="Q421" s="11">
        <v>0.1258</v>
      </c>
      <c r="R421" s="11">
        <v>0.3031</v>
      </c>
      <c r="S421" s="8">
        <v>100</v>
      </c>
      <c r="T421" s="11">
        <v>0.1304</v>
      </c>
      <c r="U421" s="11">
        <v>0.5</v>
      </c>
      <c r="V421" s="11">
        <v>0.2275</v>
      </c>
      <c r="W421" s="11">
        <v>0.3196</v>
      </c>
      <c r="X421" s="8">
        <v>0</v>
      </c>
      <c r="Y421" s="8">
        <v>0</v>
      </c>
      <c r="Z421" s="8">
        <v>-0.01</v>
      </c>
      <c r="AA421" s="8">
        <v>0</v>
      </c>
      <c r="AB421" s="8">
        <v>0</v>
      </c>
      <c r="AC421" s="8">
        <v>5.04</v>
      </c>
      <c r="AD421" s="8">
        <v>0</v>
      </c>
      <c r="AE421" s="8">
        <v>0</v>
      </c>
      <c r="AF421" s="11">
        <v>0</v>
      </c>
      <c r="AG421" s="8">
        <v>0</v>
      </c>
      <c r="AH421" s="8">
        <v>0</v>
      </c>
      <c r="AI421" s="11">
        <v>0</v>
      </c>
      <c r="AJ421" s="8" t="s">
        <v>859</v>
      </c>
    </row>
    <row r="422" customFormat="1" ht="22" customHeight="1" spans="1:36">
      <c r="A422" s="8" t="s">
        <v>37</v>
      </c>
      <c r="B422" s="8" t="str">
        <f>VLOOKUP(F422,[1]Sheet1!$B:$E,3,FALSE)</f>
        <v>刘欢</v>
      </c>
      <c r="C422" s="8" t="str">
        <f>VLOOKUP(F422,[1]Sheet1!$B:$E,4,FALSE)</f>
        <v>C</v>
      </c>
      <c r="D422" s="8" t="s">
        <v>860</v>
      </c>
      <c r="E422" s="8">
        <v>4.5</v>
      </c>
      <c r="F422" s="10">
        <v>33335036</v>
      </c>
      <c r="G422" s="8">
        <v>152</v>
      </c>
      <c r="H422" s="12">
        <v>20.92</v>
      </c>
      <c r="I422" s="8">
        <v>12.93</v>
      </c>
      <c r="J422" s="8">
        <v>6.97</v>
      </c>
      <c r="K422" s="8">
        <v>1621.78</v>
      </c>
      <c r="L422" s="8">
        <v>400</v>
      </c>
      <c r="M422" s="11">
        <v>0.0475</v>
      </c>
      <c r="N422" s="11">
        <v>0.1579</v>
      </c>
      <c r="O422" s="8">
        <v>3</v>
      </c>
      <c r="P422" s="8">
        <v>1258</v>
      </c>
      <c r="Q422" s="11">
        <v>0.1343</v>
      </c>
      <c r="R422" s="11">
        <v>0.4142</v>
      </c>
      <c r="S422" s="8">
        <v>73</v>
      </c>
      <c r="T422" s="11">
        <v>0.0547</v>
      </c>
      <c r="U422" s="11">
        <v>0.1</v>
      </c>
      <c r="V422" s="11">
        <v>0.2477</v>
      </c>
      <c r="W422" s="11">
        <v>0.337</v>
      </c>
      <c r="X422" s="8">
        <v>0</v>
      </c>
      <c r="Y422" s="8">
        <v>0</v>
      </c>
      <c r="Z422" s="8">
        <v>-0.01</v>
      </c>
      <c r="AA422" s="8">
        <v>0</v>
      </c>
      <c r="AB422" s="8">
        <v>0</v>
      </c>
      <c r="AC422" s="8">
        <v>2.63</v>
      </c>
      <c r="AD422" s="8">
        <v>0</v>
      </c>
      <c r="AE422" s="8">
        <v>0</v>
      </c>
      <c r="AF422" s="11">
        <v>0</v>
      </c>
      <c r="AG422" s="8">
        <v>0</v>
      </c>
      <c r="AH422" s="8">
        <v>0</v>
      </c>
      <c r="AI422" s="11">
        <v>0</v>
      </c>
      <c r="AJ422" s="8" t="s">
        <v>861</v>
      </c>
    </row>
    <row r="423" customFormat="1" ht="22" customHeight="1" spans="1:36">
      <c r="A423" s="8" t="s">
        <v>37</v>
      </c>
      <c r="B423" s="8" t="e">
        <f>VLOOKUP(F423,[1]Sheet1!$B:$E,3,FALSE)</f>
        <v>#N/A</v>
      </c>
      <c r="C423" s="8" t="e">
        <f>VLOOKUP(F423,[1]Sheet1!$B:$E,4,FALSE)</f>
        <v>#N/A</v>
      </c>
      <c r="D423" s="8" t="s">
        <v>862</v>
      </c>
      <c r="E423" s="8">
        <v>4.8</v>
      </c>
      <c r="F423" s="10">
        <v>33338846</v>
      </c>
      <c r="G423" s="8">
        <v>59</v>
      </c>
      <c r="H423" s="12">
        <v>18.14</v>
      </c>
      <c r="I423" s="8">
        <v>23.2</v>
      </c>
      <c r="J423" s="8">
        <v>18.14</v>
      </c>
      <c r="K423" s="8">
        <v>3051.36</v>
      </c>
      <c r="L423" s="8">
        <v>57</v>
      </c>
      <c r="M423" s="11">
        <v>0.1228</v>
      </c>
      <c r="N423" s="11">
        <v>0.1429</v>
      </c>
      <c r="O423" s="8">
        <v>1</v>
      </c>
      <c r="P423" s="8">
        <v>3405</v>
      </c>
      <c r="Q423" s="11">
        <v>0.0831</v>
      </c>
      <c r="R423" s="11">
        <v>0.371</v>
      </c>
      <c r="S423" s="8">
        <v>107</v>
      </c>
      <c r="T423" s="11">
        <v>0.1515</v>
      </c>
      <c r="U423" s="11">
        <v>0.6</v>
      </c>
      <c r="V423" s="11">
        <v>0.225</v>
      </c>
      <c r="W423" s="11">
        <v>0.3064</v>
      </c>
      <c r="X423" s="8">
        <v>0</v>
      </c>
      <c r="Y423" s="8">
        <v>0</v>
      </c>
      <c r="Z423" s="8">
        <v>-0.01</v>
      </c>
      <c r="AA423" s="8">
        <v>0</v>
      </c>
      <c r="AB423" s="8">
        <v>0</v>
      </c>
      <c r="AC423" s="8">
        <v>0.97</v>
      </c>
      <c r="AD423" s="8">
        <v>0</v>
      </c>
      <c r="AE423" s="8">
        <v>0</v>
      </c>
      <c r="AF423" s="11">
        <v>0</v>
      </c>
      <c r="AG423" s="8">
        <v>0</v>
      </c>
      <c r="AH423" s="8">
        <v>0</v>
      </c>
      <c r="AI423" s="11">
        <v>0</v>
      </c>
      <c r="AJ423" s="8" t="s">
        <v>863</v>
      </c>
    </row>
    <row r="424" customFormat="1" ht="22" customHeight="1" spans="1:36">
      <c r="A424" s="8" t="s">
        <v>37</v>
      </c>
      <c r="B424" s="8" t="e">
        <f>VLOOKUP(F424,[1]Sheet1!$B:$E,3,FALSE)</f>
        <v>#N/A</v>
      </c>
      <c r="C424" s="8" t="e">
        <f>VLOOKUP(F424,[1]Sheet1!$B:$E,4,FALSE)</f>
        <v>#N/A</v>
      </c>
      <c r="D424" s="8" t="s">
        <v>864</v>
      </c>
      <c r="E424" s="8">
        <v>4.8</v>
      </c>
      <c r="F424" s="10">
        <v>26974871</v>
      </c>
      <c r="G424" s="8">
        <v>105</v>
      </c>
      <c r="H424" s="12">
        <v>16.57</v>
      </c>
      <c r="I424" s="8">
        <v>18.55</v>
      </c>
      <c r="J424" s="8">
        <v>8.28</v>
      </c>
      <c r="K424" s="8">
        <v>3339.96</v>
      </c>
      <c r="L424" s="8">
        <v>261</v>
      </c>
      <c r="M424" s="11">
        <v>0.0996</v>
      </c>
      <c r="N424" s="11">
        <v>0.1154</v>
      </c>
      <c r="O424" s="8">
        <v>2</v>
      </c>
      <c r="P424" s="8">
        <v>4176</v>
      </c>
      <c r="Q424" s="11">
        <v>0.0886</v>
      </c>
      <c r="R424" s="11">
        <v>0.3297</v>
      </c>
      <c r="S424" s="8">
        <v>126</v>
      </c>
      <c r="T424" s="11">
        <v>0.2576</v>
      </c>
      <c r="U424" s="11">
        <v>0.2308</v>
      </c>
      <c r="V424" s="11">
        <v>0.2287</v>
      </c>
      <c r="W424" s="11">
        <v>0.3107</v>
      </c>
      <c r="X424" s="8">
        <v>0</v>
      </c>
      <c r="Y424" s="8">
        <v>0</v>
      </c>
      <c r="Z424" s="8">
        <v>-0.01</v>
      </c>
      <c r="AA424" s="8">
        <v>0</v>
      </c>
      <c r="AB424" s="8">
        <v>0</v>
      </c>
      <c r="AC424" s="8">
        <v>2.49</v>
      </c>
      <c r="AD424" s="8">
        <v>0</v>
      </c>
      <c r="AE424" s="8">
        <v>0</v>
      </c>
      <c r="AF424" s="11">
        <v>0</v>
      </c>
      <c r="AG424" s="8">
        <v>0</v>
      </c>
      <c r="AH424" s="8">
        <v>0</v>
      </c>
      <c r="AI424" s="11">
        <v>0</v>
      </c>
      <c r="AJ424" s="8" t="s">
        <v>865</v>
      </c>
    </row>
    <row r="425" customFormat="1" ht="22" customHeight="1" spans="1:36">
      <c r="A425" s="8" t="s">
        <v>37</v>
      </c>
      <c r="B425" s="8" t="e">
        <f>VLOOKUP(F425,[1]Sheet1!$B:$E,3,FALSE)</f>
        <v>#N/A</v>
      </c>
      <c r="C425" s="8" t="e">
        <f>VLOOKUP(F425,[1]Sheet1!$B:$E,4,FALSE)</f>
        <v>#N/A</v>
      </c>
      <c r="D425" s="12" t="s">
        <v>866</v>
      </c>
      <c r="E425" s="12">
        <v>0</v>
      </c>
      <c r="F425" s="13">
        <v>32495234</v>
      </c>
      <c r="G425" s="8">
        <v>27</v>
      </c>
      <c r="H425" s="12">
        <v>13.09</v>
      </c>
      <c r="I425" s="8">
        <v>22</v>
      </c>
      <c r="J425" s="8">
        <v>13.09</v>
      </c>
      <c r="K425" s="8">
        <v>4418.74</v>
      </c>
      <c r="L425" s="8">
        <v>97</v>
      </c>
      <c r="M425" s="11">
        <v>0.0309</v>
      </c>
      <c r="N425" s="11">
        <v>0.3333</v>
      </c>
      <c r="O425" s="8">
        <v>1</v>
      </c>
      <c r="P425" s="8">
        <v>6293</v>
      </c>
      <c r="Q425" s="11">
        <v>0.092</v>
      </c>
      <c r="R425" s="11">
        <v>0.2625</v>
      </c>
      <c r="S425" s="8">
        <v>159</v>
      </c>
      <c r="T425" s="11">
        <v>0.08</v>
      </c>
      <c r="U425" s="11">
        <v>0</v>
      </c>
      <c r="V425" s="11">
        <v>0.2041</v>
      </c>
      <c r="W425" s="11">
        <v>0.3039</v>
      </c>
      <c r="X425" s="8">
        <v>0.64</v>
      </c>
      <c r="Y425" s="8">
        <v>1</v>
      </c>
      <c r="Z425" s="8">
        <v>0.64</v>
      </c>
      <c r="AA425" s="8">
        <v>0.64</v>
      </c>
      <c r="AB425" s="8">
        <v>4.89</v>
      </c>
      <c r="AC425" s="8">
        <v>3.59</v>
      </c>
      <c r="AD425" s="8">
        <v>0</v>
      </c>
      <c r="AE425" s="8">
        <v>0</v>
      </c>
      <c r="AF425" s="11">
        <v>0</v>
      </c>
      <c r="AG425" s="8">
        <v>0</v>
      </c>
      <c r="AH425" s="8">
        <v>0</v>
      </c>
      <c r="AI425" s="11">
        <v>0</v>
      </c>
      <c r="AJ425" s="8" t="s">
        <v>867</v>
      </c>
    </row>
    <row r="426" customFormat="1" ht="22" customHeight="1" spans="1:36">
      <c r="A426" s="8" t="s">
        <v>37</v>
      </c>
      <c r="B426" s="8" t="str">
        <f>VLOOKUP(F426,[1]Sheet1!$B:$E,3,FALSE)</f>
        <v>王森</v>
      </c>
      <c r="C426" s="8">
        <f>VLOOKUP(F426,[1]Sheet1!$B:$E,4,FALSE)</f>
        <v>0</v>
      </c>
      <c r="D426" s="8" t="s">
        <v>868</v>
      </c>
      <c r="E426" s="8">
        <v>4.6</v>
      </c>
      <c r="F426" s="10">
        <v>33651305</v>
      </c>
      <c r="G426" s="8">
        <v>86</v>
      </c>
      <c r="H426" s="12">
        <v>11.66</v>
      </c>
      <c r="I426" s="8">
        <v>15.8</v>
      </c>
      <c r="J426" s="8">
        <v>5.83</v>
      </c>
      <c r="K426" s="8">
        <v>2068.26</v>
      </c>
      <c r="L426" s="8">
        <v>225</v>
      </c>
      <c r="M426" s="11">
        <v>0.0489</v>
      </c>
      <c r="N426" s="11">
        <v>0.1818</v>
      </c>
      <c r="O426" s="8">
        <v>2</v>
      </c>
      <c r="P426" s="8">
        <v>1843</v>
      </c>
      <c r="Q426" s="11">
        <v>0.1009</v>
      </c>
      <c r="R426" s="11">
        <v>0.3602</v>
      </c>
      <c r="S426" s="8">
        <v>70</v>
      </c>
      <c r="T426" s="11">
        <v>0.1964</v>
      </c>
      <c r="U426" s="11">
        <v>0.25</v>
      </c>
      <c r="V426" s="11">
        <v>0.237</v>
      </c>
      <c r="W426" s="11">
        <v>0.3293</v>
      </c>
      <c r="X426" s="8">
        <v>0</v>
      </c>
      <c r="Y426" s="8">
        <v>0</v>
      </c>
      <c r="Z426" s="8">
        <v>-0.01</v>
      </c>
      <c r="AA426" s="8">
        <v>0</v>
      </c>
      <c r="AB426" s="8">
        <v>0</v>
      </c>
      <c r="AC426" s="8">
        <v>2.62</v>
      </c>
      <c r="AD426" s="8">
        <v>0</v>
      </c>
      <c r="AE426" s="8">
        <v>0</v>
      </c>
      <c r="AF426" s="11">
        <v>0</v>
      </c>
      <c r="AG426" s="8">
        <v>0</v>
      </c>
      <c r="AH426" s="8">
        <v>0</v>
      </c>
      <c r="AI426" s="11">
        <v>0</v>
      </c>
      <c r="AJ426" s="8" t="s">
        <v>869</v>
      </c>
    </row>
    <row r="427" customFormat="1" ht="22" customHeight="1" spans="1:36">
      <c r="A427" s="8" t="s">
        <v>37</v>
      </c>
      <c r="B427" s="8" t="str">
        <f>VLOOKUP(F427,[1]Sheet1!$B:$E,3,FALSE)</f>
        <v>刘欢</v>
      </c>
      <c r="C427" s="8" t="str">
        <f>VLOOKUP(F427,[1]Sheet1!$B:$E,4,FALSE)</f>
        <v>C</v>
      </c>
      <c r="D427" s="8" t="s">
        <v>870</v>
      </c>
      <c r="E427" s="8">
        <v>4.7</v>
      </c>
      <c r="F427" s="10">
        <v>30216313</v>
      </c>
      <c r="G427" s="8">
        <v>59</v>
      </c>
      <c r="H427" s="12">
        <v>7.83</v>
      </c>
      <c r="I427" s="8">
        <v>15.4</v>
      </c>
      <c r="J427" s="8">
        <v>7.83</v>
      </c>
      <c r="K427" s="8">
        <v>576.61</v>
      </c>
      <c r="L427" s="8">
        <v>225</v>
      </c>
      <c r="M427" s="11">
        <v>0.0578</v>
      </c>
      <c r="N427" s="11">
        <v>0.0769</v>
      </c>
      <c r="O427" s="8">
        <v>1</v>
      </c>
      <c r="P427" s="8">
        <v>1529</v>
      </c>
      <c r="Q427" s="11">
        <v>0.0628</v>
      </c>
      <c r="R427" s="11">
        <v>0.3438</v>
      </c>
      <c r="S427" s="8">
        <v>36</v>
      </c>
      <c r="T427" s="11">
        <v>0.1562</v>
      </c>
      <c r="U427" s="11">
        <v>0.0526</v>
      </c>
      <c r="V427" s="11">
        <v>0.2078</v>
      </c>
      <c r="W427" s="11">
        <v>0.2715</v>
      </c>
      <c r="X427" s="8">
        <v>0</v>
      </c>
      <c r="Y427" s="8">
        <v>0</v>
      </c>
      <c r="Z427" s="8">
        <v>-0.01</v>
      </c>
      <c r="AA427" s="8">
        <v>0</v>
      </c>
      <c r="AB427" s="8">
        <v>0</v>
      </c>
      <c r="AC427" s="8">
        <v>3.81</v>
      </c>
      <c r="AD427" s="8">
        <v>0</v>
      </c>
      <c r="AE427" s="8">
        <v>0</v>
      </c>
      <c r="AF427" s="11">
        <v>0</v>
      </c>
      <c r="AG427" s="8">
        <v>0</v>
      </c>
      <c r="AH427" s="8">
        <v>0</v>
      </c>
      <c r="AI427" s="11">
        <v>0</v>
      </c>
      <c r="AJ427" s="8" t="s">
        <v>871</v>
      </c>
    </row>
    <row r="428" customFormat="1" ht="22" customHeight="1" spans="1:36">
      <c r="A428" s="8" t="s">
        <v>37</v>
      </c>
      <c r="B428" s="8" t="str">
        <f>VLOOKUP(F428,[1]Sheet1!$B:$E,3,FALSE)</f>
        <v>王森</v>
      </c>
      <c r="C428" s="8">
        <f>VLOOKUP(F428,[1]Sheet1!$B:$E,4,FALSE)</f>
        <v>0</v>
      </c>
      <c r="D428" s="12" t="s">
        <v>872</v>
      </c>
      <c r="E428" s="12">
        <v>0</v>
      </c>
      <c r="F428" s="13">
        <v>29929399</v>
      </c>
      <c r="G428" s="8">
        <v>31</v>
      </c>
      <c r="H428" s="12">
        <v>7.52</v>
      </c>
      <c r="I428" s="8">
        <v>13.63</v>
      </c>
      <c r="J428" s="8">
        <v>3.76</v>
      </c>
      <c r="K428" s="8">
        <v>2384.81</v>
      </c>
      <c r="L428" s="8">
        <v>393</v>
      </c>
      <c r="M428" s="11">
        <v>0.0458</v>
      </c>
      <c r="N428" s="11">
        <v>0.1111</v>
      </c>
      <c r="O428" s="8">
        <v>2</v>
      </c>
      <c r="P428" s="8">
        <v>5660</v>
      </c>
      <c r="Q428" s="11">
        <v>0.0721</v>
      </c>
      <c r="R428" s="11">
        <v>0.2451</v>
      </c>
      <c r="S428" s="8">
        <v>104</v>
      </c>
      <c r="T428" s="11">
        <v>0.25</v>
      </c>
      <c r="U428" s="11">
        <v>0</v>
      </c>
      <c r="V428" s="11">
        <v>0.1964</v>
      </c>
      <c r="W428" s="11">
        <v>0.2971</v>
      </c>
      <c r="X428" s="8">
        <v>18.94</v>
      </c>
      <c r="Y428" s="8">
        <v>34</v>
      </c>
      <c r="Z428" s="8">
        <v>0.56</v>
      </c>
      <c r="AA428" s="8">
        <v>18.94</v>
      </c>
      <c r="AB428" s="8">
        <v>251.86</v>
      </c>
      <c r="AC428" s="8">
        <v>12.68</v>
      </c>
      <c r="AD428" s="8">
        <v>1</v>
      </c>
      <c r="AE428" s="8">
        <v>0</v>
      </c>
      <c r="AF428" s="11">
        <v>0</v>
      </c>
      <c r="AG428" s="8">
        <v>0</v>
      </c>
      <c r="AH428" s="8">
        <v>1</v>
      </c>
      <c r="AI428" s="11">
        <v>1</v>
      </c>
      <c r="AJ428" s="8" t="s">
        <v>873</v>
      </c>
    </row>
    <row r="429" customFormat="1" ht="22" customHeight="1" spans="1:36">
      <c r="A429" s="8" t="s">
        <v>37</v>
      </c>
      <c r="B429" s="8" t="str">
        <f>VLOOKUP(F429,[1]Sheet1!$B:$E,3,FALSE)</f>
        <v>徐从众</v>
      </c>
      <c r="C429" s="9" t="str">
        <f>VLOOKUP(F429,[1]Sheet1!$B:$E,4,FALSE)</f>
        <v>S</v>
      </c>
      <c r="D429" s="8" t="s">
        <v>874</v>
      </c>
      <c r="E429" s="8">
        <v>4.6</v>
      </c>
      <c r="F429" s="10">
        <v>29741027</v>
      </c>
      <c r="G429" s="8">
        <v>61</v>
      </c>
      <c r="H429" s="12">
        <v>6.3</v>
      </c>
      <c r="I429" s="8">
        <v>37.3</v>
      </c>
      <c r="J429" s="8">
        <v>6.3</v>
      </c>
      <c r="K429" s="8">
        <v>3257</v>
      </c>
      <c r="L429" s="8">
        <v>187</v>
      </c>
      <c r="M429" s="11">
        <v>0.1016</v>
      </c>
      <c r="N429" s="11">
        <v>0.0526</v>
      </c>
      <c r="O429" s="8">
        <v>1</v>
      </c>
      <c r="P429" s="8">
        <v>2846</v>
      </c>
      <c r="Q429" s="11">
        <v>0.098</v>
      </c>
      <c r="R429" s="11">
        <v>0.2186</v>
      </c>
      <c r="S429" s="8">
        <v>64</v>
      </c>
      <c r="T429" s="11">
        <v>0.1471</v>
      </c>
      <c r="U429" s="11">
        <v>0.1176</v>
      </c>
      <c r="V429" s="11">
        <v>0.2093</v>
      </c>
      <c r="W429" s="11">
        <v>0.3029</v>
      </c>
      <c r="X429" s="8">
        <v>1.33</v>
      </c>
      <c r="Y429" s="8">
        <v>2</v>
      </c>
      <c r="Z429" s="8">
        <v>0.67</v>
      </c>
      <c r="AA429" s="8">
        <v>1.33</v>
      </c>
      <c r="AB429" s="8">
        <v>21.11</v>
      </c>
      <c r="AC429" s="8">
        <v>3.07</v>
      </c>
      <c r="AD429" s="8">
        <v>0</v>
      </c>
      <c r="AE429" s="8">
        <v>0</v>
      </c>
      <c r="AF429" s="11">
        <v>0</v>
      </c>
      <c r="AG429" s="8">
        <v>0</v>
      </c>
      <c r="AH429" s="8">
        <v>0</v>
      </c>
      <c r="AI429" s="11">
        <v>0</v>
      </c>
      <c r="AJ429" s="8" t="s">
        <v>875</v>
      </c>
    </row>
    <row r="430" customFormat="1" ht="22" customHeight="1" spans="1:36">
      <c r="A430" s="8" t="s">
        <v>37</v>
      </c>
      <c r="B430" s="8" t="e">
        <f>VLOOKUP(F430,[1]Sheet1!$B:$E,3,FALSE)</f>
        <v>#N/A</v>
      </c>
      <c r="C430" s="8" t="e">
        <f>VLOOKUP(F430,[1]Sheet1!$B:$E,4,FALSE)</f>
        <v>#N/A</v>
      </c>
      <c r="D430" s="12" t="s">
        <v>876</v>
      </c>
      <c r="E430" s="12">
        <v>0</v>
      </c>
      <c r="F430" s="13">
        <v>32532688</v>
      </c>
      <c r="G430" s="8">
        <v>0</v>
      </c>
      <c r="H430" s="12">
        <v>0</v>
      </c>
      <c r="I430" s="8">
        <v>0</v>
      </c>
      <c r="J430" s="8">
        <v>0</v>
      </c>
      <c r="K430" s="8">
        <v>1711.81</v>
      </c>
      <c r="L430" s="8">
        <v>1</v>
      </c>
      <c r="M430" s="11">
        <v>0</v>
      </c>
      <c r="N430" s="11">
        <v>0</v>
      </c>
      <c r="O430" s="8">
        <v>0</v>
      </c>
      <c r="P430" s="8">
        <v>0</v>
      </c>
      <c r="Q430" s="11">
        <v>0</v>
      </c>
      <c r="R430" s="11">
        <v>0</v>
      </c>
      <c r="S430" s="8">
        <v>72</v>
      </c>
      <c r="T430" s="11">
        <v>0</v>
      </c>
      <c r="U430" s="11">
        <v>0</v>
      </c>
      <c r="V430" s="11">
        <v>0</v>
      </c>
      <c r="W430" s="11">
        <v>0</v>
      </c>
      <c r="X430" s="8">
        <v>0</v>
      </c>
      <c r="Y430" s="8">
        <v>0</v>
      </c>
      <c r="Z430" s="8">
        <v>-0.01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11">
        <v>0</v>
      </c>
      <c r="AG430" s="8">
        <v>0</v>
      </c>
      <c r="AH430" s="8">
        <v>0</v>
      </c>
      <c r="AI430" s="11">
        <v>0</v>
      </c>
      <c r="AJ430" s="8" t="s">
        <v>857</v>
      </c>
    </row>
    <row r="431" customFormat="1" ht="22" customHeight="1" spans="1:36">
      <c r="A431" s="8" t="s">
        <v>37</v>
      </c>
      <c r="B431" s="8" t="str">
        <f>VLOOKUP(F431,[1]Sheet1!$B:$E,3,FALSE)</f>
        <v>刘欢</v>
      </c>
      <c r="C431" s="8" t="str">
        <f>VLOOKUP(F431,[1]Sheet1!$B:$E,4,FALSE)</f>
        <v>C</v>
      </c>
      <c r="D431" s="12" t="s">
        <v>877</v>
      </c>
      <c r="E431" s="12">
        <v>4.2</v>
      </c>
      <c r="F431" s="13">
        <v>28186636</v>
      </c>
      <c r="G431" s="8">
        <v>7</v>
      </c>
      <c r="H431" s="12">
        <v>0</v>
      </c>
      <c r="I431" s="8">
        <v>0</v>
      </c>
      <c r="J431" s="8">
        <v>0</v>
      </c>
      <c r="K431" s="8">
        <v>902.18</v>
      </c>
      <c r="L431" s="8">
        <v>57</v>
      </c>
      <c r="M431" s="11">
        <v>0.0526</v>
      </c>
      <c r="N431" s="11">
        <v>0</v>
      </c>
      <c r="O431" s="8">
        <v>0</v>
      </c>
      <c r="P431" s="8">
        <v>1579</v>
      </c>
      <c r="Q431" s="11">
        <v>0.0836</v>
      </c>
      <c r="R431" s="11">
        <v>0.3712</v>
      </c>
      <c r="S431" s="8">
        <v>50</v>
      </c>
      <c r="T431" s="11">
        <v>0</v>
      </c>
      <c r="U431" s="11">
        <v>0</v>
      </c>
      <c r="V431" s="11">
        <v>0.246</v>
      </c>
      <c r="W431" s="11">
        <v>0.3161</v>
      </c>
      <c r="X431" s="8">
        <v>0</v>
      </c>
      <c r="Y431" s="8">
        <v>0</v>
      </c>
      <c r="Z431" s="8">
        <v>-0.01</v>
      </c>
      <c r="AA431" s="8">
        <v>0</v>
      </c>
      <c r="AB431" s="8">
        <v>0</v>
      </c>
      <c r="AC431" s="8">
        <v>8.14</v>
      </c>
      <c r="AD431" s="8">
        <v>0</v>
      </c>
      <c r="AE431" s="8">
        <v>0</v>
      </c>
      <c r="AF431" s="11">
        <v>0</v>
      </c>
      <c r="AG431" s="8">
        <v>0</v>
      </c>
      <c r="AH431" s="8">
        <v>0</v>
      </c>
      <c r="AI431" s="11">
        <v>0</v>
      </c>
      <c r="AJ431" s="8" t="s">
        <v>878</v>
      </c>
    </row>
    <row r="432" customFormat="1" ht="22" customHeight="1" spans="1:36">
      <c r="A432" s="8" t="s">
        <v>37</v>
      </c>
      <c r="B432" s="8" t="e">
        <f>VLOOKUP(F432,[1]Sheet1!$B:$E,3,FALSE)</f>
        <v>#N/A</v>
      </c>
      <c r="C432" s="8" t="e">
        <f>VLOOKUP(F432,[1]Sheet1!$B:$E,4,FALSE)</f>
        <v>#N/A</v>
      </c>
      <c r="D432" s="12" t="s">
        <v>879</v>
      </c>
      <c r="E432" s="12">
        <v>0</v>
      </c>
      <c r="F432" s="13">
        <v>34340310</v>
      </c>
      <c r="G432" s="8">
        <v>0</v>
      </c>
      <c r="H432" s="12">
        <v>0</v>
      </c>
      <c r="I432" s="8">
        <v>0</v>
      </c>
      <c r="J432" s="8">
        <v>0</v>
      </c>
      <c r="K432" s="8">
        <v>0</v>
      </c>
      <c r="L432" s="8">
        <v>0</v>
      </c>
      <c r="M432" s="11">
        <v>0</v>
      </c>
      <c r="N432" s="11">
        <v>0</v>
      </c>
      <c r="O432" s="8">
        <v>0</v>
      </c>
      <c r="P432" s="8">
        <v>0</v>
      </c>
      <c r="Q432" s="11">
        <v>0</v>
      </c>
      <c r="R432" s="11">
        <v>0</v>
      </c>
      <c r="S432" s="8">
        <v>0</v>
      </c>
      <c r="T432" s="11">
        <v>0</v>
      </c>
      <c r="U432" s="11">
        <v>0</v>
      </c>
      <c r="V432" s="11">
        <v>0</v>
      </c>
      <c r="W432" s="11">
        <v>0</v>
      </c>
      <c r="X432" s="8">
        <v>0</v>
      </c>
      <c r="Y432" s="8">
        <v>0</v>
      </c>
      <c r="Z432" s="8">
        <v>-0.01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11">
        <v>0</v>
      </c>
      <c r="AG432" s="8">
        <v>0</v>
      </c>
      <c r="AH432" s="8">
        <v>0</v>
      </c>
      <c r="AI432" s="11">
        <v>0</v>
      </c>
      <c r="AJ432" s="8" t="s">
        <v>857</v>
      </c>
    </row>
    <row r="433" customFormat="1" ht="22" customHeight="1" spans="1:36">
      <c r="A433" s="8" t="s">
        <v>37</v>
      </c>
      <c r="B433" s="8" t="str">
        <f>VLOOKUP(F433,[1]Sheet1!$B:$E,3,FALSE)</f>
        <v>岳贝贝</v>
      </c>
      <c r="C433" s="8" t="str">
        <f>VLOOKUP(F433,[1]Sheet1!$B:$E,4,FALSE)</f>
        <v>B</v>
      </c>
      <c r="D433" s="8" t="s">
        <v>880</v>
      </c>
      <c r="E433" s="8">
        <v>4.8</v>
      </c>
      <c r="F433" s="10">
        <v>33445174</v>
      </c>
      <c r="G433" s="8">
        <v>184</v>
      </c>
      <c r="H433" s="12">
        <v>0</v>
      </c>
      <c r="I433" s="8">
        <v>0</v>
      </c>
      <c r="J433" s="8">
        <v>0</v>
      </c>
      <c r="K433" s="8">
        <v>4605.6</v>
      </c>
      <c r="L433" s="8">
        <v>23</v>
      </c>
      <c r="M433" s="11">
        <v>0.087</v>
      </c>
      <c r="N433" s="11">
        <v>0</v>
      </c>
      <c r="O433" s="8">
        <v>0</v>
      </c>
      <c r="P433" s="8">
        <v>0</v>
      </c>
      <c r="Q433" s="11">
        <v>0</v>
      </c>
      <c r="R433" s="11">
        <v>0</v>
      </c>
      <c r="S433" s="8">
        <v>126</v>
      </c>
      <c r="T433" s="11">
        <v>0.0279</v>
      </c>
      <c r="U433" s="11">
        <v>0</v>
      </c>
      <c r="V433" s="11">
        <v>0.2566</v>
      </c>
      <c r="W433" s="11">
        <v>0.3357</v>
      </c>
      <c r="X433" s="8">
        <v>0</v>
      </c>
      <c r="Y433" s="8">
        <v>0</v>
      </c>
      <c r="Z433" s="8">
        <v>-0.01</v>
      </c>
      <c r="AA433" s="8">
        <v>0</v>
      </c>
      <c r="AB433" s="8">
        <v>0</v>
      </c>
      <c r="AC433" s="8">
        <v>0.13</v>
      </c>
      <c r="AD433" s="8">
        <v>0</v>
      </c>
      <c r="AE433" s="8">
        <v>0</v>
      </c>
      <c r="AF433" s="11">
        <v>0</v>
      </c>
      <c r="AG433" s="8">
        <v>0</v>
      </c>
      <c r="AH433" s="8">
        <v>0</v>
      </c>
      <c r="AI433" s="11">
        <v>0</v>
      </c>
      <c r="AJ433" s="8" t="s">
        <v>857</v>
      </c>
    </row>
    <row r="434" customFormat="1" ht="22" customHeight="1" spans="1:36">
      <c r="A434" s="8" t="s">
        <v>37</v>
      </c>
      <c r="B434" s="8" t="e">
        <f>VLOOKUP(F434,[1]Sheet1!$B:$E,3,FALSE)</f>
        <v>#N/A</v>
      </c>
      <c r="C434" s="8" t="e">
        <f>VLOOKUP(F434,[1]Sheet1!$B:$E,4,FALSE)</f>
        <v>#N/A</v>
      </c>
      <c r="D434" s="12" t="s">
        <v>881</v>
      </c>
      <c r="E434" s="12">
        <v>0</v>
      </c>
      <c r="F434" s="13">
        <v>11084388</v>
      </c>
      <c r="G434" s="8">
        <v>0</v>
      </c>
      <c r="H434" s="12">
        <v>0</v>
      </c>
      <c r="I434" s="8">
        <v>0</v>
      </c>
      <c r="J434" s="8">
        <v>0</v>
      </c>
      <c r="K434" s="8">
        <v>0</v>
      </c>
      <c r="L434" s="8">
        <v>0</v>
      </c>
      <c r="M434" s="11">
        <v>0</v>
      </c>
      <c r="N434" s="11">
        <v>0</v>
      </c>
      <c r="O434" s="8">
        <v>0</v>
      </c>
      <c r="P434" s="8">
        <v>0</v>
      </c>
      <c r="Q434" s="11">
        <v>0</v>
      </c>
      <c r="R434" s="11">
        <v>0</v>
      </c>
      <c r="S434" s="8">
        <v>0</v>
      </c>
      <c r="T434" s="11">
        <v>0</v>
      </c>
      <c r="U434" s="11">
        <v>0</v>
      </c>
      <c r="V434" s="11">
        <v>0</v>
      </c>
      <c r="W434" s="11">
        <v>0</v>
      </c>
      <c r="X434" s="8">
        <v>0</v>
      </c>
      <c r="Y434" s="8">
        <v>0</v>
      </c>
      <c r="Z434" s="8">
        <v>-0.01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11">
        <v>0</v>
      </c>
      <c r="AG434" s="8">
        <v>0</v>
      </c>
      <c r="AH434" s="8">
        <v>0</v>
      </c>
      <c r="AI434" s="11">
        <v>0</v>
      </c>
      <c r="AJ434" s="8" t="s">
        <v>857</v>
      </c>
    </row>
    <row r="435" customFormat="1" ht="22" customHeight="1" spans="1:36">
      <c r="A435" s="8" t="s">
        <v>37</v>
      </c>
      <c r="B435" s="8" t="str">
        <f>VLOOKUP(F435,[1]Sheet1!$B:$E,3,FALSE)</f>
        <v>王森</v>
      </c>
      <c r="C435" s="9" t="str">
        <f>VLOOKUP(F435,[1]Sheet1!$B:$E,4,FALSE)</f>
        <v>A</v>
      </c>
      <c r="D435" s="8" t="s">
        <v>882</v>
      </c>
      <c r="E435" s="8">
        <v>4.4</v>
      </c>
      <c r="F435" s="10">
        <v>33627456</v>
      </c>
      <c r="G435" s="8">
        <v>296</v>
      </c>
      <c r="H435" s="12">
        <v>0</v>
      </c>
      <c r="I435" s="8">
        <v>0</v>
      </c>
      <c r="J435" s="8">
        <v>0</v>
      </c>
      <c r="K435" s="8">
        <v>460.45</v>
      </c>
      <c r="L435" s="8">
        <v>18</v>
      </c>
      <c r="M435" s="11">
        <v>0.1111</v>
      </c>
      <c r="N435" s="11">
        <v>0</v>
      </c>
      <c r="O435" s="8">
        <v>0</v>
      </c>
      <c r="P435" s="8">
        <v>0</v>
      </c>
      <c r="Q435" s="11">
        <v>0</v>
      </c>
      <c r="R435" s="11">
        <v>0</v>
      </c>
      <c r="S435" s="8">
        <v>3</v>
      </c>
      <c r="T435" s="11">
        <v>0.0717</v>
      </c>
      <c r="U435" s="11">
        <v>0.2</v>
      </c>
      <c r="V435" s="11">
        <v>0.1736</v>
      </c>
      <c r="W435" s="11">
        <v>0.3077</v>
      </c>
      <c r="X435" s="8">
        <v>0</v>
      </c>
      <c r="Y435" s="8">
        <v>0</v>
      </c>
      <c r="Z435" s="8">
        <v>-0.01</v>
      </c>
      <c r="AA435" s="8">
        <v>0</v>
      </c>
      <c r="AB435" s="8">
        <v>0</v>
      </c>
      <c r="AC435" s="8">
        <v>0.06</v>
      </c>
      <c r="AD435" s="8">
        <v>0</v>
      </c>
      <c r="AE435" s="8">
        <v>0</v>
      </c>
      <c r="AF435" s="11">
        <v>0</v>
      </c>
      <c r="AG435" s="8">
        <v>0</v>
      </c>
      <c r="AH435" s="8">
        <v>0</v>
      </c>
      <c r="AI435" s="11">
        <v>0</v>
      </c>
      <c r="AJ435" s="8" t="s">
        <v>857</v>
      </c>
    </row>
    <row r="436" customFormat="1" ht="22" customHeight="1" spans="1:36">
      <c r="A436" s="8" t="s">
        <v>37</v>
      </c>
      <c r="B436" s="8" t="str">
        <f>VLOOKUP(F436,[1]Sheet1!$B:$E,3,FALSE)</f>
        <v>王森</v>
      </c>
      <c r="C436" s="8">
        <f>VLOOKUP(F436,[1]Sheet1!$B:$E,4,FALSE)</f>
        <v>0</v>
      </c>
      <c r="D436" s="8" t="s">
        <v>883</v>
      </c>
      <c r="E436" s="8">
        <v>4.8</v>
      </c>
      <c r="F436" s="10">
        <v>33547782</v>
      </c>
      <c r="G436" s="8">
        <v>4</v>
      </c>
      <c r="H436" s="12">
        <v>0</v>
      </c>
      <c r="I436" s="8">
        <v>0</v>
      </c>
      <c r="J436" s="8">
        <v>0</v>
      </c>
      <c r="K436" s="8">
        <v>1828.51</v>
      </c>
      <c r="L436" s="8">
        <v>28</v>
      </c>
      <c r="M436" s="11">
        <v>0.0357</v>
      </c>
      <c r="N436" s="11">
        <v>0</v>
      </c>
      <c r="O436" s="8">
        <v>0</v>
      </c>
      <c r="P436" s="8">
        <v>2609</v>
      </c>
      <c r="Q436" s="11">
        <v>0.0897</v>
      </c>
      <c r="R436" s="11">
        <v>0.3547</v>
      </c>
      <c r="S436" s="8">
        <v>85</v>
      </c>
      <c r="T436" s="11">
        <v>0</v>
      </c>
      <c r="U436" s="11">
        <v>1</v>
      </c>
      <c r="V436" s="11">
        <v>0.1832</v>
      </c>
      <c r="W436" s="11">
        <v>0.2705</v>
      </c>
      <c r="X436" s="8">
        <v>0</v>
      </c>
      <c r="Y436" s="8">
        <v>0</v>
      </c>
      <c r="Z436" s="8">
        <v>-0.01</v>
      </c>
      <c r="AA436" s="8">
        <v>0</v>
      </c>
      <c r="AB436" s="8">
        <v>0</v>
      </c>
      <c r="AC436" s="8">
        <v>7</v>
      </c>
      <c r="AD436" s="8">
        <v>0</v>
      </c>
      <c r="AE436" s="8">
        <v>0</v>
      </c>
      <c r="AF436" s="11">
        <v>0</v>
      </c>
      <c r="AG436" s="8">
        <v>0</v>
      </c>
      <c r="AH436" s="8">
        <v>0</v>
      </c>
      <c r="AI436" s="11">
        <v>0</v>
      </c>
      <c r="AJ436" s="8" t="s">
        <v>884</v>
      </c>
    </row>
    <row r="437" customFormat="1" ht="22" customHeight="1" spans="1:36">
      <c r="A437" s="8" t="s">
        <v>37</v>
      </c>
      <c r="B437" s="8" t="e">
        <f>VLOOKUP(F437,[1]Sheet1!$B:$E,3,FALSE)</f>
        <v>#N/A</v>
      </c>
      <c r="C437" s="8" t="e">
        <f>VLOOKUP(F437,[1]Sheet1!$B:$E,4,FALSE)</f>
        <v>#N/A</v>
      </c>
      <c r="D437" s="8" t="s">
        <v>885</v>
      </c>
      <c r="E437" s="8">
        <v>4.6</v>
      </c>
      <c r="F437" s="10">
        <v>33862996</v>
      </c>
      <c r="G437" s="8">
        <v>83</v>
      </c>
      <c r="H437" s="12">
        <v>0</v>
      </c>
      <c r="I437" s="8">
        <v>0</v>
      </c>
      <c r="J437" s="8">
        <v>0</v>
      </c>
      <c r="K437" s="8">
        <v>3623.51</v>
      </c>
      <c r="L437" s="8">
        <v>117</v>
      </c>
      <c r="M437" s="11">
        <v>0.0427</v>
      </c>
      <c r="N437" s="11">
        <v>0</v>
      </c>
      <c r="O437" s="8">
        <v>0</v>
      </c>
      <c r="P437" s="8">
        <v>8857</v>
      </c>
      <c r="Q437" s="11">
        <v>0.0683</v>
      </c>
      <c r="R437" s="11">
        <v>0.3372</v>
      </c>
      <c r="S437" s="8">
        <v>205</v>
      </c>
      <c r="T437" s="11">
        <v>0.0789</v>
      </c>
      <c r="U437" s="11">
        <v>0</v>
      </c>
      <c r="V437" s="11">
        <v>0.2673</v>
      </c>
      <c r="W437" s="11">
        <v>0.3674</v>
      </c>
      <c r="X437" s="8">
        <v>0</v>
      </c>
      <c r="Y437" s="8">
        <v>0</v>
      </c>
      <c r="Z437" s="8">
        <v>-0.01</v>
      </c>
      <c r="AA437" s="8">
        <v>0</v>
      </c>
      <c r="AB437" s="8">
        <v>0</v>
      </c>
      <c r="AC437" s="8">
        <v>1.41</v>
      </c>
      <c r="AD437" s="8">
        <v>0</v>
      </c>
      <c r="AE437" s="8">
        <v>0</v>
      </c>
      <c r="AF437" s="11">
        <v>0</v>
      </c>
      <c r="AG437" s="8">
        <v>0</v>
      </c>
      <c r="AH437" s="8">
        <v>0</v>
      </c>
      <c r="AI437" s="11">
        <v>0</v>
      </c>
      <c r="AJ437" s="8" t="s">
        <v>886</v>
      </c>
    </row>
    <row r="438" customFormat="1" ht="22" customHeight="1" spans="1:36">
      <c r="A438" s="8" t="s">
        <v>37</v>
      </c>
      <c r="B438" s="8" t="str">
        <f>VLOOKUP(F438,[1]Sheet1!$B:$E,3,FALSE)</f>
        <v>王森</v>
      </c>
      <c r="C438" s="8">
        <f>VLOOKUP(F438,[1]Sheet1!$B:$E,4,FALSE)</f>
        <v>0</v>
      </c>
      <c r="D438" s="8" t="s">
        <v>887</v>
      </c>
      <c r="E438" s="8">
        <v>4.8</v>
      </c>
      <c r="F438" s="10">
        <v>33620779</v>
      </c>
      <c r="G438" s="8">
        <v>12</v>
      </c>
      <c r="H438" s="12">
        <v>0</v>
      </c>
      <c r="I438" s="8">
        <v>0</v>
      </c>
      <c r="J438" s="8">
        <v>0</v>
      </c>
      <c r="K438" s="8">
        <v>7786.25</v>
      </c>
      <c r="L438" s="8">
        <v>153</v>
      </c>
      <c r="M438" s="11">
        <v>0.0261</v>
      </c>
      <c r="N438" s="11">
        <v>0</v>
      </c>
      <c r="O438" s="8">
        <v>0</v>
      </c>
      <c r="P438" s="8">
        <v>4607</v>
      </c>
      <c r="Q438" s="11">
        <v>0.0816</v>
      </c>
      <c r="R438" s="11">
        <v>0.2207</v>
      </c>
      <c r="S438" s="8">
        <v>83</v>
      </c>
      <c r="T438" s="11">
        <v>0.1111</v>
      </c>
      <c r="U438" s="11">
        <v>0</v>
      </c>
      <c r="V438" s="11">
        <v>0.0871</v>
      </c>
      <c r="W438" s="11">
        <v>0.1032</v>
      </c>
      <c r="X438" s="8">
        <v>0</v>
      </c>
      <c r="Y438" s="8">
        <v>0</v>
      </c>
      <c r="Z438" s="8">
        <v>-0.01</v>
      </c>
      <c r="AA438" s="8">
        <v>0</v>
      </c>
      <c r="AB438" s="8">
        <v>0</v>
      </c>
      <c r="AC438" s="8">
        <v>12.75</v>
      </c>
      <c r="AD438" s="8">
        <v>0</v>
      </c>
      <c r="AE438" s="8">
        <v>0</v>
      </c>
      <c r="AF438" s="11">
        <v>0</v>
      </c>
      <c r="AG438" s="8">
        <v>0</v>
      </c>
      <c r="AH438" s="8">
        <v>0</v>
      </c>
      <c r="AI438" s="11">
        <v>0</v>
      </c>
      <c r="AJ438" s="8" t="s">
        <v>888</v>
      </c>
    </row>
    <row r="439" customFormat="1" ht="22" customHeight="1" spans="1:36">
      <c r="A439" s="8" t="s">
        <v>37</v>
      </c>
      <c r="B439" s="8" t="e">
        <f>VLOOKUP(F439,[1]Sheet1!$B:$E,3,FALSE)</f>
        <v>#N/A</v>
      </c>
      <c r="C439" s="8" t="e">
        <f>VLOOKUP(F439,[1]Sheet1!$B:$E,4,FALSE)</f>
        <v>#N/A</v>
      </c>
      <c r="D439" s="12" t="s">
        <v>889</v>
      </c>
      <c r="E439" s="12">
        <v>4.3</v>
      </c>
      <c r="F439" s="13">
        <v>33737094</v>
      </c>
      <c r="G439" s="8">
        <v>21</v>
      </c>
      <c r="H439" s="12">
        <v>0</v>
      </c>
      <c r="I439" s="8">
        <v>0</v>
      </c>
      <c r="J439" s="8">
        <v>0</v>
      </c>
      <c r="K439" s="8">
        <v>998.6</v>
      </c>
      <c r="L439" s="8">
        <v>123</v>
      </c>
      <c r="M439" s="11">
        <v>0.065</v>
      </c>
      <c r="N439" s="11">
        <v>0</v>
      </c>
      <c r="O439" s="8">
        <v>0</v>
      </c>
      <c r="P439" s="8">
        <v>2038</v>
      </c>
      <c r="Q439" s="11">
        <v>0.0795</v>
      </c>
      <c r="R439" s="11">
        <v>0.358</v>
      </c>
      <c r="S439" s="8">
        <v>61</v>
      </c>
      <c r="T439" s="11">
        <v>0.0667</v>
      </c>
      <c r="U439" s="11">
        <v>0.5</v>
      </c>
      <c r="V439" s="11">
        <v>0.2364</v>
      </c>
      <c r="W439" s="11">
        <v>0.3185</v>
      </c>
      <c r="X439" s="8">
        <v>0</v>
      </c>
      <c r="Y439" s="8">
        <v>0</v>
      </c>
      <c r="Z439" s="8">
        <v>-0.01</v>
      </c>
      <c r="AA439" s="8">
        <v>0</v>
      </c>
      <c r="AB439" s="8">
        <v>0</v>
      </c>
      <c r="AC439" s="8">
        <v>5.86</v>
      </c>
      <c r="AD439" s="8">
        <v>0</v>
      </c>
      <c r="AE439" s="8">
        <v>0</v>
      </c>
      <c r="AF439" s="11">
        <v>0</v>
      </c>
      <c r="AG439" s="8">
        <v>0</v>
      </c>
      <c r="AH439" s="8">
        <v>0</v>
      </c>
      <c r="AI439" s="11">
        <v>0</v>
      </c>
      <c r="AJ439" s="8" t="s">
        <v>890</v>
      </c>
    </row>
    <row r="440" customFormat="1" ht="22" customHeight="1" spans="1:36">
      <c r="A440" s="8" t="s">
        <v>37</v>
      </c>
      <c r="B440" s="8" t="str">
        <f>VLOOKUP(F440,[1]Sheet1!$B:$E,3,FALSE)</f>
        <v>王森</v>
      </c>
      <c r="C440" s="8">
        <f>VLOOKUP(F440,[1]Sheet1!$B:$E,4,FALSE)</f>
        <v>0</v>
      </c>
      <c r="D440" s="8" t="s">
        <v>891</v>
      </c>
      <c r="E440" s="8">
        <v>4.5</v>
      </c>
      <c r="F440" s="10">
        <v>33255433</v>
      </c>
      <c r="G440" s="8">
        <v>1</v>
      </c>
      <c r="H440" s="12">
        <v>0</v>
      </c>
      <c r="I440" s="8">
        <v>0</v>
      </c>
      <c r="J440" s="8">
        <v>0</v>
      </c>
      <c r="K440" s="8">
        <v>2483.82</v>
      </c>
      <c r="L440" s="8">
        <v>8</v>
      </c>
      <c r="M440" s="11">
        <v>0.125</v>
      </c>
      <c r="N440" s="11">
        <v>0</v>
      </c>
      <c r="O440" s="8">
        <v>0</v>
      </c>
      <c r="P440" s="8">
        <v>2394</v>
      </c>
      <c r="Q440" s="11">
        <v>0.1053</v>
      </c>
      <c r="R440" s="11">
        <v>0.4087</v>
      </c>
      <c r="S440" s="8">
        <v>105</v>
      </c>
      <c r="T440" s="11">
        <v>0</v>
      </c>
      <c r="U440" s="11">
        <v>0</v>
      </c>
      <c r="V440" s="11">
        <v>0.2078</v>
      </c>
      <c r="W440" s="11">
        <v>0.3333</v>
      </c>
      <c r="X440" s="8">
        <v>0</v>
      </c>
      <c r="Y440" s="8">
        <v>0</v>
      </c>
      <c r="Z440" s="8">
        <v>-0.01</v>
      </c>
      <c r="AA440" s="8">
        <v>0</v>
      </c>
      <c r="AB440" s="8">
        <v>0</v>
      </c>
      <c r="AC440" s="8">
        <v>8</v>
      </c>
      <c r="AD440" s="8">
        <v>0</v>
      </c>
      <c r="AE440" s="8">
        <v>0</v>
      </c>
      <c r="AF440" s="11">
        <v>0</v>
      </c>
      <c r="AG440" s="8">
        <v>0</v>
      </c>
      <c r="AH440" s="8">
        <v>0</v>
      </c>
      <c r="AI440" s="11">
        <v>0</v>
      </c>
      <c r="AJ440" s="8" t="s">
        <v>892</v>
      </c>
    </row>
    <row r="441" customFormat="1" ht="22" customHeight="1" spans="1:36">
      <c r="A441" s="8" t="s">
        <v>37</v>
      </c>
      <c r="B441" s="8" t="e">
        <f>VLOOKUP(F441,[1]Sheet1!$B:$E,3,FALSE)</f>
        <v>#N/A</v>
      </c>
      <c r="C441" s="8" t="e">
        <f>VLOOKUP(F441,[1]Sheet1!$B:$E,4,FALSE)</f>
        <v>#N/A</v>
      </c>
      <c r="D441" s="12" t="s">
        <v>893</v>
      </c>
      <c r="E441" s="12">
        <v>0</v>
      </c>
      <c r="F441" s="13">
        <v>33753992</v>
      </c>
      <c r="G441" s="8">
        <v>26</v>
      </c>
      <c r="H441" s="12">
        <v>0</v>
      </c>
      <c r="I441" s="8">
        <v>0</v>
      </c>
      <c r="J441" s="8">
        <v>0</v>
      </c>
      <c r="K441" s="8">
        <v>3713.72</v>
      </c>
      <c r="L441" s="8">
        <v>6</v>
      </c>
      <c r="M441" s="11">
        <v>0</v>
      </c>
      <c r="N441" s="11">
        <v>0</v>
      </c>
      <c r="O441" s="8">
        <v>0</v>
      </c>
      <c r="P441" s="8">
        <v>0</v>
      </c>
      <c r="Q441" s="11">
        <v>0</v>
      </c>
      <c r="R441" s="11">
        <v>0</v>
      </c>
      <c r="S441" s="8">
        <v>144</v>
      </c>
      <c r="T441" s="11">
        <v>0.0588</v>
      </c>
      <c r="U441" s="11">
        <v>0</v>
      </c>
      <c r="V441" s="11">
        <v>0.2501</v>
      </c>
      <c r="W441" s="11">
        <v>0.3437</v>
      </c>
      <c r="X441" s="8">
        <v>0</v>
      </c>
      <c r="Y441" s="8">
        <v>0</v>
      </c>
      <c r="Z441" s="8">
        <v>-0.01</v>
      </c>
      <c r="AA441" s="8">
        <v>0</v>
      </c>
      <c r="AB441" s="8">
        <v>0</v>
      </c>
      <c r="AC441" s="8">
        <v>0.23</v>
      </c>
      <c r="AD441" s="8">
        <v>0</v>
      </c>
      <c r="AE441" s="8">
        <v>0</v>
      </c>
      <c r="AF441" s="11">
        <v>0</v>
      </c>
      <c r="AG441" s="8">
        <v>0</v>
      </c>
      <c r="AH441" s="8">
        <v>0</v>
      </c>
      <c r="AI441" s="11">
        <v>0</v>
      </c>
      <c r="AJ441" s="8" t="s">
        <v>857</v>
      </c>
    </row>
    <row r="442" customFormat="1" ht="22" customHeight="1" spans="1:36">
      <c r="A442" s="8" t="s">
        <v>37</v>
      </c>
      <c r="B442" s="8" t="str">
        <f>VLOOKUP(F442,[1]Sheet1!$B:$E,3,FALSE)</f>
        <v>徐从众</v>
      </c>
      <c r="C442" s="9" t="str">
        <f>VLOOKUP(F442,[1]Sheet1!$B:$E,4,FALSE)</f>
        <v>A</v>
      </c>
      <c r="D442" s="8" t="s">
        <v>894</v>
      </c>
      <c r="E442" s="8">
        <v>4.4</v>
      </c>
      <c r="F442" s="10">
        <v>24863626</v>
      </c>
      <c r="G442" s="8">
        <v>18</v>
      </c>
      <c r="H442" s="12">
        <v>0</v>
      </c>
      <c r="I442" s="8">
        <v>0</v>
      </c>
      <c r="J442" s="8">
        <v>0</v>
      </c>
      <c r="K442" s="8">
        <v>3682.84</v>
      </c>
      <c r="L442" s="8">
        <v>136</v>
      </c>
      <c r="M442" s="11">
        <v>0.0294</v>
      </c>
      <c r="N442" s="11">
        <v>0</v>
      </c>
      <c r="O442" s="8">
        <v>0</v>
      </c>
      <c r="P442" s="8">
        <v>4149</v>
      </c>
      <c r="Q442" s="11">
        <v>0.0829</v>
      </c>
      <c r="R442" s="11">
        <v>0.282</v>
      </c>
      <c r="S442" s="8">
        <v>98</v>
      </c>
      <c r="T442" s="11">
        <v>0</v>
      </c>
      <c r="U442" s="11">
        <v>0.25</v>
      </c>
      <c r="V442" s="11">
        <v>0.2298</v>
      </c>
      <c r="W442" s="11">
        <v>0.3373</v>
      </c>
      <c r="X442" s="8">
        <v>0</v>
      </c>
      <c r="Y442" s="8">
        <v>0</v>
      </c>
      <c r="Z442" s="8">
        <v>-0.01</v>
      </c>
      <c r="AA442" s="8">
        <v>0</v>
      </c>
      <c r="AB442" s="8">
        <v>0</v>
      </c>
      <c r="AC442" s="8">
        <v>7.56</v>
      </c>
      <c r="AD442" s="8">
        <v>0</v>
      </c>
      <c r="AE442" s="8">
        <v>0</v>
      </c>
      <c r="AF442" s="11">
        <v>0</v>
      </c>
      <c r="AG442" s="8">
        <v>0</v>
      </c>
      <c r="AH442" s="8">
        <v>0</v>
      </c>
      <c r="AI442" s="11">
        <v>0</v>
      </c>
      <c r="AJ442" s="8" t="s">
        <v>895</v>
      </c>
    </row>
    <row r="443" customFormat="1" ht="22" customHeight="1" spans="1:36">
      <c r="A443" s="8" t="s">
        <v>37</v>
      </c>
      <c r="B443" s="8" t="e">
        <f>VLOOKUP(F443,[1]Sheet1!$B:$E,3,FALSE)</f>
        <v>#N/A</v>
      </c>
      <c r="C443" s="8" t="e">
        <f>VLOOKUP(F443,[1]Sheet1!$B:$E,4,FALSE)</f>
        <v>#N/A</v>
      </c>
      <c r="D443" s="8" t="s">
        <v>896</v>
      </c>
      <c r="E443" s="8">
        <v>4.6</v>
      </c>
      <c r="F443" s="10">
        <v>33312099</v>
      </c>
      <c r="G443" s="8">
        <v>35</v>
      </c>
      <c r="H443" s="12">
        <v>0</v>
      </c>
      <c r="I443" s="8">
        <v>0</v>
      </c>
      <c r="J443" s="8">
        <v>0</v>
      </c>
      <c r="K443" s="8">
        <v>1563.16</v>
      </c>
      <c r="L443" s="8">
        <v>4</v>
      </c>
      <c r="M443" s="11">
        <v>0</v>
      </c>
      <c r="N443" s="11">
        <v>0</v>
      </c>
      <c r="O443" s="8">
        <v>0</v>
      </c>
      <c r="P443" s="8">
        <v>0</v>
      </c>
      <c r="Q443" s="11">
        <v>0</v>
      </c>
      <c r="R443" s="11">
        <v>0</v>
      </c>
      <c r="S443" s="8">
        <v>77</v>
      </c>
      <c r="T443" s="11">
        <v>0.1538</v>
      </c>
      <c r="U443" s="11">
        <v>0.5</v>
      </c>
      <c r="V443" s="11">
        <v>0.2236</v>
      </c>
      <c r="W443" s="11">
        <v>0.3019</v>
      </c>
      <c r="X443" s="8">
        <v>0</v>
      </c>
      <c r="Y443" s="8">
        <v>0</v>
      </c>
      <c r="Z443" s="8">
        <v>-0.01</v>
      </c>
      <c r="AA443" s="8">
        <v>0</v>
      </c>
      <c r="AB443" s="8">
        <v>0</v>
      </c>
      <c r="AC443" s="8">
        <v>0.11</v>
      </c>
      <c r="AD443" s="8">
        <v>0</v>
      </c>
      <c r="AE443" s="8">
        <v>0</v>
      </c>
      <c r="AF443" s="11">
        <v>0</v>
      </c>
      <c r="AG443" s="8">
        <v>0</v>
      </c>
      <c r="AH443" s="8">
        <v>0</v>
      </c>
      <c r="AI443" s="11">
        <v>0</v>
      </c>
      <c r="AJ443" s="8" t="s">
        <v>857</v>
      </c>
    </row>
    <row r="444" customFormat="1" ht="22" customHeight="1" spans="1:36">
      <c r="A444" s="8" t="s">
        <v>37</v>
      </c>
      <c r="B444" s="8" t="str">
        <f>VLOOKUP(F444,[1]Sheet1!$B:$E,3,FALSE)</f>
        <v>王森</v>
      </c>
      <c r="C444" s="9" t="str">
        <f>VLOOKUP(F444,[1]Sheet1!$B:$E,4,FALSE)</f>
        <v>S</v>
      </c>
      <c r="D444" s="12" t="s">
        <v>897</v>
      </c>
      <c r="E444" s="12">
        <v>0</v>
      </c>
      <c r="F444" s="13">
        <v>31722268</v>
      </c>
      <c r="G444" s="8">
        <v>0</v>
      </c>
      <c r="H444" s="12">
        <v>0</v>
      </c>
      <c r="I444" s="8">
        <v>0</v>
      </c>
      <c r="J444" s="8">
        <v>0</v>
      </c>
      <c r="K444" s="8">
        <v>3442.96</v>
      </c>
      <c r="L444" s="8">
        <v>10</v>
      </c>
      <c r="M444" s="11">
        <v>0</v>
      </c>
      <c r="N444" s="11">
        <v>0</v>
      </c>
      <c r="O444" s="8">
        <v>0</v>
      </c>
      <c r="P444" s="8">
        <v>0</v>
      </c>
      <c r="Q444" s="11">
        <v>0</v>
      </c>
      <c r="R444" s="11">
        <v>0</v>
      </c>
      <c r="S444" s="8">
        <v>113</v>
      </c>
      <c r="T444" s="11">
        <v>0</v>
      </c>
      <c r="U444" s="11">
        <v>0</v>
      </c>
      <c r="V444" s="11">
        <v>0</v>
      </c>
      <c r="W444" s="11">
        <v>0</v>
      </c>
      <c r="X444" s="8">
        <v>0</v>
      </c>
      <c r="Y444" s="8">
        <v>0</v>
      </c>
      <c r="Z444" s="8">
        <v>-0.01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11">
        <v>0</v>
      </c>
      <c r="AG444" s="8">
        <v>0</v>
      </c>
      <c r="AH444" s="8">
        <v>0</v>
      </c>
      <c r="AI444" s="11">
        <v>0</v>
      </c>
      <c r="AJ444" s="8" t="s">
        <v>857</v>
      </c>
    </row>
    <row r="445" customFormat="1" ht="22" customHeight="1" spans="1:36">
      <c r="A445" s="8" t="s">
        <v>37</v>
      </c>
      <c r="B445" s="8" t="e">
        <f>VLOOKUP(F445,[1]Sheet1!$B:$E,3,FALSE)</f>
        <v>#N/A</v>
      </c>
      <c r="C445" s="8" t="e">
        <f>VLOOKUP(F445,[1]Sheet1!$B:$E,4,FALSE)</f>
        <v>#N/A</v>
      </c>
      <c r="D445" s="12" t="s">
        <v>647</v>
      </c>
      <c r="E445" s="12">
        <v>0</v>
      </c>
      <c r="F445" s="13">
        <v>33161124</v>
      </c>
      <c r="G445" s="8">
        <v>1</v>
      </c>
      <c r="H445" s="12">
        <v>0</v>
      </c>
      <c r="I445" s="8">
        <v>0</v>
      </c>
      <c r="J445" s="8">
        <v>0</v>
      </c>
      <c r="K445" s="8">
        <v>3382.09</v>
      </c>
      <c r="L445" s="8">
        <v>58</v>
      </c>
      <c r="M445" s="11">
        <v>0.0172</v>
      </c>
      <c r="N445" s="11">
        <v>0</v>
      </c>
      <c r="O445" s="8">
        <v>0</v>
      </c>
      <c r="P445" s="8">
        <v>3283</v>
      </c>
      <c r="Q445" s="11">
        <v>0.0999</v>
      </c>
      <c r="R445" s="11">
        <v>0.3201</v>
      </c>
      <c r="S445" s="8">
        <v>103</v>
      </c>
      <c r="T445" s="11">
        <v>0</v>
      </c>
      <c r="U445" s="11">
        <v>0</v>
      </c>
      <c r="V445" s="11">
        <v>0.2179</v>
      </c>
      <c r="W445" s="11">
        <v>0.2976</v>
      </c>
      <c r="X445" s="8">
        <v>0</v>
      </c>
      <c r="Y445" s="8">
        <v>0</v>
      </c>
      <c r="Z445" s="8">
        <v>-0.01</v>
      </c>
      <c r="AA445" s="8">
        <v>0</v>
      </c>
      <c r="AB445" s="8">
        <v>0</v>
      </c>
      <c r="AC445" s="8">
        <v>58</v>
      </c>
      <c r="AD445" s="8">
        <v>0</v>
      </c>
      <c r="AE445" s="8">
        <v>0</v>
      </c>
      <c r="AF445" s="11">
        <v>0</v>
      </c>
      <c r="AG445" s="8">
        <v>0</v>
      </c>
      <c r="AH445" s="8">
        <v>0</v>
      </c>
      <c r="AI445" s="11">
        <v>0</v>
      </c>
      <c r="AJ445" s="8" t="s">
        <v>898</v>
      </c>
    </row>
    <row r="446" customFormat="1" ht="22" customHeight="1" spans="1:36">
      <c r="A446" s="8" t="s">
        <v>37</v>
      </c>
      <c r="B446" s="8" t="e">
        <f>VLOOKUP(F446,[1]Sheet1!$B:$E,3,FALSE)</f>
        <v>#N/A</v>
      </c>
      <c r="C446" s="8" t="e">
        <f>VLOOKUP(F446,[1]Sheet1!$B:$E,4,FALSE)</f>
        <v>#N/A</v>
      </c>
      <c r="D446" s="12" t="s">
        <v>899</v>
      </c>
      <c r="E446" s="12">
        <v>3.8</v>
      </c>
      <c r="F446" s="13">
        <v>33130262</v>
      </c>
      <c r="G446" s="8">
        <v>78</v>
      </c>
      <c r="H446" s="12">
        <v>0</v>
      </c>
      <c r="I446" s="8">
        <v>0</v>
      </c>
      <c r="J446" s="8">
        <v>0</v>
      </c>
      <c r="K446" s="8">
        <v>3340.7</v>
      </c>
      <c r="L446" s="8">
        <v>122</v>
      </c>
      <c r="M446" s="11">
        <v>0.0656</v>
      </c>
      <c r="N446" s="11">
        <v>0</v>
      </c>
      <c r="O446" s="8">
        <v>0</v>
      </c>
      <c r="P446" s="8">
        <v>2653</v>
      </c>
      <c r="Q446" s="11">
        <v>0.1014</v>
      </c>
      <c r="R446" s="11">
        <v>0.2602</v>
      </c>
      <c r="S446" s="8">
        <v>72</v>
      </c>
      <c r="T446" s="11">
        <v>0.0179</v>
      </c>
      <c r="U446" s="11">
        <v>0.1176</v>
      </c>
      <c r="V446" s="11">
        <v>0.2566</v>
      </c>
      <c r="W446" s="11">
        <v>0.3205</v>
      </c>
      <c r="X446" s="8">
        <v>0</v>
      </c>
      <c r="Y446" s="8">
        <v>0</v>
      </c>
      <c r="Z446" s="8">
        <v>-0.01</v>
      </c>
      <c r="AA446" s="8">
        <v>0</v>
      </c>
      <c r="AB446" s="8">
        <v>0</v>
      </c>
      <c r="AC446" s="8">
        <v>1.56</v>
      </c>
      <c r="AD446" s="8">
        <v>0</v>
      </c>
      <c r="AE446" s="8">
        <v>0</v>
      </c>
      <c r="AF446" s="11">
        <v>0</v>
      </c>
      <c r="AG446" s="8">
        <v>0</v>
      </c>
      <c r="AH446" s="8">
        <v>0</v>
      </c>
      <c r="AI446" s="11">
        <v>0</v>
      </c>
      <c r="AJ446" s="8" t="s">
        <v>900</v>
      </c>
    </row>
    <row r="447" customFormat="1" ht="22" customHeight="1" spans="1:36">
      <c r="A447" s="8" t="s">
        <v>37</v>
      </c>
      <c r="B447" s="8" t="e">
        <f>VLOOKUP(F447,[1]Sheet1!$B:$E,3,FALSE)</f>
        <v>#N/A</v>
      </c>
      <c r="C447" s="8" t="e">
        <f>VLOOKUP(F447,[1]Sheet1!$B:$E,4,FALSE)</f>
        <v>#N/A</v>
      </c>
      <c r="D447" s="12" t="s">
        <v>901</v>
      </c>
      <c r="E447" s="12">
        <v>0</v>
      </c>
      <c r="F447" s="13">
        <v>34332227</v>
      </c>
      <c r="G447" s="8">
        <v>0</v>
      </c>
      <c r="H447" s="12">
        <v>0</v>
      </c>
      <c r="I447" s="8">
        <v>0</v>
      </c>
      <c r="J447" s="8">
        <v>0</v>
      </c>
      <c r="K447" s="8">
        <v>0</v>
      </c>
      <c r="L447" s="8">
        <v>0</v>
      </c>
      <c r="M447" s="11">
        <v>0</v>
      </c>
      <c r="N447" s="11">
        <v>0</v>
      </c>
      <c r="O447" s="8">
        <v>0</v>
      </c>
      <c r="P447" s="8">
        <v>0</v>
      </c>
      <c r="Q447" s="11">
        <v>0</v>
      </c>
      <c r="R447" s="11">
        <v>0</v>
      </c>
      <c r="S447" s="8">
        <v>0</v>
      </c>
      <c r="T447" s="11">
        <v>0</v>
      </c>
      <c r="U447" s="11">
        <v>0</v>
      </c>
      <c r="V447" s="11">
        <v>0</v>
      </c>
      <c r="W447" s="11">
        <v>0</v>
      </c>
      <c r="X447" s="8">
        <v>0</v>
      </c>
      <c r="Y447" s="8">
        <v>0</v>
      </c>
      <c r="Z447" s="8">
        <v>-0.01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11">
        <v>0</v>
      </c>
      <c r="AG447" s="8">
        <v>0</v>
      </c>
      <c r="AH447" s="8">
        <v>0</v>
      </c>
      <c r="AI447" s="11">
        <v>0</v>
      </c>
      <c r="AJ447" s="8" t="s">
        <v>857</v>
      </c>
    </row>
    <row r="448" ht="22" customHeight="1" spans="1:36">
      <c r="A448" s="8" t="s">
        <v>37</v>
      </c>
      <c r="B448" s="8" t="e">
        <f>VLOOKUP(F448,[1]Sheet1!$B:$E,3,FALSE)</f>
        <v>#N/A</v>
      </c>
      <c r="C448" s="8" t="e">
        <f>VLOOKUP(F448,[1]Sheet1!$B:$E,4,FALSE)</f>
        <v>#N/A</v>
      </c>
      <c r="D448" s="12" t="s">
        <v>902</v>
      </c>
      <c r="E448" s="12">
        <v>0</v>
      </c>
      <c r="F448" s="13">
        <v>34294760</v>
      </c>
      <c r="G448" s="8">
        <v>0</v>
      </c>
      <c r="H448" s="12">
        <v>0</v>
      </c>
      <c r="I448" s="8">
        <v>0</v>
      </c>
      <c r="J448" s="8">
        <v>0</v>
      </c>
      <c r="K448" s="8">
        <v>0</v>
      </c>
      <c r="L448" s="8">
        <v>0</v>
      </c>
      <c r="M448" s="11">
        <v>0</v>
      </c>
      <c r="N448" s="11">
        <v>0</v>
      </c>
      <c r="O448" s="8">
        <v>0</v>
      </c>
      <c r="P448" s="8">
        <v>0</v>
      </c>
      <c r="Q448" s="11">
        <v>0</v>
      </c>
      <c r="R448" s="11">
        <v>0</v>
      </c>
      <c r="S448" s="8">
        <v>0</v>
      </c>
      <c r="T448" s="11">
        <v>0</v>
      </c>
      <c r="U448" s="11">
        <v>0</v>
      </c>
      <c r="V448" s="11">
        <v>0</v>
      </c>
      <c r="W448" s="11">
        <v>0</v>
      </c>
      <c r="X448" s="8">
        <v>0</v>
      </c>
      <c r="Y448" s="8">
        <v>0</v>
      </c>
      <c r="Z448" s="8">
        <v>-0.01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11">
        <v>0</v>
      </c>
      <c r="AG448" s="8">
        <v>0</v>
      </c>
      <c r="AH448" s="8">
        <v>0</v>
      </c>
      <c r="AI448" s="11">
        <v>0</v>
      </c>
      <c r="AJ448" s="8" t="s">
        <v>857</v>
      </c>
    </row>
    <row r="449" ht="22" customHeight="1" spans="1:36">
      <c r="A449" s="8" t="s">
        <v>37</v>
      </c>
      <c r="B449" s="8" t="e">
        <f>VLOOKUP(F449,[1]Sheet1!$B:$E,3,FALSE)</f>
        <v>#N/A</v>
      </c>
      <c r="C449" s="8" t="e">
        <f>VLOOKUP(F449,[1]Sheet1!$B:$E,4,FALSE)</f>
        <v>#N/A</v>
      </c>
      <c r="D449" s="12" t="s">
        <v>903</v>
      </c>
      <c r="E449" s="12">
        <v>3.9</v>
      </c>
      <c r="F449" s="13">
        <v>32567782</v>
      </c>
      <c r="G449" s="8">
        <v>68</v>
      </c>
      <c r="H449" s="12">
        <v>0</v>
      </c>
      <c r="I449" s="8">
        <v>0</v>
      </c>
      <c r="J449" s="8">
        <v>0</v>
      </c>
      <c r="K449" s="8">
        <v>5614.43</v>
      </c>
      <c r="L449" s="8">
        <v>12</v>
      </c>
      <c r="M449" s="11">
        <v>0</v>
      </c>
      <c r="N449" s="11">
        <v>0</v>
      </c>
      <c r="O449" s="8">
        <v>0</v>
      </c>
      <c r="P449" s="8">
        <v>0</v>
      </c>
      <c r="Q449" s="11">
        <v>0</v>
      </c>
      <c r="R449" s="11">
        <v>0</v>
      </c>
      <c r="S449" s="8">
        <v>94</v>
      </c>
      <c r="T449" s="11">
        <v>0.0484</v>
      </c>
      <c r="U449" s="11">
        <v>0</v>
      </c>
      <c r="V449" s="11">
        <v>0.1351</v>
      </c>
      <c r="W449" s="11">
        <v>0.1945</v>
      </c>
      <c r="X449" s="8">
        <v>0</v>
      </c>
      <c r="Y449" s="8">
        <v>0</v>
      </c>
      <c r="Z449" s="8">
        <v>-0.01</v>
      </c>
      <c r="AA449" s="8">
        <v>0</v>
      </c>
      <c r="AB449" s="8">
        <v>0</v>
      </c>
      <c r="AC449" s="8">
        <v>0.18</v>
      </c>
      <c r="AD449" s="8">
        <v>0</v>
      </c>
      <c r="AE449" s="8">
        <v>0</v>
      </c>
      <c r="AF449" s="11">
        <v>0</v>
      </c>
      <c r="AG449" s="8">
        <v>0</v>
      </c>
      <c r="AH449" s="8">
        <v>0</v>
      </c>
      <c r="AI449" s="11">
        <v>0</v>
      </c>
      <c r="AJ449" s="8" t="s">
        <v>857</v>
      </c>
    </row>
    <row r="450" ht="22" customHeight="1" spans="1:36">
      <c r="A450" s="8" t="s">
        <v>37</v>
      </c>
      <c r="B450" s="8" t="str">
        <f>VLOOKUP(F450,[1]Sheet1!$B:$E,3,FALSE)</f>
        <v>徐从众</v>
      </c>
      <c r="C450" s="9" t="str">
        <f>VLOOKUP(F450,[1]Sheet1!$B:$E,4,FALSE)</f>
        <v>A</v>
      </c>
      <c r="D450" s="12" t="s">
        <v>904</v>
      </c>
      <c r="E450" s="12">
        <v>0</v>
      </c>
      <c r="F450" s="13">
        <v>24010487</v>
      </c>
      <c r="G450" s="8">
        <v>34</v>
      </c>
      <c r="H450" s="12">
        <v>0</v>
      </c>
      <c r="I450" s="8">
        <v>0</v>
      </c>
      <c r="J450" s="8">
        <v>0</v>
      </c>
      <c r="K450" s="8">
        <v>4387.33</v>
      </c>
      <c r="L450" s="8">
        <v>172</v>
      </c>
      <c r="M450" s="11">
        <v>0.0523</v>
      </c>
      <c r="N450" s="11">
        <v>0</v>
      </c>
      <c r="O450" s="8">
        <v>0</v>
      </c>
      <c r="P450" s="8">
        <v>5113</v>
      </c>
      <c r="Q450" s="11">
        <v>0.0882</v>
      </c>
      <c r="R450" s="11">
        <v>0.3104</v>
      </c>
      <c r="S450" s="8">
        <v>135</v>
      </c>
      <c r="T450" s="11">
        <v>0.125</v>
      </c>
      <c r="U450" s="11">
        <v>0.0417</v>
      </c>
      <c r="V450" s="11">
        <v>0.2482</v>
      </c>
      <c r="W450" s="11">
        <v>0.3072</v>
      </c>
      <c r="X450" s="8">
        <v>0</v>
      </c>
      <c r="Y450" s="8">
        <v>0</v>
      </c>
      <c r="Z450" s="8">
        <v>-0.01</v>
      </c>
      <c r="AA450" s="8">
        <v>0</v>
      </c>
      <c r="AB450" s="8">
        <v>0</v>
      </c>
      <c r="AC450" s="8">
        <v>5.06</v>
      </c>
      <c r="AD450" s="8">
        <v>0</v>
      </c>
      <c r="AE450" s="8">
        <v>0</v>
      </c>
      <c r="AF450" s="11">
        <v>0</v>
      </c>
      <c r="AG450" s="8">
        <v>0</v>
      </c>
      <c r="AH450" s="8">
        <v>0</v>
      </c>
      <c r="AI450" s="11">
        <v>0</v>
      </c>
      <c r="AJ450" s="8" t="s">
        <v>905</v>
      </c>
    </row>
    <row r="451" ht="22" customHeight="1" spans="1:36">
      <c r="A451" s="8" t="s">
        <v>37</v>
      </c>
      <c r="B451" s="8" t="e">
        <f>VLOOKUP(F451,[1]Sheet1!$B:$E,3,FALSE)</f>
        <v>#N/A</v>
      </c>
      <c r="C451" s="8" t="e">
        <f>VLOOKUP(F451,[1]Sheet1!$B:$E,4,FALSE)</f>
        <v>#N/A</v>
      </c>
      <c r="D451" s="12" t="s">
        <v>906</v>
      </c>
      <c r="E451" s="12">
        <v>0</v>
      </c>
      <c r="F451" s="13">
        <v>34279862</v>
      </c>
      <c r="G451" s="8">
        <v>0</v>
      </c>
      <c r="H451" s="12">
        <v>0</v>
      </c>
      <c r="I451" s="8">
        <v>0</v>
      </c>
      <c r="J451" s="8">
        <v>0</v>
      </c>
      <c r="K451" s="8">
        <v>0</v>
      </c>
      <c r="L451" s="8">
        <v>0</v>
      </c>
      <c r="M451" s="11">
        <v>0</v>
      </c>
      <c r="N451" s="11">
        <v>0</v>
      </c>
      <c r="O451" s="8">
        <v>0</v>
      </c>
      <c r="P451" s="8">
        <v>0</v>
      </c>
      <c r="Q451" s="11">
        <v>0</v>
      </c>
      <c r="R451" s="11">
        <v>0</v>
      </c>
      <c r="S451" s="8">
        <v>0</v>
      </c>
      <c r="T451" s="11">
        <v>0</v>
      </c>
      <c r="U451" s="11">
        <v>0</v>
      </c>
      <c r="V451" s="11">
        <v>0</v>
      </c>
      <c r="W451" s="11">
        <v>0</v>
      </c>
      <c r="X451" s="8">
        <v>0</v>
      </c>
      <c r="Y451" s="8">
        <v>0</v>
      </c>
      <c r="Z451" s="8">
        <v>-0.01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11">
        <v>0</v>
      </c>
      <c r="AG451" s="8">
        <v>0</v>
      </c>
      <c r="AH451" s="8">
        <v>0</v>
      </c>
      <c r="AI451" s="11">
        <v>0</v>
      </c>
      <c r="AJ451" s="8" t="s">
        <v>857</v>
      </c>
    </row>
    <row r="452" ht="22" customHeight="1" spans="1:36">
      <c r="A452" s="8" t="s">
        <v>37</v>
      </c>
      <c r="B452" s="8" t="e">
        <f>VLOOKUP(F452,[1]Sheet1!$B:$E,3,FALSE)</f>
        <v>#N/A</v>
      </c>
      <c r="C452" s="8" t="e">
        <f>VLOOKUP(F452,[1]Sheet1!$B:$E,4,FALSE)</f>
        <v>#N/A</v>
      </c>
      <c r="D452" s="12" t="s">
        <v>907</v>
      </c>
      <c r="E452" s="12">
        <v>0</v>
      </c>
      <c r="F452" s="13">
        <v>26615404</v>
      </c>
      <c r="G452" s="8">
        <v>169</v>
      </c>
      <c r="H452" s="12">
        <v>0</v>
      </c>
      <c r="I452" s="8">
        <v>0</v>
      </c>
      <c r="J452" s="8">
        <v>0</v>
      </c>
      <c r="K452" s="8">
        <v>0</v>
      </c>
      <c r="L452" s="8">
        <v>0</v>
      </c>
      <c r="M452" s="11">
        <v>0</v>
      </c>
      <c r="N452" s="11">
        <v>0</v>
      </c>
      <c r="O452" s="8">
        <v>0</v>
      </c>
      <c r="P452" s="8">
        <v>0</v>
      </c>
      <c r="Q452" s="11">
        <v>0</v>
      </c>
      <c r="R452" s="11">
        <v>0</v>
      </c>
      <c r="S452" s="8">
        <v>0</v>
      </c>
      <c r="T452" s="11">
        <v>0.0822</v>
      </c>
      <c r="U452" s="11">
        <v>0.0723</v>
      </c>
      <c r="V452" s="11">
        <v>0.1972</v>
      </c>
      <c r="W452" s="11">
        <v>0.2986</v>
      </c>
      <c r="X452" s="8">
        <v>0</v>
      </c>
      <c r="Y452" s="8">
        <v>0</v>
      </c>
      <c r="Z452" s="8">
        <v>-0.01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11">
        <v>0</v>
      </c>
      <c r="AG452" s="8">
        <v>0</v>
      </c>
      <c r="AH452" s="8">
        <v>0</v>
      </c>
      <c r="AI452" s="11">
        <v>0</v>
      </c>
      <c r="AJ452" s="8" t="s">
        <v>857</v>
      </c>
    </row>
    <row r="453" ht="22" customHeight="1" spans="1:36">
      <c r="A453" s="8" t="s">
        <v>37</v>
      </c>
      <c r="B453" s="8" t="e">
        <f>VLOOKUP(F453,[1]Sheet1!$B:$E,3,FALSE)</f>
        <v>#N/A</v>
      </c>
      <c r="C453" s="8" t="e">
        <f>VLOOKUP(F453,[1]Sheet1!$B:$E,4,FALSE)</f>
        <v>#N/A</v>
      </c>
      <c r="D453" s="12" t="s">
        <v>908</v>
      </c>
      <c r="E453" s="12">
        <v>0</v>
      </c>
      <c r="F453" s="13">
        <v>34193981</v>
      </c>
      <c r="G453" s="8">
        <v>0</v>
      </c>
      <c r="H453" s="12">
        <v>0</v>
      </c>
      <c r="I453" s="8">
        <v>0</v>
      </c>
      <c r="J453" s="8">
        <v>0</v>
      </c>
      <c r="K453" s="8">
        <v>0</v>
      </c>
      <c r="L453" s="8">
        <v>0</v>
      </c>
      <c r="M453" s="11">
        <v>0</v>
      </c>
      <c r="N453" s="11">
        <v>0</v>
      </c>
      <c r="O453" s="8">
        <v>0</v>
      </c>
      <c r="P453" s="8">
        <v>0</v>
      </c>
      <c r="Q453" s="11">
        <v>0</v>
      </c>
      <c r="R453" s="11">
        <v>0</v>
      </c>
      <c r="S453" s="8">
        <v>0</v>
      </c>
      <c r="T453" s="11">
        <v>0</v>
      </c>
      <c r="U453" s="11">
        <v>0</v>
      </c>
      <c r="V453" s="11">
        <v>0</v>
      </c>
      <c r="W453" s="11">
        <v>0</v>
      </c>
      <c r="X453" s="8">
        <v>0</v>
      </c>
      <c r="Y453" s="8">
        <v>0</v>
      </c>
      <c r="Z453" s="8">
        <v>-0.01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11">
        <v>0</v>
      </c>
      <c r="AG453" s="8">
        <v>0</v>
      </c>
      <c r="AH453" s="8">
        <v>0</v>
      </c>
      <c r="AI453" s="11">
        <v>0</v>
      </c>
      <c r="AJ453" s="8" t="s">
        <v>857</v>
      </c>
    </row>
    <row r="454" ht="22" customHeight="1" spans="1:36">
      <c r="A454" s="8" t="s">
        <v>37</v>
      </c>
      <c r="B454" s="8" t="e">
        <f>VLOOKUP(F454,[1]Sheet1!$B:$E,3,FALSE)</f>
        <v>#N/A</v>
      </c>
      <c r="C454" s="8" t="e">
        <f>VLOOKUP(F454,[1]Sheet1!$B:$E,4,FALSE)</f>
        <v>#N/A</v>
      </c>
      <c r="D454" s="12" t="s">
        <v>909</v>
      </c>
      <c r="E454" s="12">
        <v>0</v>
      </c>
      <c r="F454" s="13">
        <v>34071493</v>
      </c>
      <c r="G454" s="8">
        <v>0</v>
      </c>
      <c r="H454" s="12">
        <v>0</v>
      </c>
      <c r="I454" s="8">
        <v>0</v>
      </c>
      <c r="J454" s="8">
        <v>0</v>
      </c>
      <c r="K454" s="8">
        <v>0</v>
      </c>
      <c r="L454" s="8">
        <v>0</v>
      </c>
      <c r="M454" s="11">
        <v>0</v>
      </c>
      <c r="N454" s="11">
        <v>0</v>
      </c>
      <c r="O454" s="8">
        <v>0</v>
      </c>
      <c r="P454" s="8">
        <v>0</v>
      </c>
      <c r="Q454" s="11">
        <v>0</v>
      </c>
      <c r="R454" s="11">
        <v>0</v>
      </c>
      <c r="S454" s="8">
        <v>0</v>
      </c>
      <c r="T454" s="11">
        <v>0</v>
      </c>
      <c r="U454" s="11">
        <v>0</v>
      </c>
      <c r="V454" s="11">
        <v>0</v>
      </c>
      <c r="W454" s="11">
        <v>0</v>
      </c>
      <c r="X454" s="8">
        <v>0</v>
      </c>
      <c r="Y454" s="8">
        <v>0</v>
      </c>
      <c r="Z454" s="8">
        <v>-0.01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11">
        <v>0</v>
      </c>
      <c r="AG454" s="8">
        <v>0</v>
      </c>
      <c r="AH454" s="8">
        <v>0</v>
      </c>
      <c r="AI454" s="11">
        <v>0</v>
      </c>
      <c r="AJ454" s="8" t="s">
        <v>857</v>
      </c>
    </row>
    <row r="455" ht="22" customHeight="1" spans="1:36">
      <c r="A455" s="8" t="s">
        <v>37</v>
      </c>
      <c r="B455" s="8" t="e">
        <f>VLOOKUP(F455,[1]Sheet1!$B:$E,3,FALSE)</f>
        <v>#N/A</v>
      </c>
      <c r="C455" s="8" t="e">
        <f>VLOOKUP(F455,[1]Sheet1!$B:$E,4,FALSE)</f>
        <v>#N/A</v>
      </c>
      <c r="D455" s="12" t="s">
        <v>910</v>
      </c>
      <c r="E455" s="12">
        <v>0</v>
      </c>
      <c r="F455" s="13">
        <v>33531265</v>
      </c>
      <c r="G455" s="8">
        <v>24</v>
      </c>
      <c r="H455" s="12">
        <v>-2.82</v>
      </c>
      <c r="I455" s="8">
        <v>0</v>
      </c>
      <c r="J455" s="8">
        <v>0</v>
      </c>
      <c r="K455" s="8">
        <v>3606.96</v>
      </c>
      <c r="L455" s="8">
        <v>187</v>
      </c>
      <c r="M455" s="11">
        <v>0.0963</v>
      </c>
      <c r="N455" s="11">
        <v>0</v>
      </c>
      <c r="O455" s="8">
        <v>0</v>
      </c>
      <c r="P455" s="8">
        <v>3433</v>
      </c>
      <c r="Q455" s="11">
        <v>0.0868</v>
      </c>
      <c r="R455" s="11">
        <v>0.1946</v>
      </c>
      <c r="S455" s="8">
        <v>58</v>
      </c>
      <c r="T455" s="11">
        <v>0.0435</v>
      </c>
      <c r="U455" s="11">
        <v>0</v>
      </c>
      <c r="V455" s="11">
        <v>0.0777</v>
      </c>
      <c r="W455" s="11">
        <v>0.1278</v>
      </c>
      <c r="X455" s="8">
        <v>0</v>
      </c>
      <c r="Y455" s="8">
        <v>0</v>
      </c>
      <c r="Z455" s="8">
        <v>-0.01</v>
      </c>
      <c r="AA455" s="8">
        <v>0</v>
      </c>
      <c r="AB455" s="8">
        <v>0</v>
      </c>
      <c r="AC455" s="8">
        <v>7.79</v>
      </c>
      <c r="AD455" s="8">
        <v>0</v>
      </c>
      <c r="AE455" s="8">
        <v>0</v>
      </c>
      <c r="AF455" s="11">
        <v>0</v>
      </c>
      <c r="AG455" s="8">
        <v>0</v>
      </c>
      <c r="AH455" s="8">
        <v>0</v>
      </c>
      <c r="AI455" s="11">
        <v>0</v>
      </c>
      <c r="AJ455" s="8" t="s">
        <v>911</v>
      </c>
    </row>
    <row r="456" ht="22" customHeight="1" spans="1:36">
      <c r="A456" s="8" t="s">
        <v>37</v>
      </c>
      <c r="B456" s="8" t="str">
        <f>VLOOKUP(F456,[1]Sheet1!$B:$E,3,FALSE)</f>
        <v>王森</v>
      </c>
      <c r="C456" s="8" t="str">
        <f>VLOOKUP(F456,[1]Sheet1!$B:$E,4,FALSE)</f>
        <v>C</v>
      </c>
      <c r="D456" s="12" t="s">
        <v>912</v>
      </c>
      <c r="E456" s="12">
        <v>0</v>
      </c>
      <c r="F456" s="13">
        <v>31060688</v>
      </c>
      <c r="G456" s="8">
        <v>49</v>
      </c>
      <c r="H456" s="12">
        <v>-3.07</v>
      </c>
      <c r="I456" s="8">
        <v>0</v>
      </c>
      <c r="J456" s="8">
        <v>0</v>
      </c>
      <c r="K456" s="8">
        <v>2224.43</v>
      </c>
      <c r="L456" s="8">
        <v>206</v>
      </c>
      <c r="M456" s="11">
        <v>0.034</v>
      </c>
      <c r="N456" s="11">
        <v>0</v>
      </c>
      <c r="O456" s="8">
        <v>0</v>
      </c>
      <c r="P456" s="8">
        <v>2375</v>
      </c>
      <c r="Q456" s="11">
        <v>0.1006</v>
      </c>
      <c r="R456" s="11">
        <v>0.3347</v>
      </c>
      <c r="S456" s="8">
        <v>83</v>
      </c>
      <c r="T456" s="11">
        <v>0.069</v>
      </c>
      <c r="U456" s="11">
        <v>0.1333</v>
      </c>
      <c r="V456" s="11">
        <v>0.2685</v>
      </c>
      <c r="W456" s="11">
        <v>0.3459</v>
      </c>
      <c r="X456" s="8">
        <v>0</v>
      </c>
      <c r="Y456" s="8">
        <v>0</v>
      </c>
      <c r="Z456" s="8">
        <v>-0.01</v>
      </c>
      <c r="AA456" s="8">
        <v>0</v>
      </c>
      <c r="AB456" s="8">
        <v>0</v>
      </c>
      <c r="AC456" s="8">
        <v>4.2</v>
      </c>
      <c r="AD456" s="8">
        <v>0</v>
      </c>
      <c r="AE456" s="8">
        <v>0</v>
      </c>
      <c r="AF456" s="11">
        <v>0</v>
      </c>
      <c r="AG456" s="8">
        <v>0</v>
      </c>
      <c r="AH456" s="8">
        <v>0</v>
      </c>
      <c r="AI456" s="11">
        <v>0</v>
      </c>
      <c r="AJ456" s="8" t="s">
        <v>913</v>
      </c>
    </row>
    <row r="457" ht="22" customHeight="1" spans="1:36">
      <c r="A457" s="8" t="s">
        <v>37</v>
      </c>
      <c r="B457" s="8" t="e">
        <f>VLOOKUP(F457,[1]Sheet1!$B:$E,3,FALSE)</f>
        <v>#N/A</v>
      </c>
      <c r="C457" s="8" t="e">
        <f>VLOOKUP(F457,[1]Sheet1!$B:$E,4,FALSE)</f>
        <v>#N/A</v>
      </c>
      <c r="D457" s="8" t="s">
        <v>914</v>
      </c>
      <c r="E457" s="8">
        <v>4.6</v>
      </c>
      <c r="F457" s="10">
        <v>34001439</v>
      </c>
      <c r="G457" s="8">
        <v>36</v>
      </c>
      <c r="H457" s="12">
        <v>-4.24</v>
      </c>
      <c r="I457" s="8">
        <v>0</v>
      </c>
      <c r="J457" s="8">
        <v>0</v>
      </c>
      <c r="K457" s="8">
        <v>1847.04</v>
      </c>
      <c r="L457" s="8">
        <v>27</v>
      </c>
      <c r="M457" s="11">
        <v>0.037</v>
      </c>
      <c r="N457" s="11">
        <v>0</v>
      </c>
      <c r="O457" s="8">
        <v>0</v>
      </c>
      <c r="P457" s="8">
        <v>3569</v>
      </c>
      <c r="Q457" s="11">
        <v>0.0827</v>
      </c>
      <c r="R457" s="11">
        <v>0.3153</v>
      </c>
      <c r="S457" s="8">
        <v>94</v>
      </c>
      <c r="T457" s="11">
        <v>0.0588</v>
      </c>
      <c r="U457" s="11">
        <v>0</v>
      </c>
      <c r="V457" s="11">
        <v>0.231</v>
      </c>
      <c r="W457" s="11">
        <v>0.2891</v>
      </c>
      <c r="X457" s="8">
        <v>0</v>
      </c>
      <c r="Y457" s="8">
        <v>0</v>
      </c>
      <c r="Z457" s="8">
        <v>-0.01</v>
      </c>
      <c r="AA457" s="8">
        <v>0</v>
      </c>
      <c r="AB457" s="8">
        <v>0</v>
      </c>
      <c r="AC457" s="8">
        <v>0.75</v>
      </c>
      <c r="AD457" s="8">
        <v>0</v>
      </c>
      <c r="AE457" s="8">
        <v>0</v>
      </c>
      <c r="AF457" s="11">
        <v>0</v>
      </c>
      <c r="AG457" s="8">
        <v>0</v>
      </c>
      <c r="AH457" s="8">
        <v>0</v>
      </c>
      <c r="AI457" s="11">
        <v>0</v>
      </c>
      <c r="AJ457" s="8" t="s">
        <v>915</v>
      </c>
    </row>
  </sheetData>
  <autoFilter xmlns:etc="http://www.wps.cn/officeDocument/2017/etCustomData" ref="A2:AJ457" etc:filterBottomFollowUsedRange="0">
    <sortState ref="A3:AJ457">
      <sortCondition ref="H2" descending="1"/>
    </sortState>
    <extLst/>
  </autoFilter>
  <conditionalFormatting sqref="G$1:G$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{37242fe4-0633-452f-b2ba-c88cda6432d4}</x14:id>
        </ext>
      </extLst>
    </cfRule>
  </conditionalFormatting>
  <conditionalFormatting sqref="H$1:H$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{ec8fb019-985f-429e-826a-774ec97fb9bc}</x14:id>
        </ext>
      </extLst>
    </cfRule>
  </conditionalFormatting>
  <conditionalFormatting sqref="L$1:L$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{6d78a955-be62-4c4e-a9c3-e18cefb83d96}</x14:id>
        </ext>
      </extLst>
    </cfRule>
  </conditionalFormatting>
  <conditionalFormatting sqref="M$1:M$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{39063a50-a5b0-4c2c-a658-dea4d3fa2508}</x14:id>
        </ext>
      </extLst>
    </cfRule>
  </conditionalFormatting>
  <conditionalFormatting sqref="N$1:N$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{979f2560-e2c0-4a79-a6a0-2d9224fa5fbe}</x14:id>
        </ext>
      </extLst>
    </cfRule>
  </conditionalFormatting>
  <conditionalFormatting sqref="O$1:O$104857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{f82daf64-3930-4465-9017-052684d8a326}</x14:id>
        </ext>
      </extLst>
    </cfRule>
  </conditionalFormatting>
  <conditionalFormatting sqref="U$1:U$1048576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{f3a8a673-f979-44d5-8fd1-b7ce52a11a2a}</x14:id>
        </ext>
      </extLst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242fe4-0633-452f-b2ba-c88cda6432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 xmlns:xm="http://schemas.microsoft.com/office/excel/2006/main">
          <x14:cfRule type="dataBar" id="{ec8fb019-985f-429e-826a-774ec97fb9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 xmlns:xm="http://schemas.microsoft.com/office/excel/2006/main">
          <x14:cfRule type="dataBar" id="{6d78a955-be62-4c4e-a9c3-e18cefb83d9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 xmlns:xm="http://schemas.microsoft.com/office/excel/2006/main">
          <x14:cfRule type="dataBar" id="{39063a50-a5b0-4c2c-a658-dea4d3fa250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 xmlns:xm="http://schemas.microsoft.com/office/excel/2006/main">
          <x14:cfRule type="dataBar" id="{979f2560-e2c0-4a79-a6a0-2d9224fa5f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N$1:N$1048576</xm:sqref>
        </x14:conditionalFormatting>
        <x14:conditionalFormatting xmlns:xm="http://schemas.microsoft.com/office/excel/2006/main">
          <x14:cfRule type="dataBar" id="{f82daf64-3930-4465-9017-052684d8a3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O$1:O$1048576</xm:sqref>
        </x14:conditionalFormatting>
        <x14:conditionalFormatting xmlns:xm="http://schemas.microsoft.com/office/excel/2006/main">
          <x14:cfRule type="dataBar" id="{f3a8a673-f979-44d5-8fd1-b7ce52a11a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U$1:U$1048576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美团全部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偷懒大王</cp:lastModifiedBy>
  <dcterms:created xsi:type="dcterms:W3CDTF">2026-08-25T08:12:00Z</dcterms:created>
  <dcterms:modified xsi:type="dcterms:W3CDTF">2026-08-25T09:40:10Z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D7653E597CE546D5BCC3990DAA10B000_12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