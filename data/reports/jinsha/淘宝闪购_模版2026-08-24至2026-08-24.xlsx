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3040" windowHeight="9324"/>
  </bookViews>
  <sheets>
    <sheet name="淘宝闪购" sheetId="1" r:id="rId1"/>
  </sheets>
  <externalReferences>
    <externalReference r:id="rId2"/>
  </externalReferences>
  <definedNames>
    <definedName name="_xlnm._FilterDatabase" localSheetId="0" hidden="1">淘宝闪购!$A$2:$AD$643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<sst xmlns="http://schemas.openxmlformats.org/spreadsheetml/2006/main" count="1313" uniqueCount="673">
  <si>
    <t>2026-08-24至2026-08-24 淘宝闪购数据汇总</t>
  </si>
  <si>
    <t>日期</t>
  </si>
  <si>
    <t>小组</t>
  </si>
  <si>
    <t>等级</t>
  </si>
  <si>
    <t>店铺名称(淘宝闪购）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</si>
  <si>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</si>
  <si>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</si>
  <si>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</si>
  <si>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</si>
  <si>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</si>
  <si>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</si>
  <si>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</si>
  <si>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</si>
  <si>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</si>
  <si>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</si>
  <si>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</si>
  <si>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</si>
  <si>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</si>
  <si>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</si>
  <si>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</si>
  <si>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</si>
  <si>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</si>
  <si>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</si>
  <si>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</si>
  <si>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</si>
  <si>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</si>
  <si>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</si>
  <si>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</si>
  <si>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</si>
  <si>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</si>
  <si>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</si>
  <si>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>2026-08-24~2026-08-24</t>
  </si>
  <si>
    <t>龙记香港茶餐厅·冰茶X烧腊(天山店)</t>
  </si>
  <si>
    <t>龙记香港茶餐厅(长寿路店)</t>
  </si>
  <si>
    <t>楠桦饭店(共康店)</t>
  </si>
  <si>
    <t>鲜鱼潭·香辣炝锅鱼(马陆店)</t>
  </si>
  <si>
    <t>龙记香港茶餐厅·冰茶X烧腊(延安西路店)</t>
  </si>
  <si>
    <t>楠桦饭店(梅川路店)</t>
  </si>
  <si>
    <t>上海银厨·老本帮私房菜(定西路店)</t>
  </si>
  <si>
    <t>龙记香港茶餐厅(乐虹坊店)</t>
  </si>
  <si>
    <t>龙记香港茶餐厅·冰茶X烧腊(静安久光店)</t>
  </si>
  <si>
    <t>南里晓宴(静安嘉里中心店)</t>
  </si>
  <si>
    <t>李老哈·东北农家小院(成山路店)</t>
  </si>
  <si>
    <t>上海银厨·老本帮私房菜(甘泉路店)</t>
  </si>
  <si>
    <t>阿佑鲜烫牛肉米线(安亭店)</t>
  </si>
  <si>
    <t>李艳玲认真土豆粉(静安常德路店)</t>
  </si>
  <si>
    <t>溪雨观酸菜鱼(瞿溪路店)</t>
  </si>
  <si>
    <t>龙记香港茶餐厅(四川北路店)</t>
  </si>
  <si>
    <t>味之绝热血美蛙鱼头火锅(五角场万达店)</t>
  </si>
  <si>
    <t>楠桦饭店(亚乐城店)</t>
  </si>
  <si>
    <t>李老哈·东北菜(嘉尚坊店)</t>
  </si>
  <si>
    <t>味之绝·美蛙鱼头火锅(亚新广场店)</t>
  </si>
  <si>
    <t>李老哈·东北农家小院(潍坊路店)</t>
  </si>
  <si>
    <t>楠桦饭店(江桥店)</t>
  </si>
  <si>
    <t>申梦上荷·江浙菜(水电路店)</t>
  </si>
  <si>
    <t>味之绝美蛙鱼火锅(周浦万达店)</t>
  </si>
  <si>
    <t>溪雨观酸菜鱼(公平路店)</t>
  </si>
  <si>
    <t>锦府园(天荟广场店)</t>
  </si>
  <si>
    <t>雅位·新上海菜（维璟印象城店）</t>
  </si>
  <si>
    <t>龙记香港茶餐厅(静安MOHO店)</t>
  </si>
  <si>
    <t>楠桦饭店(海波店)</t>
  </si>
  <si>
    <t>醉美里(临沂店)</t>
  </si>
  <si>
    <t>繁花肴(缤谷广场店)</t>
  </si>
  <si>
    <t>邵松沪味园·老牌本帮菜(昌里路店)</t>
  </si>
  <si>
    <t>上海银厨·老本帮私房菜(环球店)</t>
  </si>
  <si>
    <t>楠桦饭店·地道本帮菜馆(金沙江店)</t>
  </si>
  <si>
    <t>严二嬢鲜鱼火锅(北蔡店)</t>
  </si>
  <si>
    <t>李老哈东北菜(宝龙广场店)</t>
  </si>
  <si>
    <t>竹筷子·松江味(仓汇路店)</t>
  </si>
  <si>
    <t>雅位·新上海菜(龙湖天街店)</t>
  </si>
  <si>
    <t>溪雨观酸菜鱼（樱花路店）</t>
  </si>
  <si>
    <t>華府(陆家嘴中心店)</t>
  </si>
  <si>
    <t>鹅佬柒铺·烧腊小馆(莘谭路店)</t>
  </si>
  <si>
    <t>楠桦饭店(巴黎春天店)</t>
  </si>
  <si>
    <t>醉美里(宜川店)</t>
  </si>
  <si>
    <t>古镇大院·望山江南宴</t>
  </si>
  <si>
    <t>毛家湘菜馆(人民广场店)</t>
  </si>
  <si>
    <t>溪雨观酸菜鱼(宝山万达旗舰店)</t>
  </si>
  <si>
    <t>李老哈·东北菜(三宸里店)</t>
  </si>
  <si>
    <t>李老哈·东北菜(宝山店)</t>
  </si>
  <si>
    <t>阿佑鲜烫牛肉米线(杨浦店)</t>
  </si>
  <si>
    <t>申梦上荷·江浙菜(延吉中路店)</t>
  </si>
  <si>
    <t>李老哈·东北菜(长阳创谷店)</t>
  </si>
  <si>
    <t>申梦上荷·江浙菜(新达汇店)</t>
  </si>
  <si>
    <t>李老哈·东北菜(万体馆店)</t>
  </si>
  <si>
    <t>湘味小厨(活力城店)</t>
  </si>
  <si>
    <t>溪雨观酸菜鱼(光新路店)</t>
  </si>
  <si>
    <t>溪雨观酸菜鱼(国和路店)</t>
  </si>
  <si>
    <t>竹筷子·松江味(新松江路店)</t>
  </si>
  <si>
    <t>李老哈·东北菜(宋园路店)</t>
  </si>
  <si>
    <t>湘锅锅·地道湖南菜·长沙大排档(浦江店)</t>
  </si>
  <si>
    <t>严二孃鲜鱼火锅(张江店)</t>
  </si>
  <si>
    <t>李老哈·东北农家小院(江浦路店)</t>
  </si>
  <si>
    <t>溪雨观酸菜鱼·烤鱼(临港店)</t>
  </si>
  <si>
    <t>申梦上荷·江浙菜(南桥店)</t>
  </si>
  <si>
    <t>胖掌柜·长沙大排档(汝南街店)</t>
  </si>
  <si>
    <t>竹筷子·松江味(乐都路店)</t>
  </si>
  <si>
    <t>湘调调·长沙大排档·鲜炒湖南菜(张江店)</t>
  </si>
  <si>
    <t>楠桦·醉美里(城中店)</t>
  </si>
  <si>
    <t>溪雨观酸菜鱼（东书房路店）</t>
  </si>
  <si>
    <t>申梦上荷·江浙菜(天山西路店)</t>
  </si>
  <si>
    <t>见味花甲(坂田万科店)</t>
  </si>
  <si>
    <t>洪潮传统潮汕菜(大宁久光中心店)</t>
  </si>
  <si>
    <t>溪雨观酸菜鱼·特色烤鱼(浦江店)</t>
  </si>
  <si>
    <t>天钥小馆·民间菜(天钥桥店)</t>
  </si>
  <si>
    <t>盛興楼牛羊肉泡馍(高新店)</t>
  </si>
  <si>
    <r>
      <t>湘识·长沙小炒·市井下饭菜（上海首店）</t>
    </r>
    <r>
      <rPr>
        <sz val="10"/>
        <color rgb="FFFF0000"/>
        <rFont val="Arial"/>
        <charset val="134"/>
      </rPr>
      <t xml:space="preserve">		</t>
    </r>
  </si>
  <si>
    <t>渔味妙酸菜鱼·烤鱼(延长中路店)</t>
  </si>
  <si>
    <t>申梦上荷·江浙菜(宜川路店)</t>
  </si>
  <si>
    <t>觅湘私菜坊·湖南菜(潍坊三村店)</t>
  </si>
  <si>
    <t>文兴酒家(久光百货店)</t>
  </si>
  <si>
    <t>外婆小菜(蓝村路店)</t>
  </si>
  <si>
    <t>湘芙记</t>
  </si>
  <si>
    <t>李艳玲认真土豆粉(古北1699广场店)</t>
  </si>
  <si>
    <t>醉美里(大融城店)</t>
  </si>
  <si>
    <t>溪雨观酸菜鱼(夏威夷广场店)</t>
  </si>
  <si>
    <t>鹅佬柒铺·烧腊小馆(七宝店)</t>
  </si>
  <si>
    <t>溪雨观鲜活酸菜鱼·烤鱼（真如店）</t>
  </si>
  <si>
    <t>李老哈·东北农家小院(海上海店)</t>
  </si>
  <si>
    <t>龙记香港茶餐厅(上滨店)</t>
  </si>
  <si>
    <t>禾园春茗·淮扬菜·非遗手作(开新里店)</t>
  </si>
  <si>
    <t>味之绝美蛙鱼头火锅(宝山万达店)</t>
  </si>
  <si>
    <t>好宴世家(浦锦路店)</t>
  </si>
  <si>
    <t>上海银厨·老本帮私房菜(武宁路店)</t>
  </si>
  <si>
    <t>溪雨观酸菜鱼(恒越荣欣广场店)</t>
  </si>
  <si>
    <t>马己仙广东小馆(大宁音乐广场店)</t>
  </si>
  <si>
    <t>孙记·稻香世家（江场三路店）</t>
  </si>
  <si>
    <t>渔味妙酸菜鱼·肥肠鱼·烤鱼(涞寅路店)</t>
  </si>
  <si>
    <r>
      <t>渔味妙酸菜鱼·烤鱼·鸡公煲（浦秀路店）</t>
    </r>
    <r>
      <rPr>
        <sz val="10"/>
        <color rgb="FFFF0000"/>
        <rFont val="Arial"/>
        <charset val="134"/>
      </rPr>
      <t xml:space="preserve">		</t>
    </r>
  </si>
  <si>
    <t>佬湘集·湖南下饭菜(静安店)</t>
  </si>
  <si>
    <t>撸串达人·民族烧烤·烤牛油边(沪太路店)</t>
  </si>
  <si>
    <t>孙记稻香世家·老盒饭(金桥太茂店)</t>
  </si>
  <si>
    <t>華府(上海太阳宫店)</t>
  </si>
  <si>
    <t>李老哈东北菜(奉贤宝龙店)</t>
  </si>
  <si>
    <t>胖掌柜·长沙小炒·地道湖南菜(宝山店)</t>
  </si>
  <si>
    <t>申梦上荷·江浙菜(宝山店)</t>
  </si>
  <si>
    <t>竹筷子·茸城小菜</t>
  </si>
  <si>
    <t>孙记稻香世家（宏慧新里店）</t>
  </si>
  <si>
    <t>楠桦·醉美里(复悦荟店)</t>
  </si>
  <si>
    <t>锦府园·新台州菜(来福士店)</t>
  </si>
  <si>
    <t>孙记稻香世家·老盒饭(泗泾首店)</t>
  </si>
  <si>
    <t>胖掌柜长沙大排档</t>
  </si>
  <si>
    <t>古德鱿(虹口今雨荟店)</t>
  </si>
  <si>
    <t>渔味妙酸菜鱼●烤鱼●鸡公煲(秀文路店)</t>
  </si>
  <si>
    <t>沙县小吃(蓝村路店)</t>
  </si>
  <si>
    <t>申梦上荷·江浙菜(龙川北路店)</t>
  </si>
  <si>
    <t>枫林亭·新浙菜(华泾龙湖店)</t>
  </si>
  <si>
    <t>渔味妙酸菜鱼·烤鱼(丰庄路店)</t>
  </si>
  <si>
    <t>福源沁地道本帮菜(静安店)</t>
  </si>
  <si>
    <t>味之绝美蛙鱼火锅(曹路店)</t>
  </si>
  <si>
    <t>好宴世家(世博店)</t>
  </si>
  <si>
    <t>湘识·长沙小炒·市井下饭菜(上海富都店)</t>
  </si>
  <si>
    <t>9家湘菜(金谊广场店)</t>
  </si>
  <si>
    <t>以记·化州香油鸡(石排店)</t>
  </si>
  <si>
    <t>濠七·糟粕醋牛肉粉·火锅(知春路店)</t>
  </si>
  <si>
    <t>胖掌柜·长沙小炒·地道湖南菜(水产西路店)</t>
  </si>
  <si>
    <t>小广东烧腊·煲仔饭(宝山店)</t>
  </si>
  <si>
    <t>林起新·烧腊专门店(杨浦店)</t>
  </si>
  <si>
    <t>申梦上荷·江浙菜(延吉东路店)</t>
  </si>
  <si>
    <t>思北村(秀沿路店)</t>
  </si>
  <si>
    <t>濠七• 海南粉•糟粕醋牛肉粉(双井店)</t>
  </si>
  <si>
    <t>醉美里·地道本帮菜馆(百联中环店)</t>
  </si>
  <si>
    <t>申梦·江浙菜·小海鲜(金杨路店)</t>
  </si>
  <si>
    <t>林起新烧腊·粿条·猪脚饭(越界店)</t>
  </si>
  <si>
    <t>申梦上荷·江浙菜(虹桥路店)</t>
  </si>
  <si>
    <t>地地道道·徐州菜·品质烧烤·夜宵(吴中店)(吴中店)</t>
  </si>
  <si>
    <t>努尔疆·新疆餐厅(海阳路店)</t>
  </si>
  <si>
    <t>孙记稻香世家·老盒饭(叁宸里店)</t>
  </si>
  <si>
    <t>孙记稻香世家·老盒饭(欢乐颂店)</t>
  </si>
  <si>
    <t>TurcTaj图尔克泰姬印度土耳其餐厅(长宁店)</t>
  </si>
  <si>
    <t>百素我家酸菜鱼(闸北公园店)</t>
  </si>
  <si>
    <t>孙记稻香世家·老饭盒(古北店)</t>
  </si>
  <si>
    <t>渔味妙酸菜鱼●烤鱼(龙茗路店)</t>
  </si>
  <si>
    <t>湘识·市井长沙小炒(浙大店)</t>
  </si>
  <si>
    <t>令狐冲窑烤活鱼(华新店)</t>
  </si>
  <si>
    <t>竹筷子·松江味(鹿都广场店)</t>
  </si>
  <si>
    <t>孙记稻香世家·老盒饭(御桥店)</t>
  </si>
  <si>
    <t>孙记稻香世家(芳甸路店)</t>
  </si>
  <si>
    <t>见味花甲(福田COCOpark店)</t>
  </si>
  <si>
    <t>濠七·海南粉·糟粕醋牛肉粉(五道口店)</t>
  </si>
  <si>
    <t>孙记稻香世家·老盒饭(长城大厦店)</t>
  </si>
  <si>
    <t>茶裕蘭(金桥太茂店)</t>
  </si>
  <si>
    <t>大孩小孩·沙县小吃星选(高新万达店)</t>
  </si>
  <si>
    <t>集佰坊大众饭堂(航头店)</t>
  </si>
  <si>
    <t>阿不先生-非遗闽味（鲁能中心店）</t>
  </si>
  <si>
    <t>文興烧腊.香港茶餐厅</t>
  </si>
  <si>
    <t>麦麦提大串王（水泉路店）</t>
  </si>
  <si>
    <t>江碗碗·江西小炒大王(双井店)</t>
  </si>
  <si>
    <t>申梦上荷·手作上海菜(陕西北路店)</t>
  </si>
  <si>
    <t>孙记稻香世家·老盒饭(百联中环店)</t>
  </si>
  <si>
    <t>龙阿姐江湖川菜(松江店)</t>
  </si>
  <si>
    <t>溪雨观酸菜鱼(绚荟城店)</t>
  </si>
  <si>
    <t>见味花甲(虹口龙之梦店)</t>
  </si>
  <si>
    <t>孙记稻香世家(金融街店)</t>
  </si>
  <si>
    <t>鲜鱼潭·水煮鱼(临平店)</t>
  </si>
  <si>
    <t>盛兴楼牛羊肉泡馍(大雁塔店)</t>
  </si>
  <si>
    <t>金灶娘老宁波干蒸菜(泗泾店)</t>
  </si>
  <si>
    <t>沙县小吃(杨浦政恒路店)</t>
  </si>
  <si>
    <t>申梦上荷·江浙菜(平凉店)</t>
  </si>
  <si>
    <t>严二孃鲜鱼火锅(华漕店)</t>
  </si>
  <si>
    <t>孙记稻香世家(稻香花都店)</t>
  </si>
  <si>
    <t>湘霸王(国顺东路店)</t>
  </si>
  <si>
    <t>严二嬢鲜鱼火锅(金杨路店)</t>
  </si>
  <si>
    <t>穆兰德·牛肉煎包·脆香锅贴(共康路店)</t>
  </si>
  <si>
    <t>稻香世家(七巧国店)</t>
  </si>
  <si>
    <t>福德味·老上海本帮菜(浦东店)</t>
  </si>
  <si>
    <t>见味花甲(西乡天虹店)</t>
  </si>
  <si>
    <t>孙记稻香世家金山店</t>
  </si>
  <si>
    <t>湘憨憨自助餐厅·老盒饭(尖山路店)</t>
  </si>
  <si>
    <t>俞记现炒优选(现炒快餐店)</t>
  </si>
  <si>
    <t>好宴世家</t>
  </si>
  <si>
    <t>林起新烧腊·粿条·猪脚饭(绿地滨江店)</t>
  </si>
  <si>
    <t>孙记稻香世家·老盒饭（悠方店）</t>
  </si>
  <si>
    <t>孙记稻香世家·老饭盒(青浦店)</t>
  </si>
  <si>
    <t>虾之道·龙虾烧烤大排档·江湖菜(泗泾店)</t>
  </si>
  <si>
    <t>湘霸王·地道湖南土菜(中骏广场店)</t>
  </si>
  <si>
    <t>阿佑鲜烫牛肉米线(曹路店)</t>
  </si>
  <si>
    <t>虾之道·龙虾烧烤大排档·江湖菜(九亭店)</t>
  </si>
  <si>
    <t>望炊烟・新家宴</t>
  </si>
  <si>
    <t>榊燃堂鳗鱼饭(观音桥店)</t>
  </si>
  <si>
    <t>吉品小鲜Jhouse(陆家嘴中心店)</t>
  </si>
  <si>
    <t>湘沪一家人·木桶饭(南京西路店)</t>
  </si>
  <si>
    <t>张亮麻辣烫·麻辣拌(周浦万达店)</t>
  </si>
  <si>
    <t>见味花甲(福永天虹店)</t>
  </si>
  <si>
    <t>湘憨憨·自选餐厅·老饭盒(福山路店)</t>
  </si>
  <si>
    <t>盛興楼牛羊肉泡馍·小炒(曲江店)</t>
  </si>
  <si>
    <t>孙记稻香世家老盒饭(璟尚店)</t>
  </si>
  <si>
    <t>孙记稻香世家·老盒饭(宝乐汇店)</t>
  </si>
  <si>
    <t>胖湘厨·乡野湖南菜. 地道长沙口味（九亭店）</t>
  </si>
  <si>
    <t>百素我家酸菜鱼（安亭店）</t>
  </si>
  <si>
    <t>麦麦提大串王·新疆烧烤(利津路店)</t>
  </si>
  <si>
    <t>味师蒋大厨·老盒饭(江宁路店)</t>
  </si>
  <si>
    <t>盛興楼牛羊肉泡馍·小炒(凤城五路店)</t>
  </si>
  <si>
    <t>溪雨观酸菜鱼·活鱼现杀(虹桥店)</t>
  </si>
  <si>
    <t>见味花甲(卓悦汇店)</t>
  </si>
  <si>
    <t>渔味妙（虹中路店）</t>
  </si>
  <si>
    <t>孙记稻香世家·老盒饭(壹中心店)</t>
  </si>
  <si>
    <t>农家坊海鲜馆(芷江中路店)</t>
  </si>
  <si>
    <t>申梦宴(真北路店)</t>
  </si>
  <si>
    <t>湘憨憨·自选餐厅·老饭盒(歌斐店)</t>
  </si>
  <si>
    <t>申梦上荷·江浙菜(石泉店)</t>
  </si>
  <si>
    <t>俞记·民间菜(十年老店)</t>
  </si>
  <si>
    <t>孙记稻香世家·老盒饭(龙阳广场店)</t>
  </si>
  <si>
    <t>尤素吴忠羊杂·家常炒菜</t>
  </si>
  <si>
    <t>杨国福麻辣烫·麻辣拌(宴南都花园店)</t>
  </si>
  <si>
    <t>好宴世家(颛桥店)</t>
  </si>
  <si>
    <t>林起新·烧腊·粿条(传媒港店)</t>
  </si>
  <si>
    <t>集佰坊·大众饭堂(鹤洁路店)</t>
  </si>
  <si>
    <t>湘芙蓉雅宴（国霞路店）</t>
  </si>
  <si>
    <t>丰荷喜悦庭·新江浙菜(栖山路店)</t>
  </si>
  <si>
    <t>见味花甲(布吉万象店)</t>
  </si>
  <si>
    <t>麦麦提大串王(梅川路店)</t>
  </si>
  <si>
    <t>憨牛客·袁记跷脚牛肉(蜀都万达店)</t>
  </si>
  <si>
    <t>JuiceFarm(财富购物中心店)</t>
  </si>
  <si>
    <t>盛興楼牛羊肉泡馍(龙首店)</t>
  </si>
  <si>
    <t>见味花甲(深圳龙城万科里店)</t>
  </si>
  <si>
    <t>新客来中式快餐</t>
  </si>
  <si>
    <t>见味花甲(丽影广场店)</t>
  </si>
  <si>
    <t>方二嬢山城豆花饭·猛火现炒(巴南店)</t>
  </si>
  <si>
    <t>季家菜·温州饭摊（浦城路店）</t>
  </si>
  <si>
    <t>季家菜.温州饭摊（世贸店）</t>
  </si>
  <si>
    <t>张亮麻辣烫·麻辣拌(桥梓湾店)</t>
  </si>
  <si>
    <t>七江迷宗蟹(金华浦江县店)</t>
  </si>
  <si>
    <t>沙县小吃(长宁协和店)</t>
  </si>
  <si>
    <t>南汇散养白斩鸡(松江店)</t>
  </si>
  <si>
    <t>新疆麦麦提大串王(延长西路店)</t>
  </si>
  <si>
    <t>渔味妙酸菜鱼·烤鱼·鸡公煲(青年城店)</t>
  </si>
  <si>
    <t>大孩小孩·沙县小吃星选(西安店）</t>
  </si>
  <si>
    <t>渔味妙酸菜鱼烤鱼肥肠鱼(安亭店)</t>
  </si>
  <si>
    <t>见味花甲·花甲粉(宣武门店)</t>
  </si>
  <si>
    <t>曾大勺·剁椒鱼头·湖南土菜(金桥禹州国际店)</t>
  </si>
  <si>
    <t>沙县小吃(南翔店)</t>
  </si>
  <si>
    <t>湘霸王创意湘菜(玉田路川湘菜必吃店)</t>
  </si>
  <si>
    <t>孙记稻香世家·老饭盒(三林店)</t>
  </si>
  <si>
    <t>宴福里·本帮菜(漕宝路店)</t>
  </si>
  <si>
    <t>沙县小吃(惠南店)</t>
  </si>
  <si>
    <t>湘识·市井长沙小炒(九堡财通店)</t>
  </si>
  <si>
    <t>鱼十娘·精品川菜·水煮活鱼(星光大道店)</t>
  </si>
  <si>
    <t>孙记稻香世家(丽宝广场店)</t>
  </si>
  <si>
    <t>严二嬢鲜鱼火锅(书院店)</t>
  </si>
  <si>
    <t>友川公厨(尚浦中心店)</t>
  </si>
  <si>
    <t>于大侠·隆江猪脚饭(东南大道店)</t>
  </si>
  <si>
    <t>巷子有粉铺·湖南米粉(陆家嘴店)</t>
  </si>
  <si>
    <t>好宴世家(仲盛店)</t>
  </si>
  <si>
    <t>快乐享大食堂·家常菜(佘山店)</t>
  </si>
  <si>
    <t>大孩小孩·沙县小吃(亿合城店)</t>
  </si>
  <si>
    <t>金湘缘·湘菜馆(栖山路店)</t>
  </si>
  <si>
    <t>小灶湘·鲜炒乡里土菜(牡丹江路店)</t>
  </si>
  <si>
    <t>盛興楼牛羊肉泡馍·小炒(土门店)</t>
  </si>
  <si>
    <t>渔味妙·酸菜鱼·烤鱼(车墩店）</t>
  </si>
  <si>
    <t>宴福里·本帮菜（文定路店）</t>
  </si>
  <si>
    <t>梅花境（七宝万科店）</t>
  </si>
  <si>
    <t>卓记新疆米粉（梅川路店）</t>
  </si>
  <si>
    <t>虾之道·龙虾烧烤·川湘菜（松东路店)</t>
  </si>
  <si>
    <t>严二孃鲜鱼火锅(泥城店)</t>
  </si>
  <si>
    <t>孙记稻香世家(顾戴路店)</t>
  </si>
  <si>
    <t>麦麦提大串王（灵山路店）</t>
  </si>
  <si>
    <t>溪雨观酸菜鱼（青浦宝龙店）</t>
  </si>
  <si>
    <t>巴佰拌重庆凉拌菜</t>
  </si>
  <si>
    <t>湘百福</t>
  </si>
  <si>
    <t>见味花甲(劳动南路店)</t>
  </si>
  <si>
    <t>台湾铁板烤鸭+米饭（平潭店）</t>
  </si>
  <si>
    <t>陈盛肥蛤(东城逸家店)</t>
  </si>
  <si>
    <t>陶姥姥砂锅· 广式啫啫煲(金谊广场店)</t>
  </si>
  <si>
    <t>孙记稻香世家·老盒饭(七宝店)</t>
  </si>
  <si>
    <t>钵子传奇·湖南菜(塘桥新路店)</t>
  </si>
  <si>
    <t>源清制面</t>
  </si>
  <si>
    <t>沁韵茸隐家宴</t>
  </si>
  <si>
    <t>湘霸王·老坛剁椒鱼头(平凉路店)</t>
  </si>
  <si>
    <t>歪胖子·贵州酸汤牛肉米线</t>
  </si>
  <si>
    <t>味湘恋·匠心湘菜·老坛剁椒鱼头(九亭店)</t>
  </si>
  <si>
    <t>孙记稻香世家·老盒饭(佘山店)</t>
  </si>
  <si>
    <t>华三爷·现炒浇头干拌面(七宝店)</t>
  </si>
  <si>
    <t>孙记稻香世家·老饭盒(徐汇店)</t>
  </si>
  <si>
    <t>王姐鲜活酸菜鱼(新场店)</t>
  </si>
  <si>
    <t>海上三小姐•甜品•下午茶(奉贤新城店)</t>
  </si>
  <si>
    <t>大厨炒鸡（鲜鸡现炒）</t>
  </si>
  <si>
    <t>沙县小吃(宝应店)</t>
  </si>
  <si>
    <t>湘憨憨·自选餐厅·老饭盒(互联宝地店)</t>
  </si>
  <si>
    <t>榕港·本帮江浙菜(普陀店)</t>
  </si>
  <si>
    <t>伊香楼牛羊肉泡馍·小炒(阳光天地店)</t>
  </si>
  <si>
    <t>红太阳鱼杂王·蜀湘川菜(杨浦保利店)</t>
  </si>
  <si>
    <t>王记鲜蹄花大排档(三色路店)</t>
  </si>
  <si>
    <t>筱灶湘</t>
  </si>
  <si>
    <t>益膳·湖南土菜(长阳创谷店)</t>
  </si>
  <si>
    <t>大孩小孩·沙县小吃(金州安盛店)</t>
  </si>
  <si>
    <t>新疆麦麦提羊肉串金通路</t>
  </si>
  <si>
    <t>虾之道·龙虾烧烤·川湘菜（新松江路店)</t>
  </si>
  <si>
    <t>湘憨憨·自选餐厅·老盒饭(花木店)</t>
  </si>
  <si>
    <t>李老哈东北菜(南京东路店)</t>
  </si>
  <si>
    <t>龍记肠粉·茶点·粥·猪杂汤粉(狮岭店)</t>
  </si>
  <si>
    <t>佬湘集钵子菜·湖南味(上生新所店)</t>
  </si>
  <si>
    <t>龚阿婆·老成都川湘菜(施湾店)</t>
  </si>
  <si>
    <t>圆场汉堡Circle Burger(正大中心店)</t>
  </si>
  <si>
    <t>贵福味·遵义羊肉粉·牛肉粉面(南城店)</t>
  </si>
  <si>
    <t>9家民间菜(东陆路店)</t>
  </si>
  <si>
    <t>旺旺现串炭烤</t>
  </si>
  <si>
    <t>蜀南面馆(莘庄店)</t>
  </si>
  <si>
    <t>莽子老火锅(大坪店)</t>
  </si>
  <si>
    <t>淳小灶·千岛湖菜（绍兴路店）</t>
  </si>
  <si>
    <t>新疆麦麦提大串王(新源路店)</t>
  </si>
  <si>
    <t>粉醉牛·湖南牛肉米粉(中山西路店)</t>
  </si>
  <si>
    <t>鸡缘小筑</t>
  </si>
  <si>
    <t>猫大大·砂锅土豆粉面·现炒原料</t>
  </si>
  <si>
    <t>盖码湘·长沙现炒盖码饭(国霞路店)</t>
  </si>
  <si>
    <t>榕港·本帮江浙菜(青浦店)</t>
  </si>
  <si>
    <t>菌小鲜·云南野山菌炒饭(嘉兴店)</t>
  </si>
  <si>
    <t>允兮屋韩国炸鸡(八卦八街店)</t>
  </si>
  <si>
    <t>金灶娘老宁波干蒸菜(九亭店)</t>
  </si>
  <si>
    <t>恒之丰·广式烧腊·猪脚饭(浙港店)</t>
  </si>
  <si>
    <t>孙记稻香世家·老盒饭(九亭中心店)</t>
  </si>
  <si>
    <t>大孩小孩·沙县小吃(和平广场店)</t>
  </si>
  <si>
    <t>沪二娘酸菜鱼·鸡公煲·烤鱼(申江南路店4888号)</t>
  </si>
  <si>
    <t>静安小馆·新江浙菜(共和新路店)</t>
  </si>
  <si>
    <t>见味花甲(惠州吉之岛永旺店)</t>
  </si>
  <si>
    <t>见味花甲(华贸天地店)</t>
  </si>
  <si>
    <t>渝钟包子店·拒绝预制包(中洲店)</t>
  </si>
  <si>
    <t>湘憨憨·自选餐厅·老盒饭(传媒港店)</t>
  </si>
  <si>
    <t>湘霸王·湖南菜·现炒现卖(本溪路店)</t>
  </si>
  <si>
    <t>锋味大食堂·自选餐厅(商贸城三区二楼店)</t>
  </si>
  <si>
    <t>卓记新疆米粉(花木店)</t>
  </si>
  <si>
    <t>阿不先生·大排档（高新店）</t>
  </si>
  <si>
    <t>永旺干拌烤鸭·爆鱼（临平店）</t>
  </si>
  <si>
    <t>东北一绝锅包肉(东北菜南通大有境店)</t>
  </si>
  <si>
    <t>大孩小孩·沙县小吃(开发区安盛店)</t>
  </si>
  <si>
    <t>元青藤·本帮菜·融合菜(浦东店)</t>
  </si>
  <si>
    <t>兰州牛肉面(万荣路店)</t>
  </si>
  <si>
    <t>红太阳鱼杂王·湘厨士·湖南小炒(张江店)</t>
  </si>
  <si>
    <t>沙县小吃(松兰路店)</t>
  </si>
  <si>
    <t>沙县小吃(九亭店)</t>
  </si>
  <si>
    <t>围辣鲜烫冒菜</t>
  </si>
  <si>
    <t>见味花甲(仁恒梦中心店)</t>
  </si>
  <si>
    <t>贵福味遵义羊肉粉（沙头店）</t>
  </si>
  <si>
    <t>蒸久膳包子铺(华山路店)</t>
  </si>
  <si>
    <t>朱全璋·贵州羊肉粉(曹杨路店)</t>
  </si>
  <si>
    <t>沙县小吃(上海大学店)</t>
  </si>
  <si>
    <t>艾力营养烤馕烤肉（浦东南路）</t>
  </si>
  <si>
    <t>老北京香河肉饼·山西刀削面(北江路店)</t>
  </si>
  <si>
    <t>方记隆江猪脚饭</t>
  </si>
  <si>
    <t>来财临沂特色炒鸡·鲁菜小炒(泗泾店)</t>
  </si>
  <si>
    <t>上海申阿婆私房菜(莘庄店)</t>
  </si>
  <si>
    <t>方二嬢山城豆花饭·猛火现炒(万象城店)</t>
  </si>
  <si>
    <t>张快快湖南鲜汤米粉(宝山万达店)</t>
  </si>
  <si>
    <t>见味花甲(天河领展店)</t>
  </si>
  <si>
    <t>乌涂煎包·正宗大肠血·滋补炖汤·咸饭·米线(乌涂店)</t>
  </si>
  <si>
    <t>千浔的生鱼饭·海鲜波奇饭(曹杨路店)</t>
  </si>
  <si>
    <t>辣都江湖川菜·龙虾烧烤(桂林路店)</t>
  </si>
  <si>
    <t>筱灶湘.鲜炒乡里土菜(共康路)</t>
  </si>
  <si>
    <t>君之喜自选餐厅老饭盒(长泰广场店)</t>
  </si>
  <si>
    <t>三江口·宜宾燃面（徐汇日月光店）</t>
  </si>
  <si>
    <t>阿达西烤肉(花木店)</t>
  </si>
  <si>
    <t>贵福味遵义羊肉粉</t>
  </si>
  <si>
    <t>三江口·宜宾燃面(田林路店)</t>
  </si>
  <si>
    <t>古德鱿(周浦万达店)</t>
  </si>
  <si>
    <t>大孩小孩·沙县小吃(弘源广场店)</t>
  </si>
  <si>
    <t>见味花甲(惠州店)</t>
  </si>
  <si>
    <t>小南延味小馆(子长煎饼·延安凉皮·延安烧烤)</t>
  </si>
  <si>
    <t>中国重庆马海洋牛肉面·米粉·酸辣粉(银海区店)</t>
  </si>
  <si>
    <t>食鼎鲜·鲜卤猪脚饭·沙县小吃(适园路店)</t>
  </si>
  <si>
    <t>来功夫豆花(土猪回锅肉·凉拌菜·蒸菜·巴国城店)</t>
  </si>
  <si>
    <t>半山小仓(鲁能店)</t>
  </si>
  <si>
    <t>阜阳卷馍·菜煎饼</t>
  </si>
  <si>
    <t>鲜仙记重庆泡椒米线(前黄店)</t>
  </si>
  <si>
    <t>红太阳鱼杂王(江桥万达店)</t>
  </si>
  <si>
    <t>老字号隆江猪脚饭(银都路店)</t>
  </si>
  <si>
    <t>榕港名轩(徐家汇店)</t>
  </si>
  <si>
    <t>沙县小吃(凤阳路店)</t>
  </si>
  <si>
    <t>东北印象私房菜(大盈店)</t>
  </si>
  <si>
    <t>严二孃鲜鱼火锅(南翔店)</t>
  </si>
  <si>
    <t>半山小仓(光环店)</t>
  </si>
  <si>
    <t>虬师娘·隆江猪脚饭(斜桥镇店)</t>
  </si>
  <si>
    <t>言记乡野大排档·海鲜土菜·烧烤龙虾(书院店)</t>
  </si>
  <si>
    <t>鹿鸣中式炸鸡(大华店)</t>
  </si>
  <si>
    <t>鸿粤兴港式烧腊饭·潮汕卤味</t>
  </si>
  <si>
    <t>恩施宋鸭子(杨家坪店)</t>
  </si>
  <si>
    <t>和友湘见</t>
  </si>
  <si>
    <t>樘沿头・自选餐厅・老盒饭(大悦城店)</t>
  </si>
  <si>
    <t>周周鸡公煲·炒菜·烤鱼(嘉定西店)</t>
  </si>
  <si>
    <t>脆囍鲜(七宝宝龙店)</t>
  </si>
  <si>
    <t>时珍序·古法茶饮(隆福寺店)</t>
  </si>
  <si>
    <t>阿里王椒盐牛蛙(水产西路店)</t>
  </si>
  <si>
    <t>沪二娘酸菜鱼烤鱼鸡公煲(卫零店)</t>
  </si>
  <si>
    <t>天天画饼（鸡蛋饼 烤冷面 手抓饼）</t>
  </si>
  <si>
    <t>杜小奇雲南过桥米线（西安总店）</t>
  </si>
  <si>
    <t>小俩口炸串•烤冷面•麻辣烫炒饭(铁西百货店)</t>
  </si>
  <si>
    <t>芸南阿朵·小锅米线(盛大店)</t>
  </si>
  <si>
    <t>食鼎鲜·鲜卤猪脚饭</t>
  </si>
  <si>
    <t>一品轩餐厅·龙虾馆</t>
  </si>
  <si>
    <t>木兰越南小卷粉</t>
  </si>
  <si>
    <t>卧虎尝鲜·鱼蛙煲(徐家汇店)</t>
  </si>
  <si>
    <t>沪二娘鲜活酸菜鱼烤鱼（叶榭店）</t>
  </si>
  <si>
    <t>夜麗香·馄饨面馆(建国东路店)</t>
  </si>
  <si>
    <t>Wuuli呜哩咖啡（松坪山店）</t>
  </si>
  <si>
    <t>螺小娘鸳鸯螺蛳粉(中茂城店)</t>
  </si>
  <si>
    <t>梅花境(凌空SOHO店)</t>
  </si>
  <si>
    <t>那七爷(锅气炒粉·汤粉)(百盛店)</t>
  </si>
  <si>
    <t>榕港·本帮江浙菜(松江店)</t>
  </si>
  <si>
    <t>滇味集•云南小锅米线(湖里步行街店)</t>
  </si>
  <si>
    <t>三江口·宜宾燃面(花都荟店)</t>
  </si>
  <si>
    <t>三江口·宜宾燃面(光启城店)</t>
  </si>
  <si>
    <t>海上三小姐·甜品·下午茶(世贸滨江店)</t>
  </si>
  <si>
    <t>见味花甲(怀集店)</t>
  </si>
  <si>
    <t>惦记·黔州鲜烫牛肉粉（抄手·小面）(石坪桥店)</t>
  </si>
  <si>
    <t>见味花甲(河北保定爱情广场店)</t>
  </si>
  <si>
    <t>吴老二烤鱼·川菜(芦墟店)</t>
  </si>
  <si>
    <t>时珍序·古法茶饮(天津民园店)</t>
  </si>
  <si>
    <t>潮山仔汤粉(长安店)</t>
  </si>
  <si>
    <t>沙县小吃（建文店）</t>
  </si>
  <si>
    <t>榕港·本帮江浙菜(天禧店)</t>
  </si>
  <si>
    <t>小广粥酒家烧腊饭·现煲海鲜粥</t>
  </si>
  <si>
    <t>集螺汇骨汤螺蛳粉(川师南店)</t>
  </si>
  <si>
    <t>正宗重庆板凳面(颛桥镇店)</t>
  </si>
  <si>
    <t>柠有茶・手打柠檬鲜果茶(龙东店)</t>
  </si>
  <si>
    <t>擂辣椒梅菜扣肉(人民广场店)</t>
  </si>
  <si>
    <t>沙县小吃(百色路店)</t>
  </si>
  <si>
    <t>锡场炒糕粿</t>
  </si>
  <si>
    <t>府山良田•现烤芝士牛肉卷•三明治(西二站店)</t>
  </si>
  <si>
    <t>皇佳三文鱼·刺身·生腌(鸿福路店)</t>
  </si>
  <si>
    <t>茶话弄(大连高新万达广场店)</t>
  </si>
  <si>
    <t>马上烤手工披萨(大庙店)</t>
  </si>
  <si>
    <t>半山小仓（南坪店）</t>
  </si>
  <si>
    <t>樊司令汤包·老面小笼包(翠竹路店)</t>
  </si>
  <si>
    <t>日日旺山野鲜货火锅</t>
  </si>
  <si>
    <t>佶福祥包子（枫桥湖店）</t>
  </si>
  <si>
    <t>叫了只炸鸡(汉堡坪洲店)</t>
  </si>
  <si>
    <t>豫味胡辣汤·八宝粥·水煎包·酱香饼(高跃路店)</t>
  </si>
  <si>
    <t>红烧牛肉面·大锅羊肉汤(高跃路店)</t>
  </si>
  <si>
    <t>贵州人家·贵州下饭菜（狮岭店)</t>
  </si>
  <si>
    <t>海上三小姐•甜品•下午茶(龙东大道店)</t>
  </si>
  <si>
    <t>潮州卤水鹅凉拌菜(民同路店)</t>
  </si>
  <si>
    <t>鑫墁烤炉鸡蛋灌饼·馋嘴饼(一实小北门店)</t>
  </si>
  <si>
    <t>岳记红烧牛肉面</t>
  </si>
  <si>
    <t>竹筷子·松江味(佘山店)</t>
  </si>
  <si>
    <t>午郡拌饭(新玛特店)</t>
  </si>
  <si>
    <t>那七爷(锅气炒粉·汤粉)(新丸中心店)</t>
  </si>
  <si>
    <t>湘菜馆木桶饭(官堂店)</t>
  </si>
  <si>
    <t>秦淮河盐水鸭</t>
  </si>
  <si>
    <t>孙记稻香世家·老盒饭(天山店)</t>
  </si>
  <si>
    <t>叁味螺·柳州螺狮粉（成山大道店)</t>
  </si>
  <si>
    <t>老东家苏州汤包馆家常炒菜(共和新路店)</t>
  </si>
  <si>
    <t>尚干拌面扁肉鲜捞(名城港湾店)</t>
  </si>
  <si>
    <t>李小胖黄焖鸡米饭(金舟港店)</t>
  </si>
  <si>
    <t>菌满山·云南野山菌炒饭(嘉善店)</t>
  </si>
  <si>
    <t>龍记肠粉·茶点·粥·捞面(侨滨苑店)</t>
  </si>
  <si>
    <t>沐风私房菜(本地好店)</t>
  </si>
  <si>
    <t>书香面·米粉抄手(杨家坪店)</t>
  </si>
  <si>
    <t>方氏重庆小面(油车路342号店)</t>
  </si>
  <si>
    <t xml:space="preserve"> 宴福里·本帮菜 （中山北路店）</t>
  </si>
  <si>
    <t>三禧砂锅米线·特色砂锅菜(山东科技大学店)</t>
  </si>
  <si>
    <t>红旗羊肉面馆(淞南店)</t>
  </si>
  <si>
    <t>高臭臭螺蛳粉·火锅</t>
  </si>
  <si>
    <t>四大金纲(水电路店)</t>
  </si>
  <si>
    <t>竹筷子·社区长者食堂(谷水店)</t>
  </si>
  <si>
    <t>南包包与川糕糕(康桥融府店)</t>
  </si>
  <si>
    <t>小火娃烤肉卷饼(泉城广场店)</t>
  </si>
  <si>
    <t>宴雅轩</t>
  </si>
  <si>
    <t>今禧手作(闲富中路店)</t>
  </si>
  <si>
    <t>湘憨憨·自选餐厅·老盒饭(人民广场店)</t>
  </si>
  <si>
    <t>竹筷子·永丰社区长者食堂</t>
  </si>
  <si>
    <t>虬师娘·鲜卤猪脚饭(青石店)</t>
  </si>
  <si>
    <t>豆面香·豆花米线·卤面(同德店)</t>
  </si>
  <si>
    <t>榕港·本帮江浙菜(疁城新天地店)</t>
  </si>
  <si>
    <t>VibeSip Coffee&amp;Lemon(福和万达店)</t>
  </si>
  <si>
    <t>鲜汤里老母鸡汤馄饨(筑友双河湾店)</t>
  </si>
  <si>
    <t>沐阳披萨(金科城店)</t>
  </si>
  <si>
    <t>榕港·本帮江浙菜(松江东鼎店)</t>
  </si>
  <si>
    <t>云南镇雄杨门米线</t>
  </si>
  <si>
    <t>正宗黄山菜饭骨头汤(车墩店)</t>
  </si>
  <si>
    <t>鹤也·回转寿司·刺身·日式料理(坪山悦阾商场店)</t>
  </si>
  <si>
    <t>沪二娘酸菜鱼烤鱼鸡公煲(山阳店)</t>
  </si>
  <si>
    <t>川渝美食·老成都冒菜</t>
  </si>
  <si>
    <t>小奥灶面馆(石牌店)</t>
  </si>
  <si>
    <t>锅气十足</t>
  </si>
  <si>
    <t>Fish 鱼众不同·酸菜鱼(联东U谷店)</t>
  </si>
  <si>
    <t>大杜小·小龙虾烧烤·麻小龙虾(浦东店)</t>
  </si>
  <si>
    <t>那七爷(锅气炒粉·汤粉)(吴江路店)</t>
  </si>
  <si>
    <t>华记拉面</t>
  </si>
  <si>
    <t>沙县小吃(文华小区店)</t>
  </si>
  <si>
    <t>福满堂黄焖鸡·过桥米线</t>
  </si>
  <si>
    <t>夜南香北京烤鸭(灵山路店)</t>
  </si>
  <si>
    <t>阿不先生·大排档（吉购店）</t>
  </si>
  <si>
    <t>潮品全牛鲜牛肉火锅</t>
  </si>
  <si>
    <t>周记湖南菜</t>
  </si>
  <si>
    <t>清真·寻佳味脆皮鸡米饭</t>
  </si>
  <si>
    <t>福建千里香·馄饨·面(嘉园路店)</t>
  </si>
  <si>
    <t>三江源牛肉面(虞麓花园店)</t>
  </si>
  <si>
    <t>今饺大王·水饺·大块牛肉面（歌斐店）</t>
  </si>
  <si>
    <t>十味素粉(会展东路店)</t>
  </si>
  <si>
    <t>新迎卤面馆(斗南店)</t>
  </si>
  <si>
    <t>青甜手作·糖水·甜品·水果茶</t>
  </si>
  <si>
    <t>潘记隆江猪脚饭</t>
  </si>
  <si>
    <t>猫小乖牛乳茶饮(风华路店)</t>
  </si>
  <si>
    <t>无辣不欢新疆炒米粉(香坊店)</t>
  </si>
  <si>
    <t>宝饱披萨（南湖店）</t>
  </si>
  <si>
    <t>林起新·烧腊专门店(红星美凯龙店)</t>
  </si>
  <si>
    <t>傣轻舂·舂鸡脚(百脑汇店)</t>
  </si>
  <si>
    <t>广东石磨肠粉</t>
  </si>
  <si>
    <t>羊煜黔·贵州特色粉店(夏良店)</t>
  </si>
  <si>
    <t>傣轻舂·舂鸡脚·轻食健康餐(尚嘉中心店)</t>
  </si>
  <si>
    <t>兰州牛肉面(五里井店)</t>
  </si>
  <si>
    <t>张二掰天津刨冰(山大路店)</t>
  </si>
  <si>
    <t>见味花甲(南岗店)</t>
  </si>
  <si>
    <t>螺小娘鸳鸯螺蛳粉(吾悦店)</t>
  </si>
  <si>
    <t>艾马铃鲜薯·薯堡薯条薯片</t>
  </si>
  <si>
    <t>漫炖糖水</t>
  </si>
  <si>
    <t>大秦面馆(水晶郦都店)</t>
  </si>
  <si>
    <t>味师蒋大厨现包手工水饺</t>
  </si>
  <si>
    <t>吃货天下·水果捞·干噎酸奶(龙湖天汇店)</t>
  </si>
  <si>
    <t>宝玉米线·炸串(世购店)</t>
  </si>
  <si>
    <t>辣小妹麻辣烫</t>
  </si>
  <si>
    <t>鄰里手打柠檬茶(机场东店)</t>
  </si>
  <si>
    <t>徐州肉筋卷饼卷王之王(虹桥店)</t>
  </si>
  <si>
    <t>小渔點鸡公煲酸菜鱼</t>
  </si>
  <si>
    <t>乐清顺丰快餐(招商西路店)</t>
  </si>
  <si>
    <t>歪胖子·鲜肉烫捞冒菜(颛桥万达店)</t>
  </si>
  <si>
    <t>努尔疆新疆羊肉串(芳华路店)</t>
  </si>
  <si>
    <t>榕港·本帮江浙菜(虹口店)</t>
  </si>
  <si>
    <t>MAMA韩国炸鸡(火鸡面秀沿路店)</t>
  </si>
  <si>
    <t>陇山雪高原土黄牛肉粉</t>
  </si>
  <si>
    <t>三江源牛肉拉面(涵玉翠岭店)</t>
  </si>
  <si>
    <t>成都私房菜•川菜(夏宁路店)</t>
  </si>
  <si>
    <t>榕港·本帮江浙菜(浦东大道店)</t>
  </si>
  <si>
    <t>周安和面馆·本帮现炒浇头面(光启城店)</t>
  </si>
  <si>
    <t>沙县小吃(南汇店)</t>
  </si>
  <si>
    <t>胖子川菜馆</t>
  </si>
  <si>
    <t>卤大拿熟食(山大南路商业街店)</t>
  </si>
  <si>
    <t>榕港·本帮江浙菜(长寿路店)</t>
  </si>
  <si>
    <t>见面渝筷·现炒浇头面(五角场店)</t>
  </si>
  <si>
    <t>傣轻舂·舂鸡脚·轻食健康餐(玖博广场店)</t>
  </si>
  <si>
    <t>金石头水饺炸串凉皮</t>
  </si>
  <si>
    <t>杨柳煎饼(闵行店)</t>
  </si>
  <si>
    <t>徐州陆家·凉皮凉面·擀面皮(太平北路店)</t>
  </si>
  <si>
    <t>近心宝宝餐厅·儿童餐</t>
  </si>
  <si>
    <t>WELUCKY小幸运咖啡(临湖塘桥路店)</t>
  </si>
  <si>
    <t>叶先生汤包馆</t>
  </si>
  <si>
    <t>那七爷(锅气炒粉·汤粉)(新世界店)</t>
  </si>
  <si>
    <t>福源鲜·拌菜·拌鸡架拌面(江南店)</t>
  </si>
  <si>
    <t>曾大个金牌猪脚饭(沔新路店)</t>
  </si>
  <si>
    <t>安亿厨房·盖码饭·锅气小炒</t>
  </si>
  <si>
    <t>三宝港式烧腊(凫山店)</t>
  </si>
  <si>
    <t>欣禾点心店(江杨南路店)</t>
  </si>
  <si>
    <t>胡施府土家鲜肉饼(新湖广场店)</t>
  </si>
  <si>
    <t>山城面馆豌杂面(虹桥店)</t>
  </si>
  <si>
    <t>闽家鲜福州小吃</t>
  </si>
  <si>
    <t>陈记·贵州原汤牛肉粉(益群店)</t>
  </si>
  <si>
    <t>客佳梅州盐焗食品店(凤凰城店）</t>
  </si>
  <si>
    <t>陈伙记金汤酸菜鱼（花漫里店）</t>
  </si>
  <si>
    <t>小张家的猛火炒饭</t>
  </si>
  <si>
    <t>鲜有道·猪杂牛肉粉(三湘广场店)</t>
  </si>
  <si>
    <t>珍滋坊</t>
  </si>
  <si>
    <t>武中堂•手打柠檬茶</t>
  </si>
  <si>
    <t>酒烤聚相逢</t>
  </si>
  <si>
    <t>黑金饭馆（卤肉饭）</t>
  </si>
  <si>
    <t>悦食堂·隆江猪脚饭(百成街店)</t>
  </si>
  <si>
    <t>喝堡卷HBC·果茶·鲜堡</t>
  </si>
  <si>
    <t>羊小侠水城羊肉粉(二完小店)</t>
  </si>
  <si>
    <t>海上三小姐•甜品•下午茶(成都武侯店)</t>
  </si>
  <si>
    <t>福禄鸡椒麻鸡</t>
  </si>
  <si>
    <t>多多肉夹馍</t>
  </si>
  <si>
    <t>渔之鲜·鱼生(商品街店)</t>
  </si>
  <si>
    <t>刘记猪肘饭·花甲粉(吾悦广场店)</t>
  </si>
  <si>
    <t>豆之家老汤面</t>
  </si>
  <si>
    <t>桃喜砂锅米线(天桥店)</t>
  </si>
  <si>
    <t>小满酸辣粉</t>
  </si>
  <si>
    <t>顾宣手工牛肉煎包(高西店)</t>
  </si>
  <si>
    <t>水城羊肉粉</t>
  </si>
  <si>
    <t>鑫墁鸡蛋灌饼(体育场店)</t>
  </si>
  <si>
    <t>榕港·本帮江浙菜(北外滩远洋店)</t>
  </si>
  <si>
    <t>逍遥镇胡辣汤(高新店)</t>
  </si>
  <si>
    <t>孟记板面(宏悦府店)</t>
  </si>
  <si>
    <t>古法传统牛肉汤(周浦店)</t>
  </si>
  <si>
    <t>沙县食记·鲜卤猪脚饭(云瓴国际店)</t>
  </si>
  <si>
    <t>孙记面馆水饺</t>
  </si>
  <si>
    <t>小俩口厨房(炒菜快餐)</t>
  </si>
  <si>
    <t>miigoo cafe</t>
  </si>
  <si>
    <t>F·S·Juice果橙萃鲜榨果汁(六约店)</t>
  </si>
  <si>
    <t>小两口无骨鸡爪秘制凉拌菜(绿地便民中心无骨鸡爪秘制凉拌菜)</t>
  </si>
  <si>
    <t>GD韩式炸鸡(火鸡面)</t>
  </si>
  <si>
    <t>陈记潮汕肠粉</t>
  </si>
  <si>
    <t>拾味·炸个痛快·炸串拌饼(留下店)</t>
  </si>
  <si>
    <t>喜陶Coffee(史可法东路店)</t>
  </si>
  <si>
    <t>佐庭右院·牛肉饭(新世纪花园店)</t>
  </si>
  <si>
    <t>暖知坊·姨妈热饮·鲜炖燕窝（深圳北站店）</t>
  </si>
  <si>
    <t>Chill coffee&amp;bar(上流汇店)</t>
  </si>
  <si>
    <t>E+小厨(现炒快餐·盒饭·小炒)</t>
  </si>
  <si>
    <t>Moca Cafe</t>
  </si>
  <si>
    <t>一品小面(豌杂面·米线·海含路店)</t>
  </si>
  <si>
    <t>乐味坊面精</t>
  </si>
  <si>
    <t>九咔米澜·胡辣汤·生煎(华新店)</t>
  </si>
  <si>
    <t>井力蛋糕·动物奶油·冰淇淋(东方名城店)</t>
  </si>
  <si>
    <t>优果奶博士</t>
  </si>
  <si>
    <t>何记一口香三鲜煲</t>
  </si>
  <si>
    <t>佳元美食(花甲粉)</t>
  </si>
  <si>
    <t>傣轻舂·舂鸡脚(轻食健康餐览海国际广场店)</t>
  </si>
  <si>
    <t>凉皮肉夹馍</t>
  </si>
  <si>
    <t>升翔金牌霸王鸡爪(篆新店)</t>
  </si>
  <si>
    <t>半山小仓面包(嘉州协信店)</t>
  </si>
  <si>
    <t>周三娘鲜烧牛肉·江湖菜馆(郫都万达店)</t>
  </si>
  <si>
    <t>味湘恋·匠心湘菜·老坛剁椒鱼头(同乐广场店)</t>
  </si>
  <si>
    <t>咖咖可可KAKACOCO(泰奶·可可)</t>
  </si>
  <si>
    <t>园姐东北烧烤店</t>
  </si>
  <si>
    <t>天养叔叔螺蛳粉(万秀旗舰店)</t>
  </si>
  <si>
    <t>妙可蓝多(金山工厂店)</t>
  </si>
  <si>
    <t>妙可蓝多面包·咖啡(金台路店)</t>
  </si>
  <si>
    <t>宝贝烫麻辣烫</t>
  </si>
  <si>
    <t>小山咖啡(黄家山陈屋巷店)</t>
  </si>
  <si>
    <t>小芗居·咖喱饭·意面</t>
  </si>
  <si>
    <t>屋里享coffee</t>
  </si>
  <si>
    <t>山江山</t>
  </si>
  <si>
    <t>山西麻辣拌</t>
  </si>
  <si>
    <t>川味面莊</t>
  </si>
  <si>
    <t>川渝兄弟烧烤(桃园店)</t>
  </si>
  <si>
    <t>早膳好· 凉皮·酱香饼·手抓饼(拾锦香花园店)</t>
  </si>
  <si>
    <t>李洪东餐饮服务店(金马店)</t>
  </si>
  <si>
    <t>来功夫豆花(土猪回锅肉·凉拌菜·蒸菜·万象城店)</t>
  </si>
  <si>
    <t>林起新·烧腊专门店(前滩31乐荟店)</t>
  </si>
  <si>
    <t>正新鸡排·炸鸡烧烤(西林店)</t>
  </si>
  <si>
    <t>汗王巴扎烤肉</t>
  </si>
  <si>
    <t>海上三小姐•甜品•下午茶(成都成华店)</t>
  </si>
  <si>
    <t>海屿栖奶茶·饮料·糖水</t>
  </si>
  <si>
    <t>淮南牛肉汤黄山菜饭</t>
  </si>
  <si>
    <t>王氏现卤</t>
  </si>
  <si>
    <t>糕幸蛋糕店</t>
  </si>
  <si>
    <t>臻厨美味（现炒现烧现煲 营养健康卫生）(华漕店)</t>
  </si>
  <si>
    <t>虹兴火锅(立新路店)</t>
  </si>
  <si>
    <t>谢记开封灌汤包(万邦店)</t>
  </si>
  <si>
    <t>跃杨龙虾(昌里路店)</t>
  </si>
  <si>
    <t>酌重精酿•现调鸡尾酒</t>
  </si>
  <si>
    <t>酒蒙子俱乐部</t>
  </si>
  <si>
    <t>金达猛火现炒盖饭·小炒·酒水</t>
  </si>
  <si>
    <t>阿佑鲜烫牛肉米线(普陀店)</t>
  </si>
  <si>
    <t>青夏·手打柠檬茶</t>
  </si>
  <si>
    <t>食庐·新派徽菜·川湘汇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</si>
</sst>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4"/>
      <color rgb="FFFF0000"/>
      <name val="Microsoft YaHei"/>
      <charset val="134"/>
    </font>
    <font>
      <b/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sz val="10"/>
      <color rgb="FF303133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3458;&#25143;&#34920;&#26368;&#26032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饿了么ID（完善）</v>
          </cell>
          <cell r="D1" t="str">
            <v>运营总监</v>
          </cell>
          <cell r="E1" t="str">
            <v>客户等级</v>
          </cell>
        </row>
        <row r="2">
          <cell r="C2">
            <v>529740973</v>
          </cell>
          <cell r="D2" t="str">
            <v>徐从众</v>
          </cell>
          <cell r="E2" t="str">
            <v>S</v>
          </cell>
        </row>
        <row r="3">
          <cell r="C3">
            <v>520277737</v>
          </cell>
          <cell r="D3" t="str">
            <v>王森</v>
          </cell>
          <cell r="E3" t="str">
            <v>S</v>
          </cell>
        </row>
        <row r="4">
          <cell r="C4">
            <v>529391242</v>
          </cell>
          <cell r="D4" t="str">
            <v>徐从众</v>
          </cell>
          <cell r="E4" t="str">
            <v>S</v>
          </cell>
        </row>
        <row r="5">
          <cell r="C5">
            <v>525138508</v>
          </cell>
          <cell r="D5" t="str">
            <v>徐从众</v>
          </cell>
          <cell r="E5" t="str">
            <v>S</v>
          </cell>
        </row>
        <row r="6">
          <cell r="C6">
            <v>1298770846</v>
          </cell>
          <cell r="D6" t="str">
            <v>徐从众</v>
          </cell>
          <cell r="E6" t="str">
            <v>S</v>
          </cell>
        </row>
        <row r="7">
          <cell r="C7">
            <v>2042488535</v>
          </cell>
          <cell r="D7" t="str">
            <v>徐从众</v>
          </cell>
          <cell r="E7" t="str">
            <v>S</v>
          </cell>
        </row>
        <row r="8">
          <cell r="C8">
            <v>506658635</v>
          </cell>
          <cell r="D8" t="str">
            <v>徐从众</v>
          </cell>
          <cell r="E8" t="str">
            <v>S</v>
          </cell>
        </row>
        <row r="9">
          <cell r="C9">
            <v>174271344</v>
          </cell>
          <cell r="D9" t="str">
            <v>徐从众</v>
          </cell>
          <cell r="E9" t="str">
            <v>S</v>
          </cell>
        </row>
        <row r="10">
          <cell r="C10">
            <v>1282686895</v>
          </cell>
          <cell r="D10" t="str">
            <v>徐从众</v>
          </cell>
          <cell r="E10" t="str">
            <v>S</v>
          </cell>
        </row>
        <row r="11">
          <cell r="C11">
            <v>531341138</v>
          </cell>
          <cell r="D11" t="str">
            <v>徐从众</v>
          </cell>
          <cell r="E11" t="str">
            <v>S</v>
          </cell>
        </row>
        <row r="12">
          <cell r="C12">
            <v>1174811920</v>
          </cell>
          <cell r="D12" t="str">
            <v>徐从众</v>
          </cell>
          <cell r="E12" t="str">
            <v>S</v>
          </cell>
        </row>
        <row r="13">
          <cell r="C13">
            <v>1271448048</v>
          </cell>
          <cell r="D13" t="str">
            <v>徐从众</v>
          </cell>
          <cell r="E13" t="str">
            <v>S</v>
          </cell>
        </row>
        <row r="14">
          <cell r="C14">
            <v>516010461</v>
          </cell>
          <cell r="D14" t="str">
            <v>徐从众</v>
          </cell>
          <cell r="E14" t="str">
            <v>S</v>
          </cell>
        </row>
        <row r="15">
          <cell r="C15">
            <v>511226561</v>
          </cell>
          <cell r="D15" t="str">
            <v>徐从众</v>
          </cell>
          <cell r="E15" t="str">
            <v>S</v>
          </cell>
        </row>
        <row r="16">
          <cell r="C16">
            <v>536370458</v>
          </cell>
          <cell r="D16" t="str">
            <v>王森</v>
          </cell>
          <cell r="E16" t="str">
            <v>A</v>
          </cell>
        </row>
        <row r="17">
          <cell r="C17">
            <v>531195935</v>
          </cell>
          <cell r="D17" t="str">
            <v>徐从众</v>
          </cell>
          <cell r="E17" t="str">
            <v>S</v>
          </cell>
        </row>
        <row r="18">
          <cell r="C18">
            <v>1259264652</v>
          </cell>
          <cell r="D18" t="str">
            <v>徐从众</v>
          </cell>
          <cell r="E18" t="str">
            <v>S</v>
          </cell>
        </row>
        <row r="19">
          <cell r="C19">
            <v>1249307179</v>
          </cell>
          <cell r="D19" t="str">
            <v>徐从众</v>
          </cell>
          <cell r="E19" t="str">
            <v>S</v>
          </cell>
        </row>
        <row r="20">
          <cell r="C20">
            <v>1248041415</v>
          </cell>
          <cell r="D20" t="str">
            <v>徐从众</v>
          </cell>
          <cell r="E20" t="str">
            <v>A</v>
          </cell>
        </row>
        <row r="21">
          <cell r="C21">
            <v>1270285521</v>
          </cell>
          <cell r="D21" t="str">
            <v>徐从众</v>
          </cell>
          <cell r="E21" t="str">
            <v>S</v>
          </cell>
        </row>
        <row r="22">
          <cell r="C22">
            <v>528771670</v>
          </cell>
          <cell r="D22" t="str">
            <v>徐从众</v>
          </cell>
          <cell r="E22" t="str">
            <v>S</v>
          </cell>
        </row>
        <row r="23">
          <cell r="C23">
            <v>2062907387</v>
          </cell>
          <cell r="D23" t="str">
            <v>徐从众</v>
          </cell>
          <cell r="E23" t="str">
            <v>A</v>
          </cell>
        </row>
        <row r="24">
          <cell r="C24">
            <v>1284394720</v>
          </cell>
          <cell r="D24" t="str">
            <v>徐从众</v>
          </cell>
          <cell r="E24" t="str">
            <v>S</v>
          </cell>
        </row>
        <row r="25">
          <cell r="C25">
            <v>527592152</v>
          </cell>
          <cell r="D25" t="str">
            <v>徐从众</v>
          </cell>
          <cell r="E25" t="str">
            <v>S</v>
          </cell>
        </row>
        <row r="26">
          <cell r="C26">
            <v>2000718880</v>
          </cell>
          <cell r="D26" t="str">
            <v>徐从众</v>
          </cell>
          <cell r="E26" t="str">
            <v>S</v>
          </cell>
        </row>
        <row r="27">
          <cell r="C27">
            <v>1301949026</v>
          </cell>
          <cell r="D27" t="str">
            <v>徐从众</v>
          </cell>
          <cell r="E27" t="str">
            <v>S</v>
          </cell>
        </row>
        <row r="28">
          <cell r="C28">
            <v>1261974560</v>
          </cell>
          <cell r="D28" t="str">
            <v>徐从众</v>
          </cell>
          <cell r="E28" t="str">
            <v>S</v>
          </cell>
        </row>
        <row r="29">
          <cell r="C29">
            <v>532120383</v>
          </cell>
          <cell r="D29" t="str">
            <v>徐从众</v>
          </cell>
          <cell r="E29" t="str">
            <v>S</v>
          </cell>
        </row>
        <row r="30">
          <cell r="C30">
            <v>1312747909</v>
          </cell>
          <cell r="D30" t="str">
            <v>王森</v>
          </cell>
          <cell r="E30" t="str">
            <v>S</v>
          </cell>
        </row>
        <row r="31">
          <cell r="C31">
            <v>1213799082</v>
          </cell>
          <cell r="D31" t="str">
            <v>徐从众</v>
          </cell>
          <cell r="E31" t="str">
            <v>S</v>
          </cell>
        </row>
        <row r="32">
          <cell r="C32">
            <v>1287679869</v>
          </cell>
          <cell r="D32" t="str">
            <v>徐从众</v>
          </cell>
          <cell r="E32" t="str">
            <v>S</v>
          </cell>
        </row>
        <row r="33">
          <cell r="C33">
            <v>1236851290</v>
          </cell>
          <cell r="D33" t="str">
            <v>徐从众</v>
          </cell>
          <cell r="E33" t="str">
            <v>S</v>
          </cell>
        </row>
        <row r="34">
          <cell r="C34">
            <v>1190914754</v>
          </cell>
          <cell r="D34" t="str">
            <v>徐从众</v>
          </cell>
          <cell r="E34" t="str">
            <v>S</v>
          </cell>
        </row>
        <row r="35">
          <cell r="C35">
            <v>1237180991</v>
          </cell>
          <cell r="D35" t="str">
            <v>王森</v>
          </cell>
          <cell r="E35" t="str">
            <v>S</v>
          </cell>
        </row>
        <row r="36">
          <cell r="C36">
            <v>2043888532</v>
          </cell>
          <cell r="D36" t="str">
            <v>徐从众</v>
          </cell>
          <cell r="E36" t="str">
            <v>S</v>
          </cell>
        </row>
        <row r="37">
          <cell r="C37">
            <v>1287989590</v>
          </cell>
          <cell r="D37" t="str">
            <v>徐从众</v>
          </cell>
          <cell r="E37" t="str">
            <v>S</v>
          </cell>
        </row>
        <row r="38">
          <cell r="C38">
            <v>529315391</v>
          </cell>
          <cell r="D38" t="str">
            <v>徐从众</v>
          </cell>
          <cell r="E38" t="str">
            <v>A</v>
          </cell>
        </row>
        <row r="39">
          <cell r="C39">
            <v>505297762</v>
          </cell>
          <cell r="D39" t="str">
            <v>王森</v>
          </cell>
          <cell r="E39" t="str">
            <v>S</v>
          </cell>
        </row>
        <row r="40">
          <cell r="C40">
            <v>1101938176</v>
          </cell>
          <cell r="D40" t="str">
            <v>徐从众</v>
          </cell>
          <cell r="E40" t="str">
            <v>A</v>
          </cell>
        </row>
        <row r="41">
          <cell r="C41">
            <v>534324274</v>
          </cell>
          <cell r="D41" t="str">
            <v>岳贝贝</v>
          </cell>
          <cell r="E41" t="str">
            <v>A</v>
          </cell>
        </row>
        <row r="42">
          <cell r="C42">
            <v>2057183637</v>
          </cell>
          <cell r="D42" t="str">
            <v>岳贝贝</v>
          </cell>
          <cell r="E42" t="str">
            <v>A</v>
          </cell>
        </row>
        <row r="43">
          <cell r="C43">
            <v>1128333508</v>
          </cell>
          <cell r="D43" t="str">
            <v>徐从众</v>
          </cell>
          <cell r="E43" t="str">
            <v>A</v>
          </cell>
        </row>
        <row r="44">
          <cell r="C44">
            <v>1297201658</v>
          </cell>
          <cell r="D44" t="str">
            <v>岳贝贝</v>
          </cell>
          <cell r="E44" t="str">
            <v>B</v>
          </cell>
        </row>
        <row r="45">
          <cell r="C45">
            <v>522594683</v>
          </cell>
          <cell r="D45" t="str">
            <v>刘欢</v>
          </cell>
          <cell r="E45" t="str">
            <v>A</v>
          </cell>
        </row>
        <row r="46">
          <cell r="C46">
            <v>143532383</v>
          </cell>
          <cell r="D46" t="str">
            <v>王森</v>
          </cell>
          <cell r="E46" t="str">
            <v>S</v>
          </cell>
        </row>
        <row r="47">
          <cell r="C47">
            <v>530895052</v>
          </cell>
          <cell r="D47" t="str">
            <v>徐从众</v>
          </cell>
          <cell r="E47" t="str">
            <v>S</v>
          </cell>
        </row>
        <row r="48">
          <cell r="C48">
            <v>533889514</v>
          </cell>
          <cell r="D48" t="str">
            <v>岳贝贝</v>
          </cell>
          <cell r="E48" t="str">
            <v>B</v>
          </cell>
        </row>
        <row r="49">
          <cell r="C49">
            <v>1261046857</v>
          </cell>
          <cell r="D49" t="str">
            <v>王森</v>
          </cell>
          <cell r="E49" t="str">
            <v>S</v>
          </cell>
        </row>
        <row r="50">
          <cell r="C50">
            <v>540782855</v>
          </cell>
          <cell r="D50" t="str">
            <v>岳贝贝</v>
          </cell>
          <cell r="E50" t="str">
            <v>S</v>
          </cell>
        </row>
        <row r="51">
          <cell r="C51">
            <v>167995578</v>
          </cell>
          <cell r="D51" t="str">
            <v>徐从众</v>
          </cell>
          <cell r="E51" t="str">
            <v>A</v>
          </cell>
        </row>
        <row r="52">
          <cell r="C52">
            <v>534960212</v>
          </cell>
          <cell r="D52" t="str">
            <v>岳贝贝</v>
          </cell>
          <cell r="E52" t="str">
            <v>B</v>
          </cell>
        </row>
        <row r="53">
          <cell r="C53">
            <v>1293565429</v>
          </cell>
          <cell r="D53" t="str">
            <v>王森</v>
          </cell>
          <cell r="E53" t="str">
            <v>S</v>
          </cell>
        </row>
        <row r="54">
          <cell r="C54">
            <v>1271447989</v>
          </cell>
          <cell r="D54" t="str">
            <v>徐从众</v>
          </cell>
          <cell r="E54" t="str">
            <v>S</v>
          </cell>
        </row>
        <row r="55">
          <cell r="C55">
            <v>521044775</v>
          </cell>
          <cell r="D55" t="str">
            <v>王森</v>
          </cell>
          <cell r="E55" t="str">
            <v>S</v>
          </cell>
        </row>
        <row r="56">
          <cell r="C56">
            <v>1282676230</v>
          </cell>
          <cell r="D56" t="str">
            <v>徐从众</v>
          </cell>
          <cell r="E56" t="str">
            <v>A</v>
          </cell>
        </row>
        <row r="57">
          <cell r="C57">
            <v>151686083</v>
          </cell>
          <cell r="D57" t="str">
            <v>徐从众</v>
          </cell>
          <cell r="E57" t="str">
            <v>A</v>
          </cell>
        </row>
        <row r="58">
          <cell r="C58">
            <v>530943798</v>
          </cell>
          <cell r="D58" t="str">
            <v>刘欢</v>
          </cell>
          <cell r="E58" t="str">
            <v>A</v>
          </cell>
        </row>
        <row r="59">
          <cell r="C59">
            <v>1248459829</v>
          </cell>
          <cell r="D59" t="str">
            <v>王森</v>
          </cell>
          <cell r="E59" t="str">
            <v>S</v>
          </cell>
        </row>
        <row r="60">
          <cell r="C60">
            <v>161948540</v>
          </cell>
          <cell r="D60" t="str">
            <v>徐从众</v>
          </cell>
          <cell r="E60" t="str">
            <v>C</v>
          </cell>
        </row>
        <row r="61">
          <cell r="D61" t="str">
            <v>徐从众</v>
          </cell>
          <cell r="E61" t="str">
            <v>A</v>
          </cell>
        </row>
        <row r="62">
          <cell r="C62">
            <v>2044104816</v>
          </cell>
          <cell r="D62" t="str">
            <v>徐从众</v>
          </cell>
          <cell r="E62" t="str">
            <v>A</v>
          </cell>
        </row>
        <row r="63">
          <cell r="C63">
            <v>528521275</v>
          </cell>
          <cell r="D63" t="str">
            <v>徐从众</v>
          </cell>
          <cell r="E63" t="str">
            <v>A</v>
          </cell>
        </row>
        <row r="64">
          <cell r="C64">
            <v>1213880654</v>
          </cell>
          <cell r="D64" t="str">
            <v>徐从众</v>
          </cell>
          <cell r="E64" t="str">
            <v>A</v>
          </cell>
        </row>
        <row r="65">
          <cell r="C65">
            <v>1206081535</v>
          </cell>
          <cell r="D65" t="str">
            <v>岳贝贝</v>
          </cell>
          <cell r="E65" t="str">
            <v>A</v>
          </cell>
        </row>
        <row r="66">
          <cell r="C66">
            <v>522880693</v>
          </cell>
          <cell r="D66" t="str">
            <v>岳贝贝</v>
          </cell>
          <cell r="E66" t="str">
            <v>A</v>
          </cell>
        </row>
        <row r="67">
          <cell r="C67">
            <v>2062938618</v>
          </cell>
          <cell r="D67" t="str">
            <v>王森</v>
          </cell>
          <cell r="E67" t="str">
            <v>A</v>
          </cell>
        </row>
        <row r="68">
          <cell r="C68">
            <v>2122969432</v>
          </cell>
          <cell r="D68" t="str">
            <v>王森</v>
          </cell>
          <cell r="E68" t="str">
            <v>A</v>
          </cell>
        </row>
        <row r="69">
          <cell r="C69">
            <v>1310895535</v>
          </cell>
          <cell r="D69" t="str">
            <v>刘欢</v>
          </cell>
          <cell r="E69" t="str">
            <v>S</v>
          </cell>
        </row>
        <row r="70">
          <cell r="C70">
            <v>527796283</v>
          </cell>
          <cell r="D70" t="str">
            <v>刘欢</v>
          </cell>
          <cell r="E70" t="str">
            <v>S</v>
          </cell>
        </row>
        <row r="71">
          <cell r="C71">
            <v>1184612665</v>
          </cell>
          <cell r="D71" t="str">
            <v>刘欢</v>
          </cell>
          <cell r="E71" t="str">
            <v>A</v>
          </cell>
        </row>
        <row r="72">
          <cell r="C72">
            <v>156937275</v>
          </cell>
          <cell r="D72" t="str">
            <v>刘欢</v>
          </cell>
          <cell r="E72" t="str">
            <v>A</v>
          </cell>
        </row>
        <row r="73">
          <cell r="C73">
            <v>162232962</v>
          </cell>
          <cell r="D73" t="str">
            <v>刘欢</v>
          </cell>
          <cell r="E73" t="str">
            <v>A</v>
          </cell>
        </row>
        <row r="74">
          <cell r="C74">
            <v>161879320</v>
          </cell>
          <cell r="D74" t="str">
            <v>刘欢</v>
          </cell>
          <cell r="E74" t="str">
            <v>A</v>
          </cell>
        </row>
        <row r="75">
          <cell r="C75">
            <v>159294727</v>
          </cell>
          <cell r="D75" t="str">
            <v>刘欢</v>
          </cell>
          <cell r="E75" t="str">
            <v>A</v>
          </cell>
        </row>
        <row r="76">
          <cell r="C76">
            <v>1253934669</v>
          </cell>
          <cell r="D76" t="str">
            <v>刘欢</v>
          </cell>
          <cell r="E76" t="str">
            <v>A</v>
          </cell>
        </row>
        <row r="77">
          <cell r="C77">
            <v>2001301307</v>
          </cell>
          <cell r="D77" t="str">
            <v>刘欢</v>
          </cell>
          <cell r="E77" t="str">
            <v>A</v>
          </cell>
        </row>
        <row r="78">
          <cell r="C78">
            <v>147495180</v>
          </cell>
          <cell r="D78" t="str">
            <v>刘欢</v>
          </cell>
          <cell r="E78" t="str">
            <v>A</v>
          </cell>
        </row>
        <row r="79">
          <cell r="C79">
            <v>2019409747</v>
          </cell>
          <cell r="D79" t="str">
            <v>刘欢</v>
          </cell>
          <cell r="E79" t="str">
            <v>A</v>
          </cell>
        </row>
        <row r="80">
          <cell r="C80">
            <v>157935153</v>
          </cell>
          <cell r="D80" t="str">
            <v>刘欢</v>
          </cell>
          <cell r="E80" t="str">
            <v>A</v>
          </cell>
        </row>
        <row r="81">
          <cell r="C81">
            <v>2024910</v>
          </cell>
          <cell r="D81" t="str">
            <v>刘欢</v>
          </cell>
          <cell r="E81" t="str">
            <v>A</v>
          </cell>
        </row>
        <row r="82">
          <cell r="C82">
            <v>161343436</v>
          </cell>
          <cell r="D82" t="str">
            <v>刘欢</v>
          </cell>
          <cell r="E82" t="str">
            <v>A</v>
          </cell>
        </row>
        <row r="83">
          <cell r="C83">
            <v>1266619629</v>
          </cell>
          <cell r="D83" t="str">
            <v>刘欢</v>
          </cell>
          <cell r="E83" t="str">
            <v>A</v>
          </cell>
        </row>
        <row r="84">
          <cell r="C84">
            <v>1270889967</v>
          </cell>
          <cell r="D84" t="str">
            <v>刘欢</v>
          </cell>
          <cell r="E84" t="str">
            <v>A</v>
          </cell>
        </row>
        <row r="85">
          <cell r="C85">
            <v>2042444556</v>
          </cell>
          <cell r="D85" t="str">
            <v>刘欢</v>
          </cell>
          <cell r="E85" t="str">
            <v>A</v>
          </cell>
        </row>
        <row r="86">
          <cell r="C86">
            <v>1293695520</v>
          </cell>
          <cell r="D86" t="str">
            <v>刘欢</v>
          </cell>
          <cell r="E86" t="str">
            <v>A</v>
          </cell>
        </row>
        <row r="87">
          <cell r="C87">
            <v>1299216402</v>
          </cell>
          <cell r="D87" t="str">
            <v>刘欢</v>
          </cell>
          <cell r="E87" t="str">
            <v>A</v>
          </cell>
        </row>
        <row r="88">
          <cell r="C88">
            <v>2056847253</v>
          </cell>
          <cell r="D88" t="str">
            <v>刘欢</v>
          </cell>
          <cell r="E88" t="str">
            <v>A</v>
          </cell>
        </row>
        <row r="89">
          <cell r="C89">
            <v>520123498</v>
          </cell>
          <cell r="D89" t="str">
            <v>刘欢</v>
          </cell>
          <cell r="E89" t="str">
            <v>A</v>
          </cell>
        </row>
        <row r="90">
          <cell r="C90">
            <v>300621482</v>
          </cell>
          <cell r="D90" t="str">
            <v>徐从众</v>
          </cell>
          <cell r="E90" t="str">
            <v>S</v>
          </cell>
        </row>
        <row r="91">
          <cell r="C91">
            <v>533795303</v>
          </cell>
          <cell r="D91" t="str">
            <v>岳贝贝</v>
          </cell>
          <cell r="E91" t="str">
            <v>A</v>
          </cell>
        </row>
        <row r="92">
          <cell r="C92">
            <v>1263479829</v>
          </cell>
          <cell r="D92" t="str">
            <v>徐从众</v>
          </cell>
          <cell r="E92" t="str">
            <v>A</v>
          </cell>
        </row>
        <row r="93">
          <cell r="C93">
            <v>1163902360</v>
          </cell>
          <cell r="D93" t="str">
            <v>岳贝贝</v>
          </cell>
          <cell r="E93" t="str">
            <v>A</v>
          </cell>
        </row>
        <row r="94">
          <cell r="C94">
            <v>528815767</v>
          </cell>
          <cell r="D94" t="str">
            <v>刘欢</v>
          </cell>
          <cell r="E94" t="str">
            <v>A</v>
          </cell>
        </row>
        <row r="95">
          <cell r="C95">
            <v>2091964173</v>
          </cell>
          <cell r="D95" t="str">
            <v>徐从众</v>
          </cell>
          <cell r="E95" t="str">
            <v>A</v>
          </cell>
        </row>
        <row r="96">
          <cell r="C96">
            <v>510338875</v>
          </cell>
          <cell r="D96" t="str">
            <v>徐从众</v>
          </cell>
          <cell r="E96" t="str">
            <v>S</v>
          </cell>
        </row>
        <row r="97">
          <cell r="C97">
            <v>506124412</v>
          </cell>
          <cell r="D97" t="str">
            <v>徐从众</v>
          </cell>
          <cell r="E97" t="str">
            <v>A</v>
          </cell>
        </row>
        <row r="98">
          <cell r="C98">
            <v>538843950</v>
          </cell>
          <cell r="D98" t="str">
            <v>岳贝贝</v>
          </cell>
          <cell r="E98" t="str">
            <v>C</v>
          </cell>
        </row>
        <row r="99">
          <cell r="C99">
            <v>161302378</v>
          </cell>
          <cell r="D99" t="str">
            <v>刘欢</v>
          </cell>
          <cell r="E99" t="str">
            <v>S</v>
          </cell>
        </row>
        <row r="100">
          <cell r="C100">
            <v>168218800</v>
          </cell>
          <cell r="D100" t="str">
            <v>刘欢</v>
          </cell>
          <cell r="E100" t="str">
            <v>S</v>
          </cell>
        </row>
        <row r="101">
          <cell r="C101">
            <v>537085733</v>
          </cell>
          <cell r="D101" t="str">
            <v>徐从众</v>
          </cell>
        </row>
        <row r="102">
          <cell r="C102">
            <v>537264081</v>
          </cell>
          <cell r="D102" t="str">
            <v>徐从众</v>
          </cell>
          <cell r="E102" t="str">
            <v>A</v>
          </cell>
        </row>
        <row r="103">
          <cell r="C103">
            <v>157807900</v>
          </cell>
          <cell r="D103" t="str">
            <v>刘欢</v>
          </cell>
          <cell r="E103" t="str">
            <v>A</v>
          </cell>
        </row>
        <row r="104">
          <cell r="C104">
            <v>528335964</v>
          </cell>
          <cell r="D104" t="str">
            <v>徐从众</v>
          </cell>
          <cell r="E104" t="str">
            <v>A</v>
          </cell>
        </row>
        <row r="105">
          <cell r="C105">
            <v>1316551728</v>
          </cell>
          <cell r="D105" t="str">
            <v>徐从众</v>
          </cell>
          <cell r="E105" t="str">
            <v>S</v>
          </cell>
        </row>
        <row r="106">
          <cell r="C106">
            <v>1313629830</v>
          </cell>
          <cell r="D106" t="str">
            <v>岳贝贝</v>
          </cell>
        </row>
        <row r="107">
          <cell r="C107">
            <v>1284609321</v>
          </cell>
          <cell r="D107" t="str">
            <v>徐从众</v>
          </cell>
          <cell r="E107" t="str">
            <v>A</v>
          </cell>
        </row>
        <row r="108">
          <cell r="C108">
            <v>1265929534</v>
          </cell>
          <cell r="D108" t="str">
            <v>徐从众</v>
          </cell>
          <cell r="E108" t="str">
            <v>S</v>
          </cell>
        </row>
        <row r="109">
          <cell r="C109">
            <v>535681159</v>
          </cell>
          <cell r="D109" t="str">
            <v>徐从众</v>
          </cell>
          <cell r="E109" t="str">
            <v>S</v>
          </cell>
        </row>
        <row r="110">
          <cell r="C110">
            <v>1298144433</v>
          </cell>
          <cell r="D110" t="str">
            <v>刘欢</v>
          </cell>
          <cell r="E110" t="str">
            <v>A</v>
          </cell>
        </row>
        <row r="111">
          <cell r="C111">
            <v>521989546</v>
          </cell>
          <cell r="D111" t="str">
            <v>徐从众</v>
          </cell>
          <cell r="E111" t="str">
            <v>S</v>
          </cell>
        </row>
        <row r="112">
          <cell r="C112">
            <v>531340851</v>
          </cell>
          <cell r="D112" t="str">
            <v>岳贝贝</v>
          </cell>
          <cell r="E112" t="str">
            <v>A</v>
          </cell>
        </row>
        <row r="113">
          <cell r="C113">
            <v>521875448</v>
          </cell>
          <cell r="D113" t="str">
            <v>徐从众</v>
          </cell>
          <cell r="E113" t="str">
            <v>A</v>
          </cell>
        </row>
        <row r="114">
          <cell r="C114">
            <v>501884512</v>
          </cell>
          <cell r="D114" t="str">
            <v>徐从众</v>
          </cell>
          <cell r="E114" t="str">
            <v>A</v>
          </cell>
        </row>
        <row r="115">
          <cell r="C115">
            <v>536566434</v>
          </cell>
          <cell r="D115" t="str">
            <v>徐从众</v>
          </cell>
          <cell r="E115" t="str">
            <v>S</v>
          </cell>
        </row>
        <row r="116">
          <cell r="C116">
            <v>529311235</v>
          </cell>
          <cell r="D116" t="str">
            <v>岳贝贝</v>
          </cell>
          <cell r="E116" t="str">
            <v>A</v>
          </cell>
        </row>
        <row r="117">
          <cell r="C117" t="str">
            <v>未合作，待跟进</v>
          </cell>
          <cell r="D117" t="str">
            <v>徐从众</v>
          </cell>
          <cell r="E117" t="str">
            <v>S</v>
          </cell>
        </row>
        <row r="118">
          <cell r="C118">
            <v>1164045877</v>
          </cell>
          <cell r="D118" t="str">
            <v>徐从众</v>
          </cell>
          <cell r="E118" t="str">
            <v>A</v>
          </cell>
        </row>
        <row r="119">
          <cell r="C119">
            <v>1198154985</v>
          </cell>
          <cell r="D119" t="str">
            <v>徐从众</v>
          </cell>
          <cell r="E119" t="str">
            <v>A</v>
          </cell>
        </row>
        <row r="120">
          <cell r="C120">
            <v>508350761</v>
          </cell>
          <cell r="D120" t="str">
            <v>王森</v>
          </cell>
          <cell r="E120" t="str">
            <v>A</v>
          </cell>
        </row>
        <row r="121">
          <cell r="C121">
            <v>510397500</v>
          </cell>
          <cell r="D121" t="str">
            <v>王森</v>
          </cell>
          <cell r="E121" t="str">
            <v>A</v>
          </cell>
        </row>
        <row r="122">
          <cell r="C122">
            <v>1282168603</v>
          </cell>
          <cell r="D122" t="str">
            <v>王森</v>
          </cell>
          <cell r="E122" t="str">
            <v>A</v>
          </cell>
        </row>
        <row r="123">
          <cell r="C123">
            <v>1290147158</v>
          </cell>
          <cell r="D123" t="str">
            <v>徐从众</v>
          </cell>
          <cell r="E123" t="str">
            <v>S</v>
          </cell>
        </row>
        <row r="124">
          <cell r="C124">
            <v>532631345</v>
          </cell>
          <cell r="D124" t="str">
            <v>徐从众</v>
          </cell>
          <cell r="E124" t="str">
            <v>S</v>
          </cell>
        </row>
        <row r="125">
          <cell r="C125">
            <v>529238257</v>
          </cell>
          <cell r="D125" t="str">
            <v>刘欢</v>
          </cell>
          <cell r="E125" t="str">
            <v>A</v>
          </cell>
        </row>
        <row r="126">
          <cell r="C126">
            <v>1236752136</v>
          </cell>
          <cell r="D126" t="str">
            <v>岳贝贝</v>
          </cell>
          <cell r="E126" t="str">
            <v>A</v>
          </cell>
        </row>
        <row r="127">
          <cell r="C127">
            <v>1316164624</v>
          </cell>
          <cell r="D127" t="str">
            <v>徐从众</v>
          </cell>
          <cell r="E127" t="str">
            <v>A</v>
          </cell>
        </row>
        <row r="128">
          <cell r="C128">
            <v>1244800928</v>
          </cell>
          <cell r="D128" t="str">
            <v>徐从众</v>
          </cell>
          <cell r="E128" t="str">
            <v>S</v>
          </cell>
        </row>
        <row r="129">
          <cell r="C129">
            <v>1310465222</v>
          </cell>
          <cell r="D129" t="str">
            <v>岳贝贝</v>
          </cell>
          <cell r="E129" t="str">
            <v>A</v>
          </cell>
        </row>
        <row r="130">
          <cell r="C130">
            <v>1290072787</v>
          </cell>
          <cell r="D130" t="str">
            <v>岳贝贝</v>
          </cell>
          <cell r="E130" t="str">
            <v>A</v>
          </cell>
        </row>
        <row r="131">
          <cell r="C131">
            <v>161874716</v>
          </cell>
          <cell r="D131" t="str">
            <v>岳贝贝</v>
          </cell>
          <cell r="E131" t="str">
            <v>A</v>
          </cell>
        </row>
        <row r="132">
          <cell r="C132">
            <v>1197726653</v>
          </cell>
          <cell r="D132" t="str">
            <v>王森</v>
          </cell>
          <cell r="E132" t="str">
            <v>B</v>
          </cell>
        </row>
        <row r="133">
          <cell r="C133">
            <v>1300199789</v>
          </cell>
          <cell r="D133" t="str">
            <v>徐从众</v>
          </cell>
          <cell r="E133" t="str">
            <v>S</v>
          </cell>
        </row>
        <row r="134">
          <cell r="C134">
            <v>526920273</v>
          </cell>
          <cell r="D134" t="str">
            <v>岳贝贝</v>
          </cell>
          <cell r="E134" t="str">
            <v>B</v>
          </cell>
        </row>
        <row r="135">
          <cell r="C135">
            <v>1176282221</v>
          </cell>
          <cell r="D135" t="str">
            <v>徐从众</v>
          </cell>
          <cell r="E135" t="str">
            <v>S</v>
          </cell>
        </row>
        <row r="136">
          <cell r="C136">
            <v>501950126</v>
          </cell>
          <cell r="D136" t="str">
            <v>徐从众</v>
          </cell>
          <cell r="E136" t="str">
            <v>A</v>
          </cell>
        </row>
        <row r="137">
          <cell r="C137">
            <v>501904614</v>
          </cell>
          <cell r="D137" t="str">
            <v>徐从众</v>
          </cell>
          <cell r="E137" t="str">
            <v>A</v>
          </cell>
        </row>
        <row r="138">
          <cell r="C138">
            <v>2019399415</v>
          </cell>
          <cell r="D138" t="str">
            <v>徐从众</v>
          </cell>
          <cell r="E138" t="str">
            <v>A</v>
          </cell>
        </row>
        <row r="139">
          <cell r="C139">
            <v>1245841634</v>
          </cell>
          <cell r="D139" t="str">
            <v>徐从众</v>
          </cell>
          <cell r="E139" t="str">
            <v>A</v>
          </cell>
        </row>
        <row r="140">
          <cell r="C140">
            <v>507714807</v>
          </cell>
          <cell r="D140" t="str">
            <v>徐从众</v>
          </cell>
          <cell r="E140" t="str">
            <v>A</v>
          </cell>
        </row>
        <row r="141">
          <cell r="C141">
            <v>1164084599</v>
          </cell>
          <cell r="D141" t="str">
            <v>徐从众</v>
          </cell>
          <cell r="E141" t="str">
            <v>A</v>
          </cell>
        </row>
        <row r="142">
          <cell r="C142">
            <v>507904139</v>
          </cell>
          <cell r="D142" t="str">
            <v>徐从众</v>
          </cell>
          <cell r="E142" t="str">
            <v>A</v>
          </cell>
        </row>
        <row r="143">
          <cell r="C143">
            <v>1190689958</v>
          </cell>
          <cell r="D143" t="str">
            <v>徐从众</v>
          </cell>
          <cell r="E143" t="str">
            <v>A</v>
          </cell>
        </row>
        <row r="144">
          <cell r="C144">
            <v>518000052</v>
          </cell>
          <cell r="D144" t="str">
            <v>徐从众</v>
          </cell>
          <cell r="E144" t="str">
            <v>A</v>
          </cell>
        </row>
        <row r="145">
          <cell r="C145">
            <v>1180820994</v>
          </cell>
          <cell r="D145" t="str">
            <v>徐从众</v>
          </cell>
          <cell r="E145" t="str">
            <v>A</v>
          </cell>
        </row>
        <row r="146">
          <cell r="C146">
            <v>514350409</v>
          </cell>
          <cell r="D146" t="str">
            <v>徐从众</v>
          </cell>
          <cell r="E146" t="str">
            <v>A</v>
          </cell>
        </row>
        <row r="147">
          <cell r="C147">
            <v>526052538</v>
          </cell>
          <cell r="D147" t="str">
            <v>徐从众</v>
          </cell>
          <cell r="E147" t="str">
            <v>A</v>
          </cell>
        </row>
        <row r="148">
          <cell r="C148">
            <v>1270324775</v>
          </cell>
          <cell r="D148" t="str">
            <v>徐从众</v>
          </cell>
          <cell r="E148" t="str">
            <v>A</v>
          </cell>
        </row>
        <row r="149">
          <cell r="C149">
            <v>1253986074</v>
          </cell>
          <cell r="D149" t="str">
            <v>徐从众</v>
          </cell>
          <cell r="E149" t="str">
            <v>A</v>
          </cell>
        </row>
        <row r="150">
          <cell r="C150">
            <v>528236181</v>
          </cell>
          <cell r="D150" t="str">
            <v>徐从众</v>
          </cell>
          <cell r="E150" t="str">
            <v>A</v>
          </cell>
        </row>
        <row r="151">
          <cell r="C151">
            <v>506113405</v>
          </cell>
          <cell r="D151" t="str">
            <v>徐从众</v>
          </cell>
          <cell r="E151" t="str">
            <v>A</v>
          </cell>
        </row>
        <row r="152">
          <cell r="C152">
            <v>2042483132</v>
          </cell>
          <cell r="D152" t="str">
            <v>徐从众</v>
          </cell>
          <cell r="E152" t="str">
            <v>A</v>
          </cell>
        </row>
        <row r="153">
          <cell r="C153">
            <v>529435065</v>
          </cell>
          <cell r="D153" t="str">
            <v>徐从众</v>
          </cell>
          <cell r="E153" t="str">
            <v>A</v>
          </cell>
        </row>
        <row r="154">
          <cell r="C154">
            <v>528855339</v>
          </cell>
          <cell r="D154" t="str">
            <v>徐从众</v>
          </cell>
          <cell r="E154" t="str">
            <v>A</v>
          </cell>
        </row>
        <row r="155">
          <cell r="C155">
            <v>519380122</v>
          </cell>
          <cell r="D155" t="str">
            <v>徐从众</v>
          </cell>
          <cell r="E155" t="str">
            <v>A</v>
          </cell>
        </row>
        <row r="156">
          <cell r="C156">
            <v>529138838</v>
          </cell>
          <cell r="D156" t="str">
            <v>徐从众</v>
          </cell>
          <cell r="E156" t="str">
            <v>A</v>
          </cell>
        </row>
        <row r="157">
          <cell r="C157">
            <v>1163860372</v>
          </cell>
          <cell r="D157" t="str">
            <v>徐从众</v>
          </cell>
          <cell r="E157" t="str">
            <v>A</v>
          </cell>
        </row>
        <row r="158">
          <cell r="C158">
            <v>1297723598</v>
          </cell>
          <cell r="D158" t="str">
            <v>徐从众</v>
          </cell>
          <cell r="E158" t="str">
            <v>A</v>
          </cell>
        </row>
        <row r="159">
          <cell r="C159">
            <v>1293717051</v>
          </cell>
          <cell r="D159" t="str">
            <v>刘欢</v>
          </cell>
          <cell r="E159" t="str">
            <v>A</v>
          </cell>
        </row>
        <row r="160">
          <cell r="C160">
            <v>2136909192</v>
          </cell>
          <cell r="D160" t="str">
            <v>徐从众</v>
          </cell>
          <cell r="E160" t="str">
            <v>A</v>
          </cell>
        </row>
        <row r="161">
          <cell r="C161">
            <v>170689870</v>
          </cell>
          <cell r="D161" t="str">
            <v>刘欢</v>
          </cell>
          <cell r="E161" t="str">
            <v>C</v>
          </cell>
        </row>
        <row r="162">
          <cell r="C162">
            <v>1289301344</v>
          </cell>
          <cell r="D162" t="str">
            <v>刘欢</v>
          </cell>
          <cell r="E162" t="str">
            <v>A</v>
          </cell>
        </row>
        <row r="163">
          <cell r="C163">
            <v>1194299711</v>
          </cell>
          <cell r="D163" t="str">
            <v>王森</v>
          </cell>
          <cell r="E163" t="str">
            <v>A</v>
          </cell>
        </row>
        <row r="164">
          <cell r="C164">
            <v>2081126510</v>
          </cell>
          <cell r="D164" t="str">
            <v>徐从众</v>
          </cell>
          <cell r="E164" t="str">
            <v>S</v>
          </cell>
        </row>
        <row r="165">
          <cell r="C165">
            <v>533918459</v>
          </cell>
          <cell r="D165" t="str">
            <v>岳贝贝</v>
          </cell>
          <cell r="E165" t="str">
            <v>A</v>
          </cell>
        </row>
        <row r="166">
          <cell r="C166">
            <v>538728082</v>
          </cell>
          <cell r="D166" t="str">
            <v>徐从众</v>
          </cell>
          <cell r="E166" t="str">
            <v>A</v>
          </cell>
        </row>
        <row r="167">
          <cell r="C167">
            <v>528920139</v>
          </cell>
          <cell r="D167" t="str">
            <v>岳贝贝</v>
          </cell>
          <cell r="E167" t="str">
            <v>A</v>
          </cell>
        </row>
        <row r="168">
          <cell r="C168">
            <v>530125725</v>
          </cell>
          <cell r="D168" t="str">
            <v>徐从众</v>
          </cell>
          <cell r="E168" t="str">
            <v>A</v>
          </cell>
        </row>
        <row r="169">
          <cell r="C169">
            <v>1259225244</v>
          </cell>
          <cell r="D169" t="str">
            <v>徐从众</v>
          </cell>
          <cell r="E169" t="str">
            <v>A</v>
          </cell>
        </row>
        <row r="170">
          <cell r="C170">
            <v>1312815570</v>
          </cell>
          <cell r="D170" t="str">
            <v>岳贝贝</v>
          </cell>
          <cell r="E170" t="str">
            <v>A</v>
          </cell>
        </row>
        <row r="171">
          <cell r="C171" t="str">
            <v>待建店</v>
          </cell>
          <cell r="D171" t="str">
            <v>徐从众</v>
          </cell>
          <cell r="E171" t="str">
            <v>S</v>
          </cell>
        </row>
        <row r="172">
          <cell r="C172">
            <v>531075022</v>
          </cell>
          <cell r="D172" t="str">
            <v>岳贝贝</v>
          </cell>
          <cell r="E172" t="str">
            <v>A</v>
          </cell>
        </row>
        <row r="173">
          <cell r="C173">
            <v>534915308</v>
          </cell>
          <cell r="D173" t="str">
            <v>王森</v>
          </cell>
          <cell r="E173" t="str">
            <v>S</v>
          </cell>
        </row>
        <row r="174">
          <cell r="C174">
            <v>519415529</v>
          </cell>
          <cell r="D174" t="str">
            <v>刘欢</v>
          </cell>
          <cell r="E174" t="str">
            <v>C</v>
          </cell>
        </row>
        <row r="175">
          <cell r="C175">
            <v>533811820</v>
          </cell>
          <cell r="D175" t="str">
            <v>徐从众</v>
          </cell>
          <cell r="E175" t="str">
            <v>S</v>
          </cell>
        </row>
        <row r="176">
          <cell r="C176">
            <v>1528428</v>
          </cell>
          <cell r="D176" t="str">
            <v>王森</v>
          </cell>
          <cell r="E176" t="str">
            <v>B</v>
          </cell>
        </row>
        <row r="177">
          <cell r="C177">
            <v>529460756</v>
          </cell>
          <cell r="D177" t="str">
            <v>徐从众</v>
          </cell>
          <cell r="E177" t="str">
            <v>S</v>
          </cell>
        </row>
        <row r="178">
          <cell r="C178">
            <v>527571777</v>
          </cell>
          <cell r="D178" t="str">
            <v>王森</v>
          </cell>
          <cell r="E178" t="str">
            <v>S</v>
          </cell>
        </row>
        <row r="179">
          <cell r="C179">
            <v>533811842</v>
          </cell>
          <cell r="D179" t="str">
            <v>徐从众</v>
          </cell>
          <cell r="E179" t="str">
            <v>S</v>
          </cell>
        </row>
        <row r="180">
          <cell r="C180">
            <v>1304940132</v>
          </cell>
          <cell r="D180" t="str">
            <v>徐从众</v>
          </cell>
          <cell r="E180" t="str">
            <v>S</v>
          </cell>
        </row>
        <row r="181">
          <cell r="C181">
            <v>163052514</v>
          </cell>
          <cell r="D181" t="str">
            <v>徐从众</v>
          </cell>
          <cell r="E181" t="str">
            <v>A</v>
          </cell>
        </row>
        <row r="182">
          <cell r="C182">
            <v>1313984395</v>
          </cell>
          <cell r="D182" t="str">
            <v>徐从众</v>
          </cell>
          <cell r="E182" t="str">
            <v>S</v>
          </cell>
        </row>
        <row r="183">
          <cell r="C183">
            <v>538320390</v>
          </cell>
          <cell r="D183" t="str">
            <v>岳贝贝</v>
          </cell>
        </row>
        <row r="184">
          <cell r="C184">
            <v>538960185</v>
          </cell>
          <cell r="D184" t="str">
            <v>徐从众</v>
          </cell>
          <cell r="E184" t="str">
            <v>S</v>
          </cell>
        </row>
        <row r="185">
          <cell r="C185">
            <v>538771849</v>
          </cell>
          <cell r="D185" t="str">
            <v>岳贝贝</v>
          </cell>
          <cell r="E185" t="str">
            <v>A</v>
          </cell>
        </row>
        <row r="186">
          <cell r="C186">
            <v>2096200965</v>
          </cell>
          <cell r="D186" t="str">
            <v>徐从众</v>
          </cell>
          <cell r="E186" t="str">
            <v>S</v>
          </cell>
        </row>
        <row r="187">
          <cell r="C187">
            <v>1250455068</v>
          </cell>
          <cell r="D187" t="str">
            <v>徐从众</v>
          </cell>
          <cell r="E187" t="str">
            <v>A</v>
          </cell>
        </row>
        <row r="188">
          <cell r="C188">
            <v>531890951</v>
          </cell>
          <cell r="D188" t="str">
            <v>徐从众</v>
          </cell>
          <cell r="E188" t="str">
            <v>A</v>
          </cell>
        </row>
        <row r="189">
          <cell r="C189">
            <v>1312778857</v>
          </cell>
          <cell r="D189" t="str">
            <v>刘欢</v>
          </cell>
          <cell r="E189" t="str">
            <v>A</v>
          </cell>
        </row>
        <row r="190">
          <cell r="C190">
            <v>1155428402</v>
          </cell>
          <cell r="D190" t="str">
            <v>刘欢</v>
          </cell>
          <cell r="E190" t="str">
            <v>B</v>
          </cell>
        </row>
        <row r="191">
          <cell r="C191">
            <v>1271713523</v>
          </cell>
          <cell r="D191" t="str">
            <v>刘欢</v>
          </cell>
          <cell r="E191" t="str">
            <v>A</v>
          </cell>
        </row>
        <row r="192">
          <cell r="C192">
            <v>1239554571</v>
          </cell>
          <cell r="D192" t="str">
            <v>刘欢</v>
          </cell>
          <cell r="E192" t="str">
            <v>A</v>
          </cell>
        </row>
        <row r="193">
          <cell r="C193">
            <v>1312803089</v>
          </cell>
          <cell r="D193" t="str">
            <v>刘欢</v>
          </cell>
          <cell r="E193" t="str">
            <v>S</v>
          </cell>
        </row>
        <row r="194">
          <cell r="C194">
            <v>1269769673</v>
          </cell>
          <cell r="D194" t="str">
            <v>刘欢</v>
          </cell>
          <cell r="E194" t="str">
            <v>S</v>
          </cell>
        </row>
        <row r="195">
          <cell r="C195">
            <v>535650028</v>
          </cell>
          <cell r="D195" t="str">
            <v>岳贝贝</v>
          </cell>
          <cell r="E195" t="str">
            <v>A</v>
          </cell>
        </row>
        <row r="196">
          <cell r="C196">
            <v>1310950588</v>
          </cell>
          <cell r="D196" t="str">
            <v>刘欢</v>
          </cell>
          <cell r="E196" t="str">
            <v>A</v>
          </cell>
        </row>
        <row r="197">
          <cell r="C197">
            <v>2086579935</v>
          </cell>
          <cell r="D197" t="str">
            <v>刘欢</v>
          </cell>
          <cell r="E197" t="str">
            <v>C</v>
          </cell>
        </row>
        <row r="198">
          <cell r="C198" t="str">
            <v>饿了么不合作</v>
          </cell>
          <cell r="D198" t="str">
            <v>岳贝贝</v>
          </cell>
          <cell r="E198" t="str">
            <v>A</v>
          </cell>
        </row>
        <row r="199">
          <cell r="C199">
            <v>1105287067</v>
          </cell>
          <cell r="D199" t="str">
            <v>徐从众</v>
          </cell>
          <cell r="E199" t="str">
            <v>C</v>
          </cell>
        </row>
        <row r="200">
          <cell r="C200">
            <v>531717968</v>
          </cell>
          <cell r="D200" t="str">
            <v>徐从众</v>
          </cell>
          <cell r="E200" t="str">
            <v>A</v>
          </cell>
        </row>
        <row r="201">
          <cell r="C201">
            <v>1303952574</v>
          </cell>
          <cell r="D201" t="str">
            <v>刘欢</v>
          </cell>
          <cell r="E201" t="str">
            <v>C</v>
          </cell>
        </row>
        <row r="202">
          <cell r="C202">
            <v>537030292</v>
          </cell>
          <cell r="D202" t="str">
            <v>刘欢</v>
          </cell>
          <cell r="E202" t="str">
            <v>A</v>
          </cell>
        </row>
        <row r="203">
          <cell r="C203" t="str">
            <v>饿了么不合作</v>
          </cell>
          <cell r="D203" t="str">
            <v>岳贝贝</v>
          </cell>
          <cell r="E203" t="str">
            <v>B</v>
          </cell>
        </row>
        <row r="204">
          <cell r="C204">
            <v>534970175</v>
          </cell>
          <cell r="D204" t="str">
            <v>刘欢</v>
          </cell>
          <cell r="E204" t="str">
            <v>C</v>
          </cell>
        </row>
        <row r="205">
          <cell r="C205">
            <v>536892026</v>
          </cell>
          <cell r="D205" t="str">
            <v>刘欢</v>
          </cell>
          <cell r="E205" t="str">
            <v>C</v>
          </cell>
        </row>
        <row r="206">
          <cell r="C206">
            <v>1305785791</v>
          </cell>
          <cell r="D206" t="str">
            <v>刘欢</v>
          </cell>
          <cell r="E206" t="str">
            <v>C</v>
          </cell>
        </row>
        <row r="207">
          <cell r="C207">
            <v>1109718462</v>
          </cell>
          <cell r="D207" t="str">
            <v>徐从众</v>
          </cell>
        </row>
        <row r="208">
          <cell r="C208">
            <v>1241204120</v>
          </cell>
          <cell r="D208" t="str">
            <v>徐从众</v>
          </cell>
        </row>
        <row r="209">
          <cell r="C209">
            <v>515574338</v>
          </cell>
          <cell r="D209" t="str">
            <v>徐从众</v>
          </cell>
        </row>
        <row r="210">
          <cell r="C210">
            <v>1161767624</v>
          </cell>
          <cell r="D210" t="str">
            <v>徐从众</v>
          </cell>
          <cell r="E210" t="str">
            <v>C</v>
          </cell>
        </row>
        <row r="211">
          <cell r="C211">
            <v>1284454905</v>
          </cell>
          <cell r="D211" t="str">
            <v>徐从众</v>
          </cell>
          <cell r="E211" t="str">
            <v>A</v>
          </cell>
        </row>
        <row r="212">
          <cell r="C212">
            <v>503630627</v>
          </cell>
          <cell r="D212" t="str">
            <v>徐从众</v>
          </cell>
          <cell r="E212" t="str">
            <v>A</v>
          </cell>
        </row>
        <row r="213">
          <cell r="C213">
            <v>510049524</v>
          </cell>
          <cell r="D213" t="str">
            <v>徐从众</v>
          </cell>
          <cell r="E213" t="str">
            <v>A</v>
          </cell>
        </row>
        <row r="214">
          <cell r="C214">
            <v>504275418</v>
          </cell>
          <cell r="D214" t="str">
            <v>徐从众</v>
          </cell>
        </row>
        <row r="215">
          <cell r="C215">
            <v>146932132</v>
          </cell>
          <cell r="D215" t="str">
            <v>徐从众</v>
          </cell>
          <cell r="E215" t="str">
            <v>A</v>
          </cell>
        </row>
        <row r="216">
          <cell r="C216">
            <v>2019404652</v>
          </cell>
          <cell r="D216" t="str">
            <v>徐从众</v>
          </cell>
          <cell r="E216" t="str">
            <v>A</v>
          </cell>
        </row>
        <row r="217">
          <cell r="C217">
            <v>172872765</v>
          </cell>
          <cell r="D217" t="str">
            <v>徐从众</v>
          </cell>
          <cell r="E217" t="str">
            <v>A</v>
          </cell>
        </row>
        <row r="218">
          <cell r="C218">
            <v>530899381</v>
          </cell>
          <cell r="D218" t="str">
            <v>徐从众</v>
          </cell>
          <cell r="E218" t="str">
            <v>A</v>
          </cell>
        </row>
        <row r="219">
          <cell r="C219">
            <v>512393660</v>
          </cell>
          <cell r="D219" t="str">
            <v>徐从众</v>
          </cell>
          <cell r="E219" t="str">
            <v>A</v>
          </cell>
        </row>
        <row r="220">
          <cell r="C220">
            <v>1157637090</v>
          </cell>
          <cell r="D220" t="str">
            <v>徐从众</v>
          </cell>
          <cell r="E220" t="str">
            <v>A</v>
          </cell>
        </row>
        <row r="221">
          <cell r="C221">
            <v>156022474</v>
          </cell>
          <cell r="D221" t="str">
            <v>徐从众</v>
          </cell>
          <cell r="E221" t="str">
            <v>A</v>
          </cell>
        </row>
        <row r="222">
          <cell r="C222">
            <v>529860138</v>
          </cell>
          <cell r="D222" t="str">
            <v>徐从众</v>
          </cell>
          <cell r="E222" t="str">
            <v>A</v>
          </cell>
        </row>
        <row r="223">
          <cell r="C223">
            <v>530810854</v>
          </cell>
          <cell r="D223" t="str">
            <v>徐从众</v>
          </cell>
          <cell r="E223" t="str">
            <v>A</v>
          </cell>
        </row>
        <row r="224">
          <cell r="C224">
            <v>1301506193</v>
          </cell>
          <cell r="D224" t="str">
            <v>徐从众</v>
          </cell>
          <cell r="E224" t="str">
            <v>S</v>
          </cell>
        </row>
        <row r="225">
          <cell r="C225" t="str">
            <v>无饿了么</v>
          </cell>
          <cell r="D225" t="str">
            <v>徐从众</v>
          </cell>
          <cell r="E225" t="str">
            <v>A</v>
          </cell>
        </row>
        <row r="226">
          <cell r="C226">
            <v>1242461426</v>
          </cell>
          <cell r="D226" t="str">
            <v>岳贝贝</v>
          </cell>
          <cell r="E226" t="str">
            <v>B</v>
          </cell>
        </row>
        <row r="227">
          <cell r="C227">
            <v>518388813</v>
          </cell>
          <cell r="D227" t="str">
            <v>岳贝贝</v>
          </cell>
          <cell r="E227" t="str">
            <v>S</v>
          </cell>
        </row>
        <row r="228">
          <cell r="C228">
            <v>537268572</v>
          </cell>
          <cell r="D228" t="str">
            <v>徐从众</v>
          </cell>
          <cell r="E228" t="str">
            <v>B</v>
          </cell>
        </row>
        <row r="229">
          <cell r="C229">
            <v>538918840</v>
          </cell>
          <cell r="D229" t="str">
            <v>徐从众</v>
          </cell>
          <cell r="E229" t="str">
            <v>A</v>
          </cell>
        </row>
        <row r="230">
          <cell r="C230">
            <v>1300656267</v>
          </cell>
          <cell r="D230" t="str">
            <v>刘欢</v>
          </cell>
          <cell r="E230" t="str">
            <v>A</v>
          </cell>
        </row>
        <row r="231">
          <cell r="C231">
            <v>1304814991</v>
          </cell>
          <cell r="D231" t="str">
            <v>刘欢</v>
          </cell>
          <cell r="E231" t="str">
            <v>A</v>
          </cell>
        </row>
        <row r="232">
          <cell r="C232">
            <v>1298818721</v>
          </cell>
          <cell r="D232" t="str">
            <v>刘欢</v>
          </cell>
          <cell r="E232" t="str">
            <v>A</v>
          </cell>
        </row>
        <row r="233">
          <cell r="C233">
            <v>1246700195</v>
          </cell>
          <cell r="D233" t="str">
            <v>刘欢</v>
          </cell>
          <cell r="E233" t="str">
            <v>S</v>
          </cell>
        </row>
        <row r="234">
          <cell r="C234">
            <v>530420153</v>
          </cell>
          <cell r="D234" t="str">
            <v>刘欢</v>
          </cell>
          <cell r="E234" t="str">
            <v>A</v>
          </cell>
        </row>
        <row r="235">
          <cell r="C235">
            <v>1297248519</v>
          </cell>
          <cell r="D235" t="str">
            <v>刘欢</v>
          </cell>
          <cell r="E235" t="str">
            <v>A</v>
          </cell>
        </row>
        <row r="236">
          <cell r="C236">
            <v>1285303733</v>
          </cell>
          <cell r="D236" t="str">
            <v>刘欢</v>
          </cell>
          <cell r="E236" t="str">
            <v>A</v>
          </cell>
        </row>
        <row r="237">
          <cell r="C237">
            <v>534455868</v>
          </cell>
          <cell r="D237" t="str">
            <v>刘欢</v>
          </cell>
          <cell r="E237" t="str">
            <v>A</v>
          </cell>
        </row>
        <row r="238">
          <cell r="C238">
            <v>1264480063</v>
          </cell>
          <cell r="D238" t="str">
            <v>刘欢</v>
          </cell>
          <cell r="E238" t="str">
            <v>A</v>
          </cell>
        </row>
        <row r="239">
          <cell r="C239">
            <v>506105940</v>
          </cell>
          <cell r="D239" t="str">
            <v>王森</v>
          </cell>
          <cell r="E239" t="str">
            <v>A</v>
          </cell>
        </row>
        <row r="240">
          <cell r="C240">
            <v>534226572</v>
          </cell>
          <cell r="D240" t="str">
            <v>王森</v>
          </cell>
          <cell r="E240" t="str">
            <v>C</v>
          </cell>
        </row>
        <row r="241">
          <cell r="C241">
            <v>1119434698</v>
          </cell>
          <cell r="D241" t="str">
            <v>王森</v>
          </cell>
          <cell r="E241" t="str">
            <v>B</v>
          </cell>
        </row>
        <row r="242">
          <cell r="C242">
            <v>500725249</v>
          </cell>
          <cell r="D242" t="str">
            <v>王森</v>
          </cell>
          <cell r="E242" t="str">
            <v>B</v>
          </cell>
        </row>
        <row r="243">
          <cell r="C243">
            <v>1157897980</v>
          </cell>
          <cell r="D243" t="str">
            <v>王森</v>
          </cell>
          <cell r="E243" t="str">
            <v>A</v>
          </cell>
        </row>
        <row r="244">
          <cell r="C244">
            <v>2001187366</v>
          </cell>
          <cell r="D244" t="str">
            <v>王森</v>
          </cell>
          <cell r="E244" t="str">
            <v>A</v>
          </cell>
        </row>
        <row r="245">
          <cell r="C245">
            <v>161515643</v>
          </cell>
          <cell r="D245" t="str">
            <v>王森</v>
          </cell>
          <cell r="E245" t="str">
            <v>A</v>
          </cell>
        </row>
        <row r="246">
          <cell r="C246">
            <v>170914692</v>
          </cell>
          <cell r="D246" t="str">
            <v>王森</v>
          </cell>
          <cell r="E246" t="str">
            <v>A</v>
          </cell>
        </row>
        <row r="247">
          <cell r="C247">
            <v>158003737</v>
          </cell>
          <cell r="D247" t="str">
            <v>王森</v>
          </cell>
          <cell r="E247" t="str">
            <v>A</v>
          </cell>
        </row>
        <row r="248">
          <cell r="C248">
            <v>1155303310</v>
          </cell>
          <cell r="D248" t="str">
            <v>王森</v>
          </cell>
          <cell r="E248" t="str">
            <v>A</v>
          </cell>
        </row>
        <row r="249">
          <cell r="C249">
            <v>510640161</v>
          </cell>
          <cell r="D249" t="str">
            <v>王森</v>
          </cell>
          <cell r="E249" t="str">
            <v>A</v>
          </cell>
        </row>
        <row r="250">
          <cell r="C250">
            <v>155830856</v>
          </cell>
          <cell r="D250" t="str">
            <v>王森</v>
          </cell>
          <cell r="E250" t="str">
            <v>A</v>
          </cell>
        </row>
        <row r="251">
          <cell r="C251">
            <v>520646247</v>
          </cell>
          <cell r="D251" t="str">
            <v>王森</v>
          </cell>
          <cell r="E251" t="str">
            <v>A</v>
          </cell>
        </row>
        <row r="252">
          <cell r="C252">
            <v>1235406375</v>
          </cell>
          <cell r="D252" t="str">
            <v>王森</v>
          </cell>
          <cell r="E252" t="str">
            <v>A</v>
          </cell>
        </row>
        <row r="253">
          <cell r="C253">
            <v>1261952647</v>
          </cell>
          <cell r="D253" t="str">
            <v>王森</v>
          </cell>
          <cell r="E253" t="str">
            <v>A</v>
          </cell>
        </row>
        <row r="254">
          <cell r="C254">
            <v>1220183</v>
          </cell>
          <cell r="D254" t="str">
            <v>王森</v>
          </cell>
          <cell r="E254" t="str">
            <v>A</v>
          </cell>
        </row>
        <row r="255">
          <cell r="C255">
            <v>1220168</v>
          </cell>
          <cell r="D255" t="str">
            <v>王森</v>
          </cell>
          <cell r="E255" t="str">
            <v>A</v>
          </cell>
        </row>
        <row r="256">
          <cell r="C256">
            <v>1297754676</v>
          </cell>
          <cell r="D256" t="str">
            <v>王森</v>
          </cell>
          <cell r="E256" t="str">
            <v>A</v>
          </cell>
        </row>
        <row r="257">
          <cell r="C257">
            <v>1288044802</v>
          </cell>
          <cell r="D257" t="str">
            <v>王森</v>
          </cell>
          <cell r="E257" t="str">
            <v>A</v>
          </cell>
        </row>
        <row r="258">
          <cell r="C258">
            <v>534050013</v>
          </cell>
          <cell r="D258" t="str">
            <v>王森</v>
          </cell>
          <cell r="E258" t="str">
            <v>A</v>
          </cell>
        </row>
        <row r="259">
          <cell r="D259" t="str">
            <v>刘欢</v>
          </cell>
          <cell r="E259" t="str">
            <v>A</v>
          </cell>
        </row>
        <row r="260">
          <cell r="C260">
            <v>531340897</v>
          </cell>
          <cell r="D260" t="str">
            <v>刘欢</v>
          </cell>
          <cell r="E260" t="str">
            <v>A</v>
          </cell>
        </row>
        <row r="261">
          <cell r="C261">
            <v>535835933</v>
          </cell>
          <cell r="D261" t="str">
            <v>徐从众</v>
          </cell>
          <cell r="E261" t="str">
            <v>A</v>
          </cell>
        </row>
        <row r="262">
          <cell r="D262" t="str">
            <v>刘欢</v>
          </cell>
          <cell r="E262" t="str">
            <v>A</v>
          </cell>
        </row>
        <row r="263">
          <cell r="D263" t="str">
            <v>刘欢</v>
          </cell>
          <cell r="E263" t="str">
            <v>A</v>
          </cell>
        </row>
        <row r="264">
          <cell r="C264">
            <v>538135095</v>
          </cell>
          <cell r="D264" t="str">
            <v>刘欢</v>
          </cell>
          <cell r="E264" t="str">
            <v>A</v>
          </cell>
        </row>
        <row r="265">
          <cell r="C265">
            <v>536070662</v>
          </cell>
          <cell r="D265" t="str">
            <v>徐从众</v>
          </cell>
          <cell r="E265" t="str">
            <v>S</v>
          </cell>
        </row>
        <row r="266">
          <cell r="C266">
            <v>535663523</v>
          </cell>
          <cell r="D266" t="str">
            <v>王森</v>
          </cell>
          <cell r="E266" t="str">
            <v>A</v>
          </cell>
        </row>
        <row r="267">
          <cell r="C267">
            <v>1287649805</v>
          </cell>
          <cell r="D267" t="str">
            <v>王森</v>
          </cell>
          <cell r="E267" t="str">
            <v>S</v>
          </cell>
        </row>
        <row r="268">
          <cell r="C268">
            <v>30374654</v>
          </cell>
          <cell r="D268" t="str">
            <v>岳贝贝</v>
          </cell>
          <cell r="E268" t="str">
            <v>C</v>
          </cell>
        </row>
        <row r="269">
          <cell r="C269">
            <v>539190421</v>
          </cell>
          <cell r="D269" t="str">
            <v>徐从众</v>
          </cell>
          <cell r="E269" t="str">
            <v>S</v>
          </cell>
        </row>
        <row r="270">
          <cell r="C270">
            <v>1323150513</v>
          </cell>
          <cell r="D270" t="str">
            <v>王森</v>
          </cell>
          <cell r="E270" t="str">
            <v>S</v>
          </cell>
        </row>
        <row r="271">
          <cell r="C271" t="str">
            <v>待建店</v>
          </cell>
          <cell r="D271" t="str">
            <v>徐从众</v>
          </cell>
          <cell r="E271" t="str">
            <v>S</v>
          </cell>
        </row>
        <row r="272">
          <cell r="C272" t="str">
            <v>待建店</v>
          </cell>
          <cell r="D272" t="str">
            <v>徐从众</v>
          </cell>
          <cell r="E272" t="str">
            <v>S</v>
          </cell>
        </row>
        <row r="273">
          <cell r="C273">
            <v>2038524703</v>
          </cell>
          <cell r="D273" t="str">
            <v>王森</v>
          </cell>
          <cell r="E273" t="str">
            <v>A</v>
          </cell>
        </row>
        <row r="274">
          <cell r="C274">
            <v>538693363</v>
          </cell>
          <cell r="D274" t="str">
            <v>刘欢</v>
          </cell>
          <cell r="E274" t="str">
            <v>A</v>
          </cell>
        </row>
        <row r="275">
          <cell r="C275">
            <v>1301471286</v>
          </cell>
          <cell r="D275" t="str">
            <v>刘欢</v>
          </cell>
          <cell r="E275" t="str">
            <v>A</v>
          </cell>
        </row>
        <row r="276">
          <cell r="C276">
            <v>538653708</v>
          </cell>
          <cell r="D276" t="str">
            <v>刘欢</v>
          </cell>
          <cell r="E276" t="str">
            <v>A</v>
          </cell>
        </row>
        <row r="277">
          <cell r="C277">
            <v>535125057</v>
          </cell>
          <cell r="D277" t="str">
            <v>刘欢</v>
          </cell>
          <cell r="E277" t="str">
            <v>A</v>
          </cell>
        </row>
        <row r="278">
          <cell r="C278">
            <v>537386469</v>
          </cell>
          <cell r="D278" t="str">
            <v>刘欢</v>
          </cell>
          <cell r="E278" t="str">
            <v>A</v>
          </cell>
        </row>
        <row r="279">
          <cell r="C279">
            <v>1308786150</v>
          </cell>
          <cell r="D279" t="str">
            <v>刘欢</v>
          </cell>
          <cell r="E279" t="str">
            <v>B</v>
          </cell>
        </row>
        <row r="280">
          <cell r="C280">
            <v>510590027</v>
          </cell>
          <cell r="D280" t="str">
            <v>王森</v>
          </cell>
          <cell r="E280" t="str">
            <v>A</v>
          </cell>
        </row>
        <row r="281">
          <cell r="C281">
            <v>1307527024</v>
          </cell>
          <cell r="D281" t="str">
            <v>徐从众</v>
          </cell>
          <cell r="E281" t="str">
            <v>A</v>
          </cell>
        </row>
        <row r="282">
          <cell r="C282">
            <v>1258934689</v>
          </cell>
          <cell r="D282" t="str">
            <v>徐从众</v>
          </cell>
          <cell r="E282" t="str">
            <v>S</v>
          </cell>
        </row>
        <row r="283">
          <cell r="C283">
            <v>538730735</v>
          </cell>
          <cell r="D283" t="str">
            <v>徐从众</v>
          </cell>
        </row>
        <row r="284">
          <cell r="C284">
            <v>527766108</v>
          </cell>
          <cell r="D284" t="str">
            <v>徐从众</v>
          </cell>
          <cell r="E284" t="str">
            <v>S</v>
          </cell>
        </row>
        <row r="285">
          <cell r="C285">
            <v>538925320</v>
          </cell>
          <cell r="D285" t="str">
            <v>徐从众</v>
          </cell>
          <cell r="E285" t="str">
            <v>S</v>
          </cell>
        </row>
        <row r="286">
          <cell r="C286">
            <v>1105407151</v>
          </cell>
          <cell r="D286" t="str">
            <v>徐从众</v>
          </cell>
          <cell r="E286" t="str">
            <v>S</v>
          </cell>
        </row>
        <row r="287">
          <cell r="C287">
            <v>1316579622</v>
          </cell>
          <cell r="D287" t="str">
            <v>徐从众</v>
          </cell>
          <cell r="E287" t="str">
            <v>S</v>
          </cell>
        </row>
        <row r="288">
          <cell r="C288">
            <v>1316504629</v>
          </cell>
          <cell r="D288" t="str">
            <v>徐从众</v>
          </cell>
          <cell r="E288" t="str">
            <v>S</v>
          </cell>
        </row>
        <row r="289">
          <cell r="C289">
            <v>1299686312</v>
          </cell>
          <cell r="D289" t="str">
            <v>徐从众</v>
          </cell>
          <cell r="E289" t="str">
            <v>S</v>
          </cell>
        </row>
        <row r="290">
          <cell r="C290">
            <v>1317644864</v>
          </cell>
          <cell r="D290" t="str">
            <v>徐从众</v>
          </cell>
          <cell r="E290" t="str">
            <v>S</v>
          </cell>
        </row>
        <row r="291">
          <cell r="C291">
            <v>536376567</v>
          </cell>
          <cell r="D291" t="str">
            <v>徐从众</v>
          </cell>
          <cell r="E291" t="str">
            <v>S</v>
          </cell>
        </row>
        <row r="292">
          <cell r="C292">
            <v>538764150</v>
          </cell>
          <cell r="D292" t="str">
            <v>徐从众</v>
          </cell>
          <cell r="E292" t="str">
            <v>S</v>
          </cell>
        </row>
        <row r="293">
          <cell r="C293">
            <v>539275219</v>
          </cell>
          <cell r="D293" t="str">
            <v>徐从众</v>
          </cell>
          <cell r="E293" t="str">
            <v>A</v>
          </cell>
        </row>
        <row r="294">
          <cell r="C294">
            <v>537151397</v>
          </cell>
          <cell r="D294" t="str">
            <v>徐从众</v>
          </cell>
          <cell r="E294" t="str">
            <v>S</v>
          </cell>
        </row>
        <row r="295">
          <cell r="C295">
            <v>1193531567</v>
          </cell>
          <cell r="D295" t="str">
            <v>刘欢</v>
          </cell>
          <cell r="E295" t="str">
            <v>B</v>
          </cell>
        </row>
        <row r="296">
          <cell r="C296">
            <v>537044926</v>
          </cell>
          <cell r="D296" t="str">
            <v>刘欢</v>
          </cell>
          <cell r="E296" t="str">
            <v>A</v>
          </cell>
        </row>
        <row r="297">
          <cell r="C297">
            <v>540910163</v>
          </cell>
          <cell r="D297" t="str">
            <v>刘欢</v>
          </cell>
          <cell r="E297" t="str">
            <v>A</v>
          </cell>
        </row>
        <row r="298">
          <cell r="C298">
            <v>1317764828</v>
          </cell>
          <cell r="D298" t="str">
            <v>刘欢</v>
          </cell>
          <cell r="E298" t="str">
            <v>A</v>
          </cell>
        </row>
        <row r="299">
          <cell r="D299" t="str">
            <v>刘欢</v>
          </cell>
          <cell r="E299" t="str">
            <v>B</v>
          </cell>
        </row>
        <row r="300">
          <cell r="C300">
            <v>538310238</v>
          </cell>
          <cell r="D300" t="str">
            <v>刘欢</v>
          </cell>
          <cell r="E300" t="str">
            <v>B</v>
          </cell>
        </row>
        <row r="301">
          <cell r="C301">
            <v>1317864808</v>
          </cell>
          <cell r="D301" t="str">
            <v>刘欢</v>
          </cell>
          <cell r="E301" t="str">
            <v>B</v>
          </cell>
        </row>
        <row r="302">
          <cell r="C302">
            <v>538445213</v>
          </cell>
          <cell r="D302" t="str">
            <v>刘欢</v>
          </cell>
          <cell r="E302" t="str">
            <v>A</v>
          </cell>
        </row>
        <row r="303">
          <cell r="C303">
            <v>533590083</v>
          </cell>
          <cell r="D303" t="str">
            <v>刘欢</v>
          </cell>
          <cell r="E303" t="str">
            <v>B</v>
          </cell>
        </row>
        <row r="304">
          <cell r="C304">
            <v>538370131</v>
          </cell>
          <cell r="D304" t="str">
            <v>岳贝贝</v>
          </cell>
          <cell r="E304" t="str">
            <v>A</v>
          </cell>
        </row>
        <row r="305">
          <cell r="C305">
            <v>1303503492</v>
          </cell>
          <cell r="D305" t="str">
            <v>刘欢</v>
          </cell>
          <cell r="E305" t="str">
            <v>A</v>
          </cell>
        </row>
        <row r="306">
          <cell r="C306">
            <v>538425482</v>
          </cell>
          <cell r="D306" t="str">
            <v>刘欢</v>
          </cell>
          <cell r="E306" t="str">
            <v>B</v>
          </cell>
        </row>
        <row r="307">
          <cell r="C307">
            <v>1302966011</v>
          </cell>
          <cell r="D307" t="str">
            <v>刘欢</v>
          </cell>
          <cell r="E307" t="str">
            <v>B</v>
          </cell>
        </row>
        <row r="308">
          <cell r="C308">
            <v>1280802422</v>
          </cell>
          <cell r="D308" t="str">
            <v>徐从众</v>
          </cell>
          <cell r="E308" t="str">
            <v>A</v>
          </cell>
        </row>
        <row r="309">
          <cell r="C309">
            <v>1257049907</v>
          </cell>
          <cell r="D309" t="str">
            <v>王森</v>
          </cell>
          <cell r="E309" t="str">
            <v>A</v>
          </cell>
        </row>
        <row r="310">
          <cell r="C310">
            <v>1188010604</v>
          </cell>
          <cell r="D310" t="str">
            <v>王森</v>
          </cell>
          <cell r="E310" t="str">
            <v>A</v>
          </cell>
        </row>
        <row r="311">
          <cell r="C311">
            <v>1187699947</v>
          </cell>
          <cell r="D311" t="str">
            <v>王森</v>
          </cell>
          <cell r="E311" t="str">
            <v>A</v>
          </cell>
        </row>
        <row r="312">
          <cell r="C312">
            <v>532403363</v>
          </cell>
          <cell r="D312" t="str">
            <v>王森</v>
          </cell>
          <cell r="E312" t="str">
            <v>A</v>
          </cell>
        </row>
        <row r="313">
          <cell r="C313">
            <v>1187699947</v>
          </cell>
          <cell r="D313" t="str">
            <v>王森</v>
          </cell>
          <cell r="E313" t="str">
            <v>A</v>
          </cell>
        </row>
        <row r="314">
          <cell r="C314">
            <v>1246544856</v>
          </cell>
          <cell r="D314" t="str">
            <v>王森</v>
          </cell>
          <cell r="E314" t="str">
            <v>A</v>
          </cell>
        </row>
        <row r="315">
          <cell r="C315">
            <v>541629750</v>
          </cell>
          <cell r="D315" t="str">
            <v>王森</v>
          </cell>
          <cell r="E315" t="str">
            <v>S</v>
          </cell>
        </row>
        <row r="316">
          <cell r="C316">
            <v>531768864</v>
          </cell>
          <cell r="D316" t="str">
            <v>王森</v>
          </cell>
          <cell r="E316" t="str">
            <v>A</v>
          </cell>
        </row>
        <row r="317">
          <cell r="C317">
            <v>1317652834</v>
          </cell>
          <cell r="D317" t="str">
            <v>徐从众</v>
          </cell>
          <cell r="E317" t="str">
            <v>A</v>
          </cell>
        </row>
        <row r="318">
          <cell r="C318">
            <v>1254940906</v>
          </cell>
          <cell r="D318" t="str">
            <v>岳贝贝</v>
          </cell>
          <cell r="E318" t="str">
            <v>S</v>
          </cell>
        </row>
        <row r="319">
          <cell r="C319">
            <v>540495101</v>
          </cell>
          <cell r="D319" t="str">
            <v>刘欢</v>
          </cell>
          <cell r="E319" t="str">
            <v>B</v>
          </cell>
        </row>
        <row r="320">
          <cell r="D320" t="str">
            <v>刘欢</v>
          </cell>
          <cell r="E320" t="str">
            <v>A</v>
          </cell>
        </row>
        <row r="321">
          <cell r="C321">
            <v>538906132</v>
          </cell>
          <cell r="D321" t="str">
            <v>刘欢</v>
          </cell>
          <cell r="E321" t="str">
            <v>A</v>
          </cell>
        </row>
        <row r="322">
          <cell r="C322">
            <v>1297636215</v>
          </cell>
          <cell r="D322" t="str">
            <v>刘欢</v>
          </cell>
          <cell r="E322" t="str">
            <v>A</v>
          </cell>
        </row>
        <row r="323">
          <cell r="C323">
            <v>1284502031</v>
          </cell>
          <cell r="D323" t="str">
            <v>刘欢</v>
          </cell>
          <cell r="E323" t="str">
            <v>C</v>
          </cell>
        </row>
        <row r="324">
          <cell r="C324">
            <v>1325409620</v>
          </cell>
          <cell r="D324" t="str">
            <v>刘欢</v>
          </cell>
          <cell r="E324" t="str">
            <v>A</v>
          </cell>
        </row>
        <row r="325">
          <cell r="C325">
            <v>1325642178</v>
          </cell>
          <cell r="D325" t="str">
            <v>徐从众</v>
          </cell>
          <cell r="E325" t="str">
            <v>S</v>
          </cell>
        </row>
        <row r="326">
          <cell r="C326">
            <v>541725280</v>
          </cell>
          <cell r="D326" t="str">
            <v>徐从众</v>
          </cell>
          <cell r="E326" t="str">
            <v>S</v>
          </cell>
        </row>
        <row r="327">
          <cell r="D327" t="str">
            <v>徐从众</v>
          </cell>
          <cell r="E327" t="str">
            <v>S</v>
          </cell>
        </row>
        <row r="328">
          <cell r="D328" t="str">
            <v>/</v>
          </cell>
          <cell r="E328" t="str">
            <v>A</v>
          </cell>
        </row>
        <row r="329">
          <cell r="D329" t="str">
            <v>/</v>
          </cell>
          <cell r="E329" t="str">
            <v>A</v>
          </cell>
        </row>
        <row r="330">
          <cell r="C330" t="str">
            <v>
1324205351</v>
          </cell>
          <cell r="D330" t="str">
            <v>岳贝贝</v>
          </cell>
          <cell r="E330" t="str">
            <v>A</v>
          </cell>
        </row>
        <row r="331">
          <cell r="C331">
            <v>540662179</v>
          </cell>
          <cell r="D331" t="str">
            <v>岳贝贝</v>
          </cell>
          <cell r="E331" t="str">
            <v>B</v>
          </cell>
        </row>
        <row r="332">
          <cell r="D332" t="str">
            <v>/</v>
          </cell>
          <cell r="E332" t="str">
            <v>A</v>
          </cell>
        </row>
        <row r="333">
          <cell r="D333" t="str">
            <v>/</v>
          </cell>
          <cell r="E333" t="str">
            <v>S</v>
          </cell>
        </row>
        <row r="334">
          <cell r="D334" t="str">
            <v>/</v>
          </cell>
          <cell r="E334" t="str">
            <v>S</v>
          </cell>
        </row>
        <row r="335">
          <cell r="D335" t="str">
            <v>/</v>
          </cell>
          <cell r="E335" t="str">
            <v>S</v>
          </cell>
        </row>
        <row r="336">
          <cell r="D336" t="str">
            <v>/</v>
          </cell>
        </row>
        <row r="337">
          <cell r="D337" t="str">
            <v>/</v>
          </cell>
          <cell r="E337" t="str">
            <v>S</v>
          </cell>
        </row>
        <row r="338">
          <cell r="C338">
            <v>1323195520</v>
          </cell>
          <cell r="D338" t="str">
            <v>岳贝贝</v>
          </cell>
          <cell r="E338" t="str">
            <v>A</v>
          </cell>
        </row>
        <row r="339">
          <cell r="C339" t="str">
            <v>
540950106</v>
          </cell>
          <cell r="D339" t="str">
            <v>刘欢</v>
          </cell>
          <cell r="E339" t="str">
            <v>A</v>
          </cell>
        </row>
        <row r="340">
          <cell r="C340">
            <v>2260213</v>
          </cell>
          <cell r="D340" t="str">
            <v>刘欢</v>
          </cell>
          <cell r="E340" t="str">
            <v>A</v>
          </cell>
        </row>
        <row r="341">
          <cell r="C341">
            <v>540426623</v>
          </cell>
          <cell r="D341" t="str">
            <v>刘欢</v>
          </cell>
          <cell r="E341" t="str">
            <v>C</v>
          </cell>
        </row>
        <row r="342">
          <cell r="C342">
            <v>536907095</v>
          </cell>
          <cell r="D342" t="str">
            <v>刘欢</v>
          </cell>
          <cell r="E342" t="str">
            <v>B</v>
          </cell>
        </row>
        <row r="343">
          <cell r="C343">
            <v>1284523306</v>
          </cell>
          <cell r="D343" t="str">
            <v>刘欢</v>
          </cell>
        </row>
        <row r="344">
          <cell r="C344">
            <v>1245884670</v>
          </cell>
          <cell r="D344" t="str">
            <v>刘欢</v>
          </cell>
        </row>
        <row r="345">
          <cell r="C345">
            <v>154880657</v>
          </cell>
          <cell r="D345" t="str">
            <v>王森</v>
          </cell>
          <cell r="E345" t="str">
            <v>A</v>
          </cell>
        </row>
        <row r="346">
          <cell r="C346">
            <v>503869010</v>
          </cell>
          <cell r="D346" t="str">
            <v>王森</v>
          </cell>
          <cell r="E346" t="str">
            <v>A</v>
          </cell>
        </row>
        <row r="347">
          <cell r="C347" t="str">
            <v>1290138513
</v>
          </cell>
          <cell r="D347" t="str">
            <v>王森</v>
          </cell>
          <cell r="E347" t="str">
            <v>A</v>
          </cell>
        </row>
        <row r="348">
          <cell r="C348">
            <v>1316552295</v>
          </cell>
          <cell r="D348" t="str">
            <v>/</v>
          </cell>
        </row>
        <row r="349">
          <cell r="C349">
            <v>539770382</v>
          </cell>
          <cell r="D349" t="str">
            <v>刘欢</v>
          </cell>
        </row>
        <row r="350">
          <cell r="C350">
            <v>528377025</v>
          </cell>
          <cell r="D350" t="str">
            <v>刘欢</v>
          </cell>
        </row>
        <row r="351">
          <cell r="C351">
            <v>541760336</v>
          </cell>
          <cell r="D351" t="str">
            <v>刘欢</v>
          </cell>
        </row>
        <row r="352">
          <cell r="C352">
            <v>541360802</v>
          </cell>
          <cell r="D352" t="str">
            <v>刘欢</v>
          </cell>
        </row>
        <row r="353">
          <cell r="C353">
            <v>157907988</v>
          </cell>
          <cell r="D353" t="str">
            <v>刘欢</v>
          </cell>
        </row>
        <row r="354">
          <cell r="C354">
            <v>530863345</v>
          </cell>
          <cell r="D354" t="str">
            <v>刘欢</v>
          </cell>
        </row>
        <row r="355">
          <cell r="C355">
            <v>530830364</v>
          </cell>
          <cell r="D355" t="str">
            <v>刘欢</v>
          </cell>
        </row>
        <row r="356">
          <cell r="C356">
            <v>1302010435</v>
          </cell>
          <cell r="D356" t="str">
            <v>刘欢</v>
          </cell>
          <cell r="E356" t="str">
            <v>C</v>
          </cell>
        </row>
        <row r="357">
          <cell r="C357">
            <v>537081693</v>
          </cell>
          <cell r="D357" t="str">
            <v>刘欢</v>
          </cell>
          <cell r="E357" t="str">
            <v>A</v>
          </cell>
        </row>
        <row r="358">
          <cell r="C358">
            <v>2036084606</v>
          </cell>
          <cell r="D358" t="str">
            <v>刘欢</v>
          </cell>
          <cell r="E358" t="str">
            <v>B</v>
          </cell>
        </row>
        <row r="359">
          <cell r="C359">
            <v>530007067</v>
          </cell>
          <cell r="D359" t="str">
            <v>刘欢</v>
          </cell>
          <cell r="E359" t="str">
            <v>C</v>
          </cell>
        </row>
        <row r="360">
          <cell r="C360">
            <v>541196518</v>
          </cell>
          <cell r="D360" t="str">
            <v>刘欢</v>
          </cell>
          <cell r="E360" t="str">
            <v>A</v>
          </cell>
        </row>
        <row r="361">
          <cell r="C361">
            <v>540796515</v>
          </cell>
          <cell r="D361" t="str">
            <v>刘欢</v>
          </cell>
          <cell r="E361" t="str">
            <v>C</v>
          </cell>
        </row>
        <row r="362">
          <cell r="C362">
            <v>541196321</v>
          </cell>
          <cell r="D362" t="str">
            <v>刘欢</v>
          </cell>
          <cell r="E362" t="str">
            <v>A</v>
          </cell>
        </row>
        <row r="363">
          <cell r="C363">
            <v>1322357094</v>
          </cell>
          <cell r="D363" t="str">
            <v>刘欢</v>
          </cell>
          <cell r="E363" t="str">
            <v>C</v>
          </cell>
        </row>
        <row r="364">
          <cell r="C364">
            <v>1323191946</v>
          </cell>
          <cell r="D364" t="str">
            <v>刘欢</v>
          </cell>
          <cell r="E364" t="str">
            <v>C</v>
          </cell>
        </row>
        <row r="365">
          <cell r="C365">
            <v>540895106</v>
          </cell>
          <cell r="D365" t="str">
            <v>刘欢</v>
          </cell>
          <cell r="E365" t="str">
            <v>A</v>
          </cell>
        </row>
        <row r="366">
          <cell r="C366">
            <v>541634872</v>
          </cell>
          <cell r="D366" t="str">
            <v>刘欢</v>
          </cell>
          <cell r="E366" t="str">
            <v>A</v>
          </cell>
        </row>
        <row r="367">
          <cell r="C367" t="str">
            <v>
529421756</v>
          </cell>
          <cell r="D367" t="str">
            <v>岳贝贝</v>
          </cell>
          <cell r="E367" t="str">
            <v>B</v>
          </cell>
        </row>
        <row r="368">
          <cell r="C368">
            <v>541225890</v>
          </cell>
          <cell r="D368" t="str">
            <v>岳贝贝</v>
          </cell>
          <cell r="E368" t="str">
            <v>营业中</v>
          </cell>
        </row>
        <row r="369">
          <cell r="C369">
            <v>532420912</v>
          </cell>
          <cell r="D369" t="str">
            <v>王森</v>
          </cell>
          <cell r="E369" t="str">
            <v>S</v>
          </cell>
        </row>
        <row r="370">
          <cell r="C370">
            <v>1328488693</v>
          </cell>
          <cell r="D370" t="str">
            <v>徐从众</v>
          </cell>
          <cell r="E370" t="str">
            <v>S</v>
          </cell>
        </row>
        <row r="371">
          <cell r="C371">
            <v>540781630</v>
          </cell>
          <cell r="D371" t="str">
            <v>徐从众</v>
          </cell>
          <cell r="E371" t="str">
            <v>B</v>
          </cell>
        </row>
        <row r="372">
          <cell r="C372">
            <v>1316325261</v>
          </cell>
          <cell r="D372" t="str">
            <v>徐从众</v>
          </cell>
          <cell r="E372" t="str">
            <v>A</v>
          </cell>
        </row>
        <row r="373">
          <cell r="C373">
            <v>540910445</v>
          </cell>
          <cell r="D373" t="str">
            <v>徐从众</v>
          </cell>
          <cell r="E373" t="str">
            <v>S</v>
          </cell>
        </row>
        <row r="374">
          <cell r="C374">
            <v>1236651998</v>
          </cell>
          <cell r="D374" t="str">
            <v>王森</v>
          </cell>
          <cell r="E374" t="str">
            <v>A</v>
          </cell>
        </row>
        <row r="375">
          <cell r="C375">
            <v>541360802</v>
          </cell>
          <cell r="D375" t="str">
            <v>岳贝贝</v>
          </cell>
          <cell r="E375" t="str">
            <v>C</v>
          </cell>
        </row>
        <row r="376">
          <cell r="C376">
            <v>1256551797</v>
          </cell>
          <cell r="D376" t="str">
            <v>徐从众</v>
          </cell>
          <cell r="E376" t="str">
            <v>S</v>
          </cell>
        </row>
        <row r="377">
          <cell r="C377">
            <v>537915472</v>
          </cell>
          <cell r="D377" t="str">
            <v>刘欢</v>
          </cell>
          <cell r="E377" t="str">
            <v>B</v>
          </cell>
        </row>
        <row r="378">
          <cell r="C378" t="str">
            <v>541266588
</v>
          </cell>
          <cell r="D378" t="str">
            <v>刘欢</v>
          </cell>
          <cell r="E378" t="str">
            <v>C</v>
          </cell>
        </row>
        <row r="379">
          <cell r="C379">
            <v>538395008</v>
          </cell>
          <cell r="D379" t="str">
            <v>刘欢</v>
          </cell>
          <cell r="E379" t="str">
            <v>C</v>
          </cell>
        </row>
        <row r="380">
          <cell r="C380">
            <v>542266629</v>
          </cell>
          <cell r="D380" t="str">
            <v>刘欢</v>
          </cell>
          <cell r="E380" t="str">
            <v>C</v>
          </cell>
        </row>
        <row r="381">
          <cell r="C381">
            <v>520540540</v>
          </cell>
          <cell r="D381" t="str">
            <v>王森</v>
          </cell>
          <cell r="E381" t="str">
            <v>B</v>
          </cell>
        </row>
        <row r="382">
          <cell r="C382">
            <v>541065039</v>
          </cell>
          <cell r="D382" t="str">
            <v>刘欢</v>
          </cell>
          <cell r="E382" t="str">
            <v>A</v>
          </cell>
        </row>
        <row r="383">
          <cell r="C383">
            <v>541772813</v>
          </cell>
          <cell r="D383" t="str">
            <v>刘欢</v>
          </cell>
          <cell r="E383" t="str">
            <v>A</v>
          </cell>
        </row>
        <row r="384">
          <cell r="C384">
            <v>27688407</v>
          </cell>
          <cell r="D384" t="str">
            <v>刘欢</v>
          </cell>
          <cell r="E384" t="str">
            <v>S</v>
          </cell>
        </row>
        <row r="385">
          <cell r="C385">
            <v>537063641</v>
          </cell>
          <cell r="D385" t="str">
            <v>刘欢</v>
          </cell>
          <cell r="E385" t="str">
            <v>S</v>
          </cell>
        </row>
        <row r="386">
          <cell r="C386">
            <v>519874196</v>
          </cell>
          <cell r="D386" t="str">
            <v>刘欢</v>
          </cell>
          <cell r="E386" t="str">
            <v>B</v>
          </cell>
        </row>
        <row r="387">
          <cell r="C387">
            <v>1330517622</v>
          </cell>
          <cell r="D387" t="str">
            <v>刘欢</v>
          </cell>
          <cell r="E387" t="str">
            <v>B</v>
          </cell>
        </row>
        <row r="388">
          <cell r="C388">
            <v>1330995389</v>
          </cell>
          <cell r="D388" t="str">
            <v>刘欢</v>
          </cell>
          <cell r="E388" t="str">
            <v>C</v>
          </cell>
        </row>
        <row r="389">
          <cell r="D389" t="str">
            <v>/</v>
          </cell>
        </row>
        <row r="390">
          <cell r="C390">
            <v>541739590</v>
          </cell>
          <cell r="D390" t="str">
            <v>岳贝贝</v>
          </cell>
          <cell r="E390" t="str">
            <v>B</v>
          </cell>
        </row>
        <row r="391">
          <cell r="C391" t="str">
            <v>无美团</v>
          </cell>
          <cell r="D391" t="str">
            <v>岳贝贝</v>
          </cell>
          <cell r="E391" t="str">
            <v>D</v>
          </cell>
        </row>
        <row r="392">
          <cell r="C392">
            <v>1319828199</v>
          </cell>
          <cell r="D392" t="str">
            <v>岳贝贝</v>
          </cell>
          <cell r="E392" t="str">
            <v>C</v>
          </cell>
        </row>
        <row r="393">
          <cell r="C393">
            <v>1329529421</v>
          </cell>
          <cell r="D393" t="str">
            <v>岳贝贝</v>
          </cell>
          <cell r="E393" t="str">
            <v>B</v>
          </cell>
        </row>
        <row r="394">
          <cell r="C394">
            <v>1289259925</v>
          </cell>
          <cell r="D394" t="str">
            <v>岳贝贝</v>
          </cell>
          <cell r="E394" t="str">
            <v>B</v>
          </cell>
        </row>
        <row r="395">
          <cell r="C395">
            <v>527412528</v>
          </cell>
          <cell r="D395" t="str">
            <v>岳贝贝</v>
          </cell>
          <cell r="E395" t="str">
            <v>A</v>
          </cell>
        </row>
        <row r="396">
          <cell r="C396">
            <v>516305161</v>
          </cell>
          <cell r="D396" t="str">
            <v>岳贝贝</v>
          </cell>
          <cell r="E396" t="str">
            <v>A</v>
          </cell>
        </row>
        <row r="397">
          <cell r="C397">
            <v>1197815007</v>
          </cell>
          <cell r="D397" t="str">
            <v>岳贝贝</v>
          </cell>
          <cell r="E397" t="str">
            <v>A</v>
          </cell>
        </row>
        <row r="398">
          <cell r="C398">
            <v>1273999795</v>
          </cell>
          <cell r="D398" t="str">
            <v>岳贝贝</v>
          </cell>
          <cell r="E398" t="str">
            <v>A</v>
          </cell>
        </row>
        <row r="399">
          <cell r="C399">
            <v>531970041</v>
          </cell>
          <cell r="D399" t="str">
            <v>岳贝贝</v>
          </cell>
          <cell r="E399" t="str">
            <v>B</v>
          </cell>
        </row>
        <row r="400">
          <cell r="C400">
            <v>1109718462</v>
          </cell>
          <cell r="D400" t="str">
            <v>岳贝贝</v>
          </cell>
          <cell r="E400" t="str">
            <v>A</v>
          </cell>
        </row>
        <row r="401">
          <cell r="C401">
            <v>1128326066</v>
          </cell>
          <cell r="D401" t="str">
            <v>王森</v>
          </cell>
          <cell r="E401" t="str">
            <v>A</v>
          </cell>
        </row>
        <row r="402">
          <cell r="C402">
            <v>2131630767</v>
          </cell>
          <cell r="D402" t="str">
            <v>王森</v>
          </cell>
          <cell r="E402" t="str">
            <v>A</v>
          </cell>
        </row>
        <row r="403">
          <cell r="C403">
            <v>2132096317</v>
          </cell>
          <cell r="D403" t="str">
            <v>王森</v>
          </cell>
          <cell r="E403" t="str">
            <v>A</v>
          </cell>
        </row>
        <row r="404">
          <cell r="C404">
            <v>507600436</v>
          </cell>
          <cell r="D404" t="str">
            <v>王森</v>
          </cell>
          <cell r="E404" t="str">
            <v>A</v>
          </cell>
        </row>
        <row r="405">
          <cell r="C405">
            <v>502210130</v>
          </cell>
          <cell r="D405" t="str">
            <v>王森</v>
          </cell>
          <cell r="E405" t="str">
            <v>A</v>
          </cell>
        </row>
        <row r="406">
          <cell r="C406">
            <v>538555023</v>
          </cell>
          <cell r="D406" t="str">
            <v>刘欢</v>
          </cell>
          <cell r="E406" t="str">
            <v>C</v>
          </cell>
        </row>
        <row r="407">
          <cell r="C407">
            <v>1315225130</v>
          </cell>
          <cell r="D407" t="str">
            <v>刘欢</v>
          </cell>
          <cell r="E407" t="str">
            <v>B</v>
          </cell>
        </row>
        <row r="408">
          <cell r="C408">
            <v>1315330146</v>
          </cell>
          <cell r="D408" t="str">
            <v>刘欢</v>
          </cell>
          <cell r="E408" t="str">
            <v>A</v>
          </cell>
        </row>
        <row r="409">
          <cell r="D409" t="str">
            <v>刘欢</v>
          </cell>
          <cell r="E409" t="str">
            <v>A</v>
          </cell>
        </row>
        <row r="410">
          <cell r="C410">
            <v>1318766817</v>
          </cell>
          <cell r="D410" t="str">
            <v>刘欢</v>
          </cell>
          <cell r="E410" t="str">
            <v>C</v>
          </cell>
        </row>
        <row r="411">
          <cell r="C411">
            <v>1319794195</v>
          </cell>
          <cell r="D411" t="str">
            <v>刘欢</v>
          </cell>
          <cell r="E411" t="str">
            <v>C</v>
          </cell>
        </row>
        <row r="412">
          <cell r="C412">
            <v>1323183058</v>
          </cell>
          <cell r="D412" t="str">
            <v>刘欢</v>
          </cell>
          <cell r="E412" t="str">
            <v>C</v>
          </cell>
        </row>
        <row r="413">
          <cell r="C413">
            <v>542285839</v>
          </cell>
          <cell r="D413" t="str">
            <v>刘欢</v>
          </cell>
          <cell r="E413" t="str">
            <v>C</v>
          </cell>
        </row>
        <row r="414">
          <cell r="C414">
            <v>538567987</v>
          </cell>
          <cell r="D414" t="str">
            <v>刘欢</v>
          </cell>
          <cell r="E414" t="str">
            <v>C</v>
          </cell>
        </row>
        <row r="415">
          <cell r="C415">
            <v>1332013122</v>
          </cell>
          <cell r="D415" t="str">
            <v>刘欢</v>
          </cell>
          <cell r="E415" t="str">
            <v>C</v>
          </cell>
        </row>
        <row r="416">
          <cell r="C416">
            <v>1332599872</v>
          </cell>
          <cell r="D416" t="str">
            <v>刘欢</v>
          </cell>
          <cell r="E416" t="str">
            <v>C</v>
          </cell>
        </row>
        <row r="417">
          <cell r="C417">
            <v>541440871</v>
          </cell>
          <cell r="D417" t="str">
            <v>刘欢</v>
          </cell>
          <cell r="E417" t="str">
            <v>A</v>
          </cell>
        </row>
        <row r="418">
          <cell r="D418" t="str">
            <v>刘欢</v>
          </cell>
          <cell r="E418" t="str">
            <v>A</v>
          </cell>
        </row>
        <row r="419">
          <cell r="C419">
            <v>541291230</v>
          </cell>
          <cell r="D419" t="str">
            <v>刘欢</v>
          </cell>
          <cell r="E419" t="str">
            <v>B</v>
          </cell>
        </row>
        <row r="420">
          <cell r="C420">
            <v>1332600093</v>
          </cell>
          <cell r="D420" t="str">
            <v>刘欢</v>
          </cell>
          <cell r="E420" t="str">
            <v>B</v>
          </cell>
        </row>
        <row r="421">
          <cell r="C421">
            <v>1332566705</v>
          </cell>
          <cell r="D421" t="str">
            <v>刘欢</v>
          </cell>
          <cell r="E421" t="str">
            <v>A</v>
          </cell>
        </row>
        <row r="422">
          <cell r="C422">
            <v>1334380066</v>
          </cell>
          <cell r="D422" t="str">
            <v>刘欢</v>
          </cell>
          <cell r="E422" t="str">
            <v>A</v>
          </cell>
        </row>
        <row r="423">
          <cell r="C423">
            <v>541965491</v>
          </cell>
          <cell r="D423" t="str">
            <v>刘欢</v>
          </cell>
          <cell r="E423" t="str">
            <v>C</v>
          </cell>
        </row>
        <row r="424">
          <cell r="C424">
            <v>1300656267</v>
          </cell>
          <cell r="D424" t="str">
            <v>刘欢</v>
          </cell>
          <cell r="E424" t="str">
            <v>A</v>
          </cell>
        </row>
        <row r="425">
          <cell r="D425" t="str">
            <v>刘欢</v>
          </cell>
          <cell r="E425" t="str">
            <v>A</v>
          </cell>
        </row>
        <row r="426">
          <cell r="C426">
            <v>1238874933</v>
          </cell>
          <cell r="D426" t="str">
            <v>刘欢</v>
          </cell>
          <cell r="E426" t="str">
            <v>S</v>
          </cell>
        </row>
        <row r="427">
          <cell r="C427">
            <v>541585741</v>
          </cell>
          <cell r="D427" t="str">
            <v>刘欢</v>
          </cell>
          <cell r="E427" t="str">
            <v>C</v>
          </cell>
        </row>
        <row r="428">
          <cell r="C428">
            <v>32114114</v>
          </cell>
          <cell r="D428" t="str">
            <v>刘欢</v>
          </cell>
          <cell r="E428" t="str">
            <v>A</v>
          </cell>
        </row>
        <row r="429">
          <cell r="C429">
            <v>540705631</v>
          </cell>
          <cell r="D429" t="str">
            <v>刘欢</v>
          </cell>
          <cell r="E429" t="str">
            <v>C</v>
          </cell>
        </row>
        <row r="430">
          <cell r="C430">
            <v>1323214527</v>
          </cell>
          <cell r="D430" t="str">
            <v>徐从众</v>
          </cell>
          <cell r="E430" t="str">
            <v>S</v>
          </cell>
        </row>
        <row r="431">
          <cell r="C431">
            <v>1334941123</v>
          </cell>
          <cell r="D431" t="str">
            <v>徐从众</v>
          </cell>
          <cell r="E431" t="str">
            <v>S</v>
          </cell>
        </row>
        <row r="432">
          <cell r="C432">
            <v>2042488422</v>
          </cell>
          <cell r="D432" t="str">
            <v>徐从众</v>
          </cell>
          <cell r="E432" t="str">
            <v>S</v>
          </cell>
        </row>
        <row r="433">
          <cell r="C433">
            <v>541379800</v>
          </cell>
          <cell r="D433" t="str">
            <v>徐从众</v>
          </cell>
          <cell r="E433" t="str">
            <v>S</v>
          </cell>
        </row>
        <row r="434">
          <cell r="C434">
            <v>541566333</v>
          </cell>
          <cell r="D434" t="str">
            <v>徐从众</v>
          </cell>
          <cell r="E434" t="str">
            <v>S</v>
          </cell>
        </row>
        <row r="435">
          <cell r="C435">
            <v>540956963</v>
          </cell>
          <cell r="D435" t="str">
            <v>徐从众</v>
          </cell>
          <cell r="E435" t="str">
            <v>S</v>
          </cell>
        </row>
        <row r="436">
          <cell r="C436">
            <v>1197739743</v>
          </cell>
          <cell r="D436" t="str">
            <v>徐从众</v>
          </cell>
          <cell r="E436" t="str">
            <v>A</v>
          </cell>
        </row>
        <row r="437">
          <cell r="C437">
            <v>540194205</v>
          </cell>
          <cell r="D437" t="str">
            <v>徐从众</v>
          </cell>
          <cell r="E437" t="str">
            <v>A</v>
          </cell>
        </row>
        <row r="438">
          <cell r="C438">
            <v>530957487</v>
          </cell>
          <cell r="D438" t="str">
            <v>王森</v>
          </cell>
          <cell r="E438" t="str">
            <v>C</v>
          </cell>
        </row>
        <row r="439">
          <cell r="C439">
            <v>1246759636</v>
          </cell>
          <cell r="D439" t="str">
            <v>王森</v>
          </cell>
          <cell r="E439" t="str">
            <v>C</v>
          </cell>
        </row>
        <row r="440">
          <cell r="C440">
            <v>1338061227</v>
          </cell>
          <cell r="D440" t="str">
            <v>王森</v>
          </cell>
          <cell r="E440" t="str">
            <v>A</v>
          </cell>
        </row>
        <row r="441">
          <cell r="C441">
            <v>30003704</v>
          </cell>
          <cell r="D441" t="str">
            <v>王森</v>
          </cell>
          <cell r="E441" t="str">
            <v>C</v>
          </cell>
        </row>
        <row r="442">
          <cell r="C442">
            <v>540895648</v>
          </cell>
          <cell r="D442" t="str">
            <v>王森</v>
          </cell>
          <cell r="E442" t="str">
            <v>A</v>
          </cell>
        </row>
        <row r="443">
          <cell r="C443" t="str">
            <v>无</v>
          </cell>
          <cell r="D443" t="str">
            <v>王森</v>
          </cell>
          <cell r="E443" t="str">
            <v>C</v>
          </cell>
        </row>
        <row r="444">
          <cell r="C444">
            <v>405280</v>
          </cell>
          <cell r="D444" t="str">
            <v>徐从众</v>
          </cell>
          <cell r="E444" t="str">
            <v>S</v>
          </cell>
        </row>
        <row r="445">
          <cell r="C445">
            <v>1251776219</v>
          </cell>
          <cell r="D445" t="str">
            <v>徐从众</v>
          </cell>
          <cell r="E445" t="str">
            <v>A</v>
          </cell>
        </row>
        <row r="446">
          <cell r="C446" t="str">
            <v>待上线</v>
          </cell>
          <cell r="D446" t="str">
            <v>徐从众</v>
          </cell>
          <cell r="E446" t="str">
            <v>B</v>
          </cell>
        </row>
        <row r="447">
          <cell r="C447">
            <v>1331495537</v>
          </cell>
          <cell r="D447" t="str">
            <v>徐从众</v>
          </cell>
          <cell r="E447" t="str">
            <v>A</v>
          </cell>
        </row>
        <row r="448">
          <cell r="C448">
            <v>542503489</v>
          </cell>
          <cell r="D448" t="str">
            <v>徐从众</v>
          </cell>
          <cell r="E448" t="str">
            <v>A</v>
          </cell>
        </row>
        <row r="449">
          <cell r="C449">
            <v>1327940502</v>
          </cell>
          <cell r="D449" t="str">
            <v>徐从众</v>
          </cell>
          <cell r="E449" t="str">
            <v>B</v>
          </cell>
        </row>
        <row r="450">
          <cell r="C450">
            <v>1334902029</v>
          </cell>
          <cell r="D450" t="str">
            <v>徐从众</v>
          </cell>
          <cell r="E450" t="str">
            <v>S</v>
          </cell>
        </row>
        <row r="451">
          <cell r="D451" t="str">
            <v>徐从众</v>
          </cell>
          <cell r="E451" t="str">
            <v>S</v>
          </cell>
        </row>
        <row r="452">
          <cell r="C452">
            <v>539180933</v>
          </cell>
          <cell r="D452" t="str">
            <v>徐从众</v>
          </cell>
          <cell r="E452" t="str">
            <v>B</v>
          </cell>
        </row>
        <row r="453">
          <cell r="C453">
            <v>525861824</v>
          </cell>
          <cell r="D453" t="str">
            <v>王森</v>
          </cell>
          <cell r="E453" t="str">
            <v>C</v>
          </cell>
        </row>
        <row r="454">
          <cell r="C454">
            <v>542620780</v>
          </cell>
          <cell r="D454" t="str">
            <v>刘欢</v>
          </cell>
          <cell r="E454" t="str">
            <v>A</v>
          </cell>
        </row>
        <row r="455">
          <cell r="C455" t="str">
            <v>
1333721521</v>
          </cell>
          <cell r="D455" t="str">
            <v>刘欢</v>
          </cell>
          <cell r="E455" t="str">
            <v>C</v>
          </cell>
        </row>
        <row r="456">
          <cell r="C456">
            <v>537981802</v>
          </cell>
          <cell r="D456" t="str">
            <v>刘欢</v>
          </cell>
          <cell r="E456" t="str">
            <v>C</v>
          </cell>
        </row>
        <row r="457">
          <cell r="C457">
            <v>1325548215</v>
          </cell>
          <cell r="D457" t="str">
            <v>刘欢</v>
          </cell>
          <cell r="E457" t="str">
            <v>B</v>
          </cell>
        </row>
        <row r="458">
          <cell r="C458">
            <v>1325691653</v>
          </cell>
          <cell r="D458" t="str">
            <v>刘欢</v>
          </cell>
          <cell r="E458" t="str">
            <v>B</v>
          </cell>
        </row>
        <row r="459">
          <cell r="C459">
            <v>541065039</v>
          </cell>
          <cell r="D459" t="str">
            <v>刘欢</v>
          </cell>
          <cell r="E459" t="str">
            <v>B</v>
          </cell>
        </row>
        <row r="460">
          <cell r="C460">
            <v>1337325213</v>
          </cell>
          <cell r="D460" t="str">
            <v>刘欢</v>
          </cell>
          <cell r="E460" t="str">
            <v>C</v>
          </cell>
        </row>
        <row r="461">
          <cell r="C461">
            <v>1334947018</v>
          </cell>
          <cell r="D461" t="str">
            <v>刘欢</v>
          </cell>
          <cell r="E461" t="str">
            <v>C</v>
          </cell>
        </row>
        <row r="462">
          <cell r="C462">
            <v>337544579</v>
          </cell>
          <cell r="D462" t="str">
            <v>刘欢</v>
          </cell>
          <cell r="E462" t="str">
            <v>C</v>
          </cell>
        </row>
        <row r="463">
          <cell r="D463" t="str">
            <v>刘欢</v>
          </cell>
          <cell r="E463" t="str">
            <v>C</v>
          </cell>
        </row>
        <row r="464">
          <cell r="D464" t="str">
            <v>刘欢</v>
          </cell>
          <cell r="E464" t="str">
            <v>A</v>
          </cell>
        </row>
        <row r="465">
          <cell r="C465">
            <v>532442964</v>
          </cell>
          <cell r="D465" t="str">
            <v>刘欢</v>
          </cell>
          <cell r="E465" t="str">
            <v>C</v>
          </cell>
        </row>
        <row r="466">
          <cell r="C466">
            <v>1335790947</v>
          </cell>
          <cell r="D466" t="str">
            <v>刘欢</v>
          </cell>
          <cell r="E466" t="str">
            <v>C</v>
          </cell>
        </row>
        <row r="467">
          <cell r="D467" t="str">
            <v>刘欢</v>
          </cell>
          <cell r="E467" t="str">
            <v>B</v>
          </cell>
        </row>
        <row r="468">
          <cell r="C468">
            <v>542404205</v>
          </cell>
          <cell r="D468" t="str">
            <v>刘欢</v>
          </cell>
          <cell r="E468" t="str">
            <v>C</v>
          </cell>
        </row>
        <row r="469">
          <cell r="C469">
            <v>1333874699</v>
          </cell>
          <cell r="D469" t="str">
            <v>刘欢</v>
          </cell>
          <cell r="E469" t="str">
            <v>C</v>
          </cell>
        </row>
        <row r="470">
          <cell r="C470">
            <v>535870521</v>
          </cell>
          <cell r="D470" t="str">
            <v>刘欢</v>
          </cell>
          <cell r="E470" t="str">
            <v>C</v>
          </cell>
        </row>
        <row r="471">
          <cell r="C471">
            <v>529711675</v>
          </cell>
          <cell r="D471" t="str">
            <v>岳贝贝</v>
          </cell>
          <cell r="E471" t="str">
            <v>S</v>
          </cell>
        </row>
        <row r="472">
          <cell r="C472">
            <v>530525173</v>
          </cell>
          <cell r="D472" t="str">
            <v>岳贝贝</v>
          </cell>
          <cell r="E472" t="str">
            <v>C</v>
          </cell>
        </row>
        <row r="473">
          <cell r="C473">
            <v>541042595</v>
          </cell>
          <cell r="D473" t="str">
            <v>岳贝贝</v>
          </cell>
          <cell r="E473" t="str">
            <v>B</v>
          </cell>
        </row>
        <row r="474">
          <cell r="C474">
            <v>542740350</v>
          </cell>
          <cell r="D474" t="str">
            <v>岳贝贝</v>
          </cell>
          <cell r="E474" t="str">
            <v>A</v>
          </cell>
        </row>
        <row r="475">
          <cell r="C475">
            <v>542804663</v>
          </cell>
          <cell r="D475" t="str">
            <v>岳贝贝</v>
          </cell>
          <cell r="E475" t="str">
            <v>S</v>
          </cell>
        </row>
        <row r="476">
          <cell r="C476">
            <v>542877176</v>
          </cell>
          <cell r="D476" t="str">
            <v>岳贝贝</v>
          </cell>
          <cell r="E476" t="str">
            <v>A</v>
          </cell>
        </row>
        <row r="477">
          <cell r="C477">
            <v>1340375533</v>
          </cell>
          <cell r="D477" t="str">
            <v>岳贝贝</v>
          </cell>
          <cell r="E477" t="str">
            <v>D</v>
          </cell>
        </row>
        <row r="478">
          <cell r="C478" t="str">
            <v>
523980257</v>
          </cell>
          <cell r="D478" t="str">
            <v>岳贝贝</v>
          </cell>
          <cell r="E478" t="str">
            <v>C</v>
          </cell>
        </row>
        <row r="479">
          <cell r="C479">
            <v>543546726</v>
          </cell>
          <cell r="D479" t="str">
            <v>岳贝贝</v>
          </cell>
          <cell r="E479" t="str">
            <v>C</v>
          </cell>
        </row>
        <row r="480">
          <cell r="C480">
            <v>160020068</v>
          </cell>
          <cell r="D480" t="str">
            <v>刘欢</v>
          </cell>
          <cell r="E480" t="str">
            <v>S</v>
          </cell>
        </row>
        <row r="481">
          <cell r="C481" t="str">
            <v>无</v>
          </cell>
          <cell r="D481" t="str">
            <v>王森</v>
          </cell>
          <cell r="E481" t="str">
            <v>C</v>
          </cell>
        </row>
        <row r="482">
          <cell r="C482">
            <v>1118407756</v>
          </cell>
          <cell r="D482" t="str">
            <v>王森</v>
          </cell>
        </row>
        <row r="483">
          <cell r="C483">
            <v>537116558</v>
          </cell>
          <cell r="D483" t="str">
            <v>刘欢</v>
          </cell>
          <cell r="E483" t="str">
            <v>C</v>
          </cell>
        </row>
        <row r="484">
          <cell r="C484">
            <v>1322267295</v>
          </cell>
          <cell r="D484" t="str">
            <v>刘欢</v>
          </cell>
          <cell r="E484" t="str">
            <v>C</v>
          </cell>
        </row>
        <row r="485">
          <cell r="C485">
            <v>542396353</v>
          </cell>
          <cell r="D485" t="str">
            <v>刘欢</v>
          </cell>
          <cell r="E485" t="str">
            <v>B</v>
          </cell>
        </row>
        <row r="486">
          <cell r="C486">
            <v>541156640</v>
          </cell>
          <cell r="D486" t="str">
            <v>刘欢</v>
          </cell>
          <cell r="E486" t="str">
            <v>B</v>
          </cell>
        </row>
        <row r="487">
          <cell r="D487" t="str">
            <v>刘欢</v>
          </cell>
          <cell r="E487" t="str">
            <v>B</v>
          </cell>
        </row>
        <row r="488">
          <cell r="D488" t="str">
            <v>刘欢</v>
          </cell>
          <cell r="E488" t="str">
            <v>B</v>
          </cell>
        </row>
        <row r="489">
          <cell r="D489" t="str">
            <v>刘欢</v>
          </cell>
          <cell r="E489" t="str">
            <v>B</v>
          </cell>
        </row>
        <row r="490">
          <cell r="D490" t="str">
            <v>刘欢</v>
          </cell>
          <cell r="E490" t="str">
            <v>B</v>
          </cell>
        </row>
        <row r="491">
          <cell r="C491">
            <v>538915853</v>
          </cell>
          <cell r="D491" t="str">
            <v>徐从众</v>
          </cell>
          <cell r="E491" t="str">
            <v>A</v>
          </cell>
        </row>
        <row r="492">
          <cell r="C492">
            <v>543151191</v>
          </cell>
          <cell r="D492" t="str">
            <v>徐从众</v>
          </cell>
          <cell r="E492" t="str">
            <v>S</v>
          </cell>
        </row>
        <row r="493">
          <cell r="C493">
            <v>518600163</v>
          </cell>
          <cell r="D493" t="str">
            <v>徐从众</v>
          </cell>
          <cell r="E493" t="str">
            <v>S</v>
          </cell>
        </row>
        <row r="494">
          <cell r="D494" t="str">
            <v>徐从众</v>
          </cell>
          <cell r="E494" t="str">
            <v>A</v>
          </cell>
        </row>
        <row r="495">
          <cell r="C495">
            <v>539105328</v>
          </cell>
          <cell r="D495" t="str">
            <v>徐从众</v>
          </cell>
          <cell r="E495" t="str">
            <v>A</v>
          </cell>
        </row>
        <row r="496">
          <cell r="C496">
            <v>542789385</v>
          </cell>
          <cell r="D496" t="str">
            <v>徐从众</v>
          </cell>
          <cell r="E496" t="str">
            <v>S</v>
          </cell>
        </row>
        <row r="497">
          <cell r="C497">
            <v>1253971678</v>
          </cell>
          <cell r="D497" t="str">
            <v>徐从众</v>
          </cell>
          <cell r="E497" t="str">
            <v>S</v>
          </cell>
        </row>
        <row r="498">
          <cell r="C498">
            <v>507239119</v>
          </cell>
          <cell r="D498" t="str">
            <v>徐从众</v>
          </cell>
          <cell r="E498" t="str">
            <v>A</v>
          </cell>
        </row>
        <row r="499">
          <cell r="C499">
            <v>1338949923</v>
          </cell>
          <cell r="D499" t="str">
            <v>徐从众</v>
          </cell>
          <cell r="E499" t="str">
            <v>A</v>
          </cell>
        </row>
        <row r="500">
          <cell r="C500">
            <v>1335020956</v>
          </cell>
          <cell r="D500" t="str">
            <v>徐从众</v>
          </cell>
          <cell r="E500" t="str">
            <v>B</v>
          </cell>
        </row>
        <row r="501">
          <cell r="C501">
            <v>1330784266</v>
          </cell>
          <cell r="D501" t="str">
            <v>徐从众</v>
          </cell>
          <cell r="E501" t="str">
            <v>S</v>
          </cell>
        </row>
        <row r="502">
          <cell r="C502">
            <v>2160162</v>
          </cell>
          <cell r="D502" t="str">
            <v>徐从众</v>
          </cell>
          <cell r="E502" t="str">
            <v>S</v>
          </cell>
        </row>
        <row r="503">
          <cell r="C503">
            <v>1127673928</v>
          </cell>
          <cell r="D503" t="str">
            <v>徐从众</v>
          </cell>
          <cell r="E503" t="str">
            <v>A</v>
          </cell>
        </row>
        <row r="504">
          <cell r="C504">
            <v>1338435343</v>
          </cell>
          <cell r="D504" t="str">
            <v>徐从众</v>
          </cell>
          <cell r="E504" t="str">
            <v>S</v>
          </cell>
        </row>
        <row r="505">
          <cell r="C505">
            <v>1340449576</v>
          </cell>
          <cell r="D505" t="str">
            <v>徐从众</v>
          </cell>
          <cell r="E505" t="str">
            <v>S</v>
          </cell>
        </row>
        <row r="506">
          <cell r="C506">
            <v>1344934717</v>
          </cell>
          <cell r="D506" t="str">
            <v>岳贝贝</v>
          </cell>
          <cell r="E506" t="str">
            <v>B</v>
          </cell>
        </row>
        <row r="507">
          <cell r="C507" t="str">
            <v>无饿了么</v>
          </cell>
          <cell r="D507" t="str">
            <v>岳贝贝</v>
          </cell>
          <cell r="E507" t="str">
            <v>C</v>
          </cell>
        </row>
        <row r="508">
          <cell r="C508">
            <v>1335785268</v>
          </cell>
          <cell r="D508" t="str">
            <v>岳贝贝</v>
          </cell>
          <cell r="E508" t="str">
            <v>A</v>
          </cell>
        </row>
        <row r="509">
          <cell r="C509">
            <v>541568048</v>
          </cell>
          <cell r="D509" t="str">
            <v>岳贝贝</v>
          </cell>
          <cell r="E509" t="str">
            <v>B</v>
          </cell>
        </row>
        <row r="510">
          <cell r="C510">
            <v>541892697</v>
          </cell>
          <cell r="D510" t="str">
            <v>岳贝贝</v>
          </cell>
          <cell r="E510" t="str">
            <v>B</v>
          </cell>
        </row>
        <row r="511">
          <cell r="C511">
            <v>543736152</v>
          </cell>
          <cell r="D511" t="str">
            <v>岳贝贝</v>
          </cell>
          <cell r="E511" t="str">
            <v>B</v>
          </cell>
        </row>
        <row r="512">
          <cell r="C512">
            <v>1344924515</v>
          </cell>
          <cell r="D512" t="str">
            <v>岳贝贝</v>
          </cell>
          <cell r="E512" t="str">
            <v>C</v>
          </cell>
        </row>
        <row r="513">
          <cell r="C513">
            <v>1325576560</v>
          </cell>
          <cell r="D513" t="str">
            <v>岳贝贝</v>
          </cell>
          <cell r="E513" t="str">
            <v>B</v>
          </cell>
        </row>
        <row r="514">
          <cell r="C514">
            <v>543442971</v>
          </cell>
          <cell r="D514" t="str">
            <v>岳贝贝</v>
          </cell>
          <cell r="E514" t="str">
            <v>B</v>
          </cell>
        </row>
        <row r="515">
          <cell r="C515">
            <v>544210078</v>
          </cell>
          <cell r="D515" t="str">
            <v>岳贝贝</v>
          </cell>
          <cell r="E515" t="str">
            <v>B</v>
          </cell>
        </row>
        <row r="516">
          <cell r="C516">
            <v>541778143</v>
          </cell>
          <cell r="D516" t="str">
            <v>岳贝贝</v>
          </cell>
          <cell r="E516" t="str">
            <v>B</v>
          </cell>
        </row>
        <row r="517">
          <cell r="C517">
            <v>543100805</v>
          </cell>
          <cell r="D517" t="str">
            <v>岳贝贝</v>
          </cell>
          <cell r="E517" t="str">
            <v>A</v>
          </cell>
        </row>
        <row r="518">
          <cell r="C518">
            <v>33175402</v>
          </cell>
          <cell r="D518" t="str">
            <v>岳贝贝</v>
          </cell>
          <cell r="E518" t="str">
            <v>S</v>
          </cell>
        </row>
        <row r="519">
          <cell r="D519" t="str">
            <v>刘欢</v>
          </cell>
          <cell r="E519" t="str">
            <v>B</v>
          </cell>
        </row>
        <row r="520">
          <cell r="C520" t="str">
            <v>
1340382008</v>
          </cell>
          <cell r="D520" t="str">
            <v>刘欢</v>
          </cell>
          <cell r="E520" t="str">
            <v>B</v>
          </cell>
        </row>
        <row r="521">
          <cell r="C521">
            <v>1329516215</v>
          </cell>
          <cell r="D521" t="str">
            <v>徐从众</v>
          </cell>
          <cell r="E521" t="str">
            <v>A</v>
          </cell>
        </row>
        <row r="522">
          <cell r="C522">
            <v>538768911</v>
          </cell>
          <cell r="D522" t="str">
            <v>徐从众</v>
          </cell>
          <cell r="E522" t="str">
            <v>S</v>
          </cell>
        </row>
        <row r="523">
          <cell r="C523">
            <v>1335811534</v>
          </cell>
          <cell r="D523" t="str">
            <v>徐从众</v>
          </cell>
          <cell r="E523" t="str">
            <v>S</v>
          </cell>
        </row>
        <row r="524">
          <cell r="C524">
            <v>543528891</v>
          </cell>
          <cell r="D524" t="str">
            <v>徐从众</v>
          </cell>
          <cell r="E524" t="str">
            <v>S</v>
          </cell>
        </row>
        <row r="525">
          <cell r="C525">
            <v>1334891154</v>
          </cell>
          <cell r="D525" t="str">
            <v>徐从众</v>
          </cell>
          <cell r="E525" t="str">
            <v>A</v>
          </cell>
        </row>
        <row r="526">
          <cell r="C526">
            <v>1185973732</v>
          </cell>
          <cell r="D526" t="str">
            <v>徐从众</v>
          </cell>
          <cell r="E526" t="str">
            <v>B</v>
          </cell>
        </row>
        <row r="527">
          <cell r="C527">
            <v>544558577</v>
          </cell>
          <cell r="D527" t="str">
            <v>王森</v>
          </cell>
          <cell r="E527" t="str">
            <v>S</v>
          </cell>
        </row>
        <row r="528">
          <cell r="C528">
            <v>18939977628</v>
          </cell>
          <cell r="D528" t="str">
            <v>王森</v>
          </cell>
          <cell r="E528" t="str">
            <v>A</v>
          </cell>
        </row>
        <row r="529">
          <cell r="C529">
            <v>174271344</v>
          </cell>
          <cell r="D529" t="str">
            <v>王森</v>
          </cell>
          <cell r="E529" t="str">
            <v>S</v>
          </cell>
        </row>
        <row r="530">
          <cell r="C530">
            <v>1344262493</v>
          </cell>
          <cell r="D530" t="str">
            <v>王森</v>
          </cell>
          <cell r="E530" t="str">
            <v>S</v>
          </cell>
        </row>
        <row r="531">
          <cell r="C531">
            <v>543140597</v>
          </cell>
          <cell r="D531" t="str">
            <v>王森</v>
          </cell>
          <cell r="E531" t="str">
            <v>A</v>
          </cell>
        </row>
        <row r="532">
          <cell r="C532">
            <v>1127711584</v>
          </cell>
          <cell r="D532" t="str">
            <v>王森</v>
          </cell>
          <cell r="E532" t="str">
            <v>S</v>
          </cell>
        </row>
        <row r="533">
          <cell r="C533">
            <v>543737196</v>
          </cell>
          <cell r="D533" t="str">
            <v>王森</v>
          </cell>
          <cell r="E533" t="str">
            <v>S</v>
          </cell>
        </row>
        <row r="534">
          <cell r="C534">
            <v>543732390</v>
          </cell>
          <cell r="D534" t="str">
            <v>王森</v>
          </cell>
          <cell r="E534" t="str">
            <v>S</v>
          </cell>
        </row>
        <row r="535">
          <cell r="D535" t="str">
            <v>王森</v>
          </cell>
          <cell r="E535" t="str">
            <v>S</v>
          </cell>
        </row>
        <row r="536">
          <cell r="C536" t="str">
            <v>待建店</v>
          </cell>
          <cell r="D536" t="str">
            <v>徐从众</v>
          </cell>
          <cell r="E536" t="str">
            <v>S</v>
          </cell>
        </row>
        <row r="537">
          <cell r="C537">
            <v>1344260009</v>
          </cell>
          <cell r="D537" t="str">
            <v>王森</v>
          </cell>
          <cell r="E537" t="str">
            <v>A</v>
          </cell>
        </row>
        <row r="538">
          <cell r="C538">
            <v>1331573828</v>
          </cell>
          <cell r="D538" t="str">
            <v>王森</v>
          </cell>
        </row>
        <row r="539">
          <cell r="C539">
            <v>539970192</v>
          </cell>
          <cell r="D539" t="str">
            <v>王森</v>
          </cell>
        </row>
        <row r="540">
          <cell r="C540">
            <v>1345602273</v>
          </cell>
          <cell r="D540" t="str">
            <v>王森</v>
          </cell>
        </row>
        <row r="541">
          <cell r="C541">
            <v>1339085576</v>
          </cell>
          <cell r="D541" t="str">
            <v>王森</v>
          </cell>
        </row>
        <row r="542">
          <cell r="C542">
            <v>1346071843</v>
          </cell>
          <cell r="D542" t="str">
            <v>岳贝贝</v>
          </cell>
          <cell r="E542" t="str">
            <v>A</v>
          </cell>
        </row>
        <row r="543">
          <cell r="C543">
            <v>536696777</v>
          </cell>
          <cell r="D543" t="str">
            <v>刘欢</v>
          </cell>
          <cell r="E543" t="str">
            <v>C</v>
          </cell>
        </row>
        <row r="544">
          <cell r="C544">
            <v>1330809414</v>
          </cell>
          <cell r="D544" t="str">
            <v>刘欢</v>
          </cell>
          <cell r="E544" t="str">
            <v>A</v>
          </cell>
        </row>
        <row r="545">
          <cell r="C545">
            <v>1316552295</v>
          </cell>
          <cell r="D545" t="str">
            <v>刘欢</v>
          </cell>
          <cell r="E545" t="str">
            <v>B</v>
          </cell>
        </row>
        <row r="546">
          <cell r="C546">
            <v>530210729</v>
          </cell>
          <cell r="D546" t="str">
            <v>刘欢</v>
          </cell>
          <cell r="E546" t="str">
            <v>S</v>
          </cell>
        </row>
        <row r="547">
          <cell r="C547">
            <v>1341854058</v>
          </cell>
          <cell r="D547" t="str">
            <v>刘欢</v>
          </cell>
          <cell r="E547" t="str">
            <v>C</v>
          </cell>
        </row>
        <row r="548">
          <cell r="C548">
            <v>541777965</v>
          </cell>
          <cell r="D548" t="str">
            <v>刘欢</v>
          </cell>
          <cell r="E548" t="str">
            <v>B</v>
          </cell>
        </row>
        <row r="549">
          <cell r="C549">
            <v>162500284</v>
          </cell>
          <cell r="D549" t="str">
            <v>刘欢</v>
          </cell>
          <cell r="E549" t="str">
            <v>S</v>
          </cell>
        </row>
        <row r="550">
          <cell r="D550" t="str">
            <v>刘欢</v>
          </cell>
          <cell r="E550" t="str">
            <v>A</v>
          </cell>
        </row>
        <row r="551">
          <cell r="C551">
            <v>2062336071</v>
          </cell>
          <cell r="D551" t="str">
            <v>刘欢</v>
          </cell>
          <cell r="E551" t="str">
            <v>B</v>
          </cell>
        </row>
        <row r="552">
          <cell r="C552">
            <v>544061558</v>
          </cell>
          <cell r="D552" t="str">
            <v>刘欢</v>
          </cell>
          <cell r="E552" t="str">
            <v>A</v>
          </cell>
        </row>
        <row r="553">
          <cell r="C553" t="str">
            <v>
1202056121</v>
          </cell>
          <cell r="D553" t="str">
            <v>刘欢</v>
          </cell>
          <cell r="E553" t="str">
            <v>A</v>
          </cell>
        </row>
        <row r="554">
          <cell r="C554">
            <v>1343038681</v>
          </cell>
          <cell r="D554" t="str">
            <v>刘欢</v>
          </cell>
          <cell r="E554" t="str">
            <v>B</v>
          </cell>
        </row>
        <row r="555">
          <cell r="C555">
            <v>522100246</v>
          </cell>
          <cell r="D555" t="str">
            <v>刘欢</v>
          </cell>
          <cell r="E555" t="str">
            <v>C</v>
          </cell>
        </row>
        <row r="556">
          <cell r="C556">
            <v>1339025895</v>
          </cell>
          <cell r="D556" t="str">
            <v>刘欢</v>
          </cell>
          <cell r="E556" t="str">
            <v>C</v>
          </cell>
        </row>
        <row r="557">
          <cell r="C557">
            <v>542935539</v>
          </cell>
          <cell r="D557" t="str">
            <v>刘欢</v>
          </cell>
          <cell r="E557" t="str">
            <v>C</v>
          </cell>
        </row>
        <row r="558">
          <cell r="C558">
            <v>544253678</v>
          </cell>
          <cell r="D558" t="str">
            <v>王森</v>
          </cell>
          <cell r="E558" t="str">
            <v>S</v>
          </cell>
        </row>
        <row r="559">
          <cell r="C559">
            <v>1314009947</v>
          </cell>
          <cell r="D559" t="str">
            <v>王森</v>
          </cell>
          <cell r="E559" t="str">
            <v>C</v>
          </cell>
        </row>
        <row r="560">
          <cell r="C560" t="str">
            <v>无</v>
          </cell>
          <cell r="D560">
            <v>1</v>
          </cell>
        </row>
        <row r="561">
          <cell r="C561">
            <v>1293402573</v>
          </cell>
          <cell r="D561" t="str">
            <v>王森</v>
          </cell>
          <cell r="E561" t="str">
            <v>S</v>
          </cell>
        </row>
        <row r="562">
          <cell r="C562">
            <v>530347086</v>
          </cell>
          <cell r="D562" t="str">
            <v>岳贝贝</v>
          </cell>
          <cell r="E562" t="str">
            <v>B</v>
          </cell>
        </row>
        <row r="563">
          <cell r="C563">
            <v>543925649</v>
          </cell>
          <cell r="D563" t="str">
            <v>岳贝贝</v>
          </cell>
          <cell r="E563" t="str">
            <v>B</v>
          </cell>
        </row>
        <row r="564">
          <cell r="C564" t="str">
            <v>
1294864398</v>
          </cell>
          <cell r="D564" t="str">
            <v>岳贝贝</v>
          </cell>
          <cell r="E564" t="str">
            <v>B</v>
          </cell>
        </row>
        <row r="565">
          <cell r="C565">
            <v>1347193412</v>
          </cell>
          <cell r="D565" t="str">
            <v>岳贝贝</v>
          </cell>
          <cell r="E565" t="str">
            <v>B</v>
          </cell>
        </row>
        <row r="566">
          <cell r="C566">
            <v>1346859243</v>
          </cell>
          <cell r="D566" t="str">
            <v>岳贝贝</v>
          </cell>
          <cell r="E566" t="str">
            <v>B</v>
          </cell>
        </row>
        <row r="567">
          <cell r="C567">
            <v>1347814753</v>
          </cell>
          <cell r="D567" t="str">
            <v>岳贝贝</v>
          </cell>
          <cell r="E567" t="str">
            <v>B</v>
          </cell>
        </row>
        <row r="568">
          <cell r="C568">
            <v>542824443</v>
          </cell>
          <cell r="D568" t="str">
            <v>岳贝贝</v>
          </cell>
          <cell r="E568" t="str">
            <v>B</v>
          </cell>
        </row>
        <row r="569">
          <cell r="C569">
            <v>1352099016</v>
          </cell>
          <cell r="D569" t="str">
            <v>岳贝贝</v>
          </cell>
          <cell r="E569" t="str">
            <v>B</v>
          </cell>
        </row>
        <row r="570">
          <cell r="C570">
            <v>1346898792</v>
          </cell>
          <cell r="D570" t="str">
            <v>岳贝贝</v>
          </cell>
          <cell r="E570" t="str">
            <v>A</v>
          </cell>
        </row>
        <row r="571">
          <cell r="C571">
            <v>544253178</v>
          </cell>
          <cell r="D571" t="str">
            <v>岳贝贝</v>
          </cell>
          <cell r="E571" t="str">
            <v>B</v>
          </cell>
        </row>
        <row r="572">
          <cell r="C572">
            <v>541295201</v>
          </cell>
          <cell r="D572" t="str">
            <v>岳贝贝</v>
          </cell>
          <cell r="E572" t="str">
            <v>C</v>
          </cell>
        </row>
        <row r="573">
          <cell r="C573">
            <v>544937373</v>
          </cell>
          <cell r="D573" t="str">
            <v>岳贝贝</v>
          </cell>
          <cell r="E573" t="str">
            <v>A</v>
          </cell>
        </row>
        <row r="574">
          <cell r="C574">
            <v>1338598526</v>
          </cell>
          <cell r="D574" t="str">
            <v>岳贝贝</v>
          </cell>
          <cell r="E574" t="str">
            <v>D</v>
          </cell>
        </row>
        <row r="575">
          <cell r="C575">
            <v>33485243</v>
          </cell>
          <cell r="D575" t="str">
            <v>岳贝贝</v>
          </cell>
          <cell r="E575" t="str">
            <v>A</v>
          </cell>
        </row>
        <row r="576">
          <cell r="C576">
            <v>544750002</v>
          </cell>
          <cell r="D576" t="str">
            <v>岳贝贝</v>
          </cell>
          <cell r="E576" t="str">
            <v>A</v>
          </cell>
        </row>
        <row r="577">
          <cell r="C577">
            <v>1308999853</v>
          </cell>
          <cell r="D577" t="str">
            <v>岳贝贝</v>
          </cell>
          <cell r="E577" t="str">
            <v>D</v>
          </cell>
        </row>
        <row r="578">
          <cell r="C578">
            <v>543461836</v>
          </cell>
          <cell r="D578" t="str">
            <v>岳贝贝</v>
          </cell>
          <cell r="E578" t="str">
            <v>A</v>
          </cell>
        </row>
        <row r="579">
          <cell r="C579">
            <v>1272597171</v>
          </cell>
          <cell r="D579" t="str">
            <v>王森</v>
          </cell>
        </row>
        <row r="580">
          <cell r="C580">
            <v>1338097277</v>
          </cell>
          <cell r="D580" t="str">
            <v>王森</v>
          </cell>
        </row>
        <row r="581">
          <cell r="D581" t="str">
            <v>王森</v>
          </cell>
        </row>
        <row r="582">
          <cell r="C582">
            <v>26319</v>
          </cell>
          <cell r="D582" t="str">
            <v>徐从众</v>
          </cell>
          <cell r="E582" t="str">
            <v>S</v>
          </cell>
        </row>
        <row r="583">
          <cell r="D583" t="str">
            <v>徐从众</v>
          </cell>
          <cell r="E583" t="str">
            <v>A</v>
          </cell>
        </row>
        <row r="584">
          <cell r="C584">
            <v>540341636</v>
          </cell>
          <cell r="D584" t="str">
            <v>徐从众</v>
          </cell>
          <cell r="E584" t="str">
            <v>B</v>
          </cell>
        </row>
        <row r="585">
          <cell r="C585">
            <v>168371816</v>
          </cell>
          <cell r="D585" t="str">
            <v>徐从众</v>
          </cell>
          <cell r="E585" t="str">
            <v>S</v>
          </cell>
        </row>
        <row r="586">
          <cell r="C586">
            <v>529511969</v>
          </cell>
          <cell r="D586" t="str">
            <v>徐从众</v>
          </cell>
          <cell r="E586" t="str">
            <v>S</v>
          </cell>
        </row>
        <row r="587">
          <cell r="C587">
            <v>1979109</v>
          </cell>
          <cell r="D587" t="str">
            <v>徐从众</v>
          </cell>
          <cell r="E587" t="str">
            <v>S</v>
          </cell>
        </row>
        <row r="588">
          <cell r="C588">
            <v>1979108</v>
          </cell>
          <cell r="D588" t="str">
            <v>徐从众</v>
          </cell>
          <cell r="E588" t="str">
            <v>S</v>
          </cell>
        </row>
        <row r="589">
          <cell r="C589">
            <v>1979107</v>
          </cell>
          <cell r="D589" t="str">
            <v>徐从众</v>
          </cell>
          <cell r="E589" t="str">
            <v>S</v>
          </cell>
        </row>
        <row r="590">
          <cell r="C590">
            <v>1979110</v>
          </cell>
          <cell r="D590" t="str">
            <v>徐从众</v>
          </cell>
          <cell r="E590" t="str">
            <v>S</v>
          </cell>
        </row>
        <row r="591">
          <cell r="C591">
            <v>1345607766</v>
          </cell>
          <cell r="D591" t="str">
            <v>徐从众</v>
          </cell>
          <cell r="E591" t="str">
            <v>S</v>
          </cell>
        </row>
        <row r="592">
          <cell r="C592">
            <v>1343019122</v>
          </cell>
          <cell r="D592" t="str">
            <v>徐从众</v>
          </cell>
          <cell r="E592" t="str">
            <v>S</v>
          </cell>
        </row>
        <row r="593">
          <cell r="C593">
            <v>543142524</v>
          </cell>
          <cell r="D593" t="str">
            <v>徐从众</v>
          </cell>
          <cell r="E593" t="str">
            <v>S</v>
          </cell>
        </row>
        <row r="594">
          <cell r="C594">
            <v>1346126304</v>
          </cell>
          <cell r="D594" t="str">
            <v>徐从众</v>
          </cell>
          <cell r="E594" t="str">
            <v>S</v>
          </cell>
        </row>
        <row r="595">
          <cell r="C595">
            <v>543755532</v>
          </cell>
          <cell r="D595" t="str">
            <v>徐从众</v>
          </cell>
          <cell r="E595" t="str">
            <v>S</v>
          </cell>
        </row>
        <row r="596">
          <cell r="C596">
            <v>542892347</v>
          </cell>
          <cell r="D596" t="str">
            <v>刘欢</v>
          </cell>
          <cell r="E596" t="str">
            <v>C</v>
          </cell>
        </row>
        <row r="597">
          <cell r="C597">
            <v>543877783</v>
          </cell>
          <cell r="D597" t="str">
            <v>刘欢</v>
          </cell>
          <cell r="E597" t="str">
            <v>C</v>
          </cell>
        </row>
        <row r="598">
          <cell r="C598">
            <v>1341870559</v>
          </cell>
          <cell r="D598" t="str">
            <v>刘欢</v>
          </cell>
          <cell r="E598" t="str">
            <v>B</v>
          </cell>
        </row>
        <row r="599">
          <cell r="C599">
            <v>1328031588</v>
          </cell>
          <cell r="D599" t="str">
            <v>刘欢</v>
          </cell>
          <cell r="E599" t="str">
            <v>A</v>
          </cell>
        </row>
        <row r="600">
          <cell r="C600" t="str">
            <v>543701033
</v>
          </cell>
          <cell r="D600" t="str">
            <v>刘欢</v>
          </cell>
          <cell r="E600" t="str">
            <v>C</v>
          </cell>
        </row>
        <row r="601">
          <cell r="C601">
            <v>1338945252</v>
          </cell>
          <cell r="D601" t="str">
            <v>刘欢</v>
          </cell>
          <cell r="E601" t="str">
            <v>C</v>
          </cell>
        </row>
        <row r="602">
          <cell r="C602">
            <v>1335790020</v>
          </cell>
          <cell r="D602" t="str">
            <v>刘欢</v>
          </cell>
          <cell r="E602" t="str">
            <v>C</v>
          </cell>
        </row>
        <row r="603">
          <cell r="C603">
            <v>1327946970</v>
          </cell>
          <cell r="D603" t="str">
            <v>刘欢</v>
          </cell>
          <cell r="E603" t="str">
            <v>C</v>
          </cell>
        </row>
        <row r="604">
          <cell r="C604">
            <v>543575459</v>
          </cell>
          <cell r="D604" t="str">
            <v>刘欢</v>
          </cell>
          <cell r="E604" t="str">
            <v>C</v>
          </cell>
        </row>
        <row r="605">
          <cell r="C605">
            <v>1342368722</v>
          </cell>
          <cell r="D605" t="str">
            <v>刘欢</v>
          </cell>
          <cell r="E605" t="str">
            <v>C</v>
          </cell>
        </row>
        <row r="606">
          <cell r="C606">
            <v>543542072</v>
          </cell>
          <cell r="D606" t="str">
            <v>刘欢</v>
          </cell>
          <cell r="E606" t="str">
            <v>C</v>
          </cell>
        </row>
        <row r="607">
          <cell r="D607" t="str">
            <v>刘欢</v>
          </cell>
          <cell r="E607" t="str">
            <v>C</v>
          </cell>
        </row>
        <row r="608">
          <cell r="C608">
            <v>1332560857</v>
          </cell>
          <cell r="D608" t="str">
            <v>刘欢</v>
          </cell>
          <cell r="E608" t="str">
            <v>C</v>
          </cell>
        </row>
        <row r="609">
          <cell r="C609">
            <v>1342825172</v>
          </cell>
          <cell r="D609" t="str">
            <v>刘欢</v>
          </cell>
          <cell r="E609" t="str">
            <v>B</v>
          </cell>
        </row>
        <row r="610">
          <cell r="C610">
            <v>543511106</v>
          </cell>
          <cell r="D610" t="str">
            <v>王森</v>
          </cell>
        </row>
        <row r="611">
          <cell r="D611" t="str">
            <v>王森</v>
          </cell>
        </row>
        <row r="612">
          <cell r="C612">
            <v>544748583</v>
          </cell>
          <cell r="D612" t="str">
            <v>王森</v>
          </cell>
        </row>
        <row r="613">
          <cell r="C613">
            <v>1338037737</v>
          </cell>
          <cell r="D613" t="str">
            <v>王森</v>
          </cell>
        </row>
        <row r="614">
          <cell r="D614" t="str">
            <v>王森</v>
          </cell>
        </row>
        <row r="615">
          <cell r="C615">
            <v>1327863949</v>
          </cell>
          <cell r="D615" t="str">
            <v>徐从众</v>
          </cell>
          <cell r="E615" t="str">
            <v>S</v>
          </cell>
        </row>
        <row r="616">
          <cell r="C616">
            <v>544795388</v>
          </cell>
          <cell r="D616" t="str">
            <v>徐从众</v>
          </cell>
          <cell r="E616" t="str">
            <v>S</v>
          </cell>
        </row>
        <row r="617">
          <cell r="C617">
            <v>1348265901</v>
          </cell>
          <cell r="D617" t="str">
            <v>徐从众</v>
          </cell>
          <cell r="E617" t="str">
            <v>S</v>
          </cell>
        </row>
        <row r="618">
          <cell r="C618">
            <v>1342015935</v>
          </cell>
          <cell r="D618" t="str">
            <v>刘欢</v>
          </cell>
          <cell r="E618" t="str">
            <v>C</v>
          </cell>
        </row>
        <row r="619">
          <cell r="C619">
            <v>1259030105</v>
          </cell>
          <cell r="D619" t="str">
            <v>刘欢</v>
          </cell>
          <cell r="E619" t="str">
            <v>C</v>
          </cell>
        </row>
        <row r="620">
          <cell r="C620">
            <v>1112472020</v>
          </cell>
          <cell r="D620" t="str">
            <v>刘欢</v>
          </cell>
          <cell r="E620" t="str">
            <v>C</v>
          </cell>
        </row>
        <row r="621">
          <cell r="C621">
            <v>544154672</v>
          </cell>
          <cell r="D621" t="str">
            <v>刘欢</v>
          </cell>
          <cell r="E621" t="str">
            <v>C</v>
          </cell>
        </row>
        <row r="622">
          <cell r="C622">
            <v>1341432985</v>
          </cell>
          <cell r="D622" t="str">
            <v>刘欢</v>
          </cell>
          <cell r="E622" t="str">
            <v>C</v>
          </cell>
        </row>
        <row r="623">
          <cell r="C623">
            <v>1346884369</v>
          </cell>
          <cell r="D623" t="str">
            <v>刘欢</v>
          </cell>
          <cell r="E623" t="str">
            <v>C</v>
          </cell>
        </row>
        <row r="624">
          <cell r="C624">
            <v>1350433685</v>
          </cell>
          <cell r="D624" t="str">
            <v>刘欢</v>
          </cell>
          <cell r="E624" t="str">
            <v>B</v>
          </cell>
        </row>
        <row r="625">
          <cell r="C625">
            <v>1345236226</v>
          </cell>
          <cell r="D625" t="str">
            <v>刘欢</v>
          </cell>
          <cell r="E625" t="str">
            <v>B</v>
          </cell>
        </row>
        <row r="626">
          <cell r="C626">
            <v>543327957</v>
          </cell>
          <cell r="D626" t="str">
            <v>刘欢</v>
          </cell>
        </row>
        <row r="627">
          <cell r="C627">
            <v>1331456663</v>
          </cell>
          <cell r="D627" t="str">
            <v>刘欢</v>
          </cell>
          <cell r="E627" t="str">
            <v>B</v>
          </cell>
        </row>
        <row r="628">
          <cell r="C628">
            <v>1333690508</v>
          </cell>
          <cell r="D628" t="str">
            <v>刘欢</v>
          </cell>
          <cell r="E628" t="str">
            <v>B</v>
          </cell>
        </row>
        <row r="629">
          <cell r="C629">
            <v>544061585</v>
          </cell>
          <cell r="D629" t="str">
            <v>刘欢</v>
          </cell>
          <cell r="E629" t="str">
            <v>B</v>
          </cell>
        </row>
        <row r="630">
          <cell r="C630">
            <v>509142305</v>
          </cell>
          <cell r="D630" t="str">
            <v>刘欢</v>
          </cell>
          <cell r="E630" t="str">
            <v>C</v>
          </cell>
        </row>
        <row r="631">
          <cell r="C631">
            <v>526540003</v>
          </cell>
          <cell r="D631" t="str">
            <v>刘欢</v>
          </cell>
          <cell r="E631" t="str">
            <v>C</v>
          </cell>
        </row>
        <row r="632">
          <cell r="C632">
            <v>1268614739</v>
          </cell>
          <cell r="D632" t="str">
            <v>刘欢</v>
          </cell>
        </row>
        <row r="633">
          <cell r="C633">
            <v>1343105886</v>
          </cell>
          <cell r="D633" t="str">
            <v>刘欢</v>
          </cell>
        </row>
        <row r="634">
          <cell r="C634">
            <v>1319942839</v>
          </cell>
          <cell r="D634" t="str">
            <v>刘欢</v>
          </cell>
        </row>
        <row r="635">
          <cell r="D635" t="str">
            <v>刘欢</v>
          </cell>
          <cell r="E635" t="str">
            <v>S</v>
          </cell>
        </row>
        <row r="636">
          <cell r="C636">
            <v>1350818373</v>
          </cell>
          <cell r="D636" t="str">
            <v>王森</v>
          </cell>
          <cell r="E636" t="str">
            <v>A</v>
          </cell>
        </row>
        <row r="637">
          <cell r="C637">
            <v>1214973620</v>
          </cell>
          <cell r="D637" t="str">
            <v>王森</v>
          </cell>
          <cell r="E637" t="str">
            <v>A</v>
          </cell>
        </row>
        <row r="638">
          <cell r="C638">
            <v>1214973620</v>
          </cell>
          <cell r="D638" t="str">
            <v>王森</v>
          </cell>
          <cell r="E638" t="str">
            <v>A</v>
          </cell>
        </row>
        <row r="639">
          <cell r="C639">
            <v>541775413</v>
          </cell>
          <cell r="D639" t="str">
            <v>王森</v>
          </cell>
        </row>
        <row r="640">
          <cell r="C640" t="str">
            <v>无</v>
          </cell>
          <cell r="D640" t="str">
            <v>王森</v>
          </cell>
        </row>
        <row r="641">
          <cell r="C641">
            <v>1340347787</v>
          </cell>
          <cell r="D641" t="str">
            <v>王森</v>
          </cell>
        </row>
        <row r="642">
          <cell r="C642" t="str">
            <v>无</v>
          </cell>
          <cell r="D642" t="str">
            <v>王森</v>
          </cell>
        </row>
        <row r="643">
          <cell r="C643">
            <v>523052916</v>
          </cell>
          <cell r="D643" t="str">
            <v>王森</v>
          </cell>
        </row>
        <row r="644">
          <cell r="C644">
            <v>530295605</v>
          </cell>
          <cell r="D644" t="str">
            <v>王森</v>
          </cell>
        </row>
        <row r="645">
          <cell r="C645">
            <v>1335870220</v>
          </cell>
          <cell r="D645" t="str">
            <v>王森</v>
          </cell>
        </row>
        <row r="646">
          <cell r="C646">
            <v>1322315091</v>
          </cell>
          <cell r="D646" t="str">
            <v>王森</v>
          </cell>
        </row>
        <row r="647">
          <cell r="C647" t="str">
            <v>无</v>
          </cell>
          <cell r="D647" t="str">
            <v>王森</v>
          </cell>
        </row>
        <row r="648">
          <cell r="D648" t="str">
            <v>徐从众</v>
          </cell>
          <cell r="E648" t="str">
            <v>S</v>
          </cell>
        </row>
        <row r="649">
          <cell r="C649">
            <v>1353369934</v>
          </cell>
          <cell r="D649" t="str">
            <v>徐从众</v>
          </cell>
          <cell r="E649" t="str">
            <v>S</v>
          </cell>
        </row>
        <row r="650">
          <cell r="C650">
            <v>1351700534</v>
          </cell>
          <cell r="D650" t="str">
            <v>徐从众</v>
          </cell>
          <cell r="E650" t="str">
            <v>S</v>
          </cell>
        </row>
        <row r="651">
          <cell r="C651">
            <v>543766685</v>
          </cell>
          <cell r="D651" t="str">
            <v>徐从众</v>
          </cell>
          <cell r="E651" t="str">
            <v>B</v>
          </cell>
        </row>
        <row r="652">
          <cell r="C652">
            <v>1337833142</v>
          </cell>
          <cell r="D652" t="str">
            <v>徐从众</v>
          </cell>
          <cell r="E652" t="str">
            <v>B</v>
          </cell>
        </row>
        <row r="653">
          <cell r="C653">
            <v>1308650401</v>
          </cell>
          <cell r="D653" t="str">
            <v>徐从众</v>
          </cell>
          <cell r="E653" t="str">
            <v>S</v>
          </cell>
        </row>
        <row r="654">
          <cell r="C654">
            <v>1344248966</v>
          </cell>
          <cell r="D654" t="str">
            <v>徐从众</v>
          </cell>
          <cell r="E654" t="str">
            <v>S</v>
          </cell>
        </row>
        <row r="655">
          <cell r="C655">
            <v>1308715853</v>
          </cell>
          <cell r="D655" t="str">
            <v>徐从众</v>
          </cell>
          <cell r="E655" t="str">
            <v>B</v>
          </cell>
        </row>
        <row r="656">
          <cell r="C656">
            <v>1310404363</v>
          </cell>
          <cell r="D656" t="str">
            <v>王森</v>
          </cell>
        </row>
        <row r="657">
          <cell r="D657" t="str">
            <v>王森</v>
          </cell>
        </row>
        <row r="658">
          <cell r="C658">
            <v>544082445</v>
          </cell>
          <cell r="D658" t="str">
            <v>王森</v>
          </cell>
        </row>
        <row r="659">
          <cell r="C659">
            <v>2135174482</v>
          </cell>
          <cell r="D659" t="str">
            <v>岳贝贝</v>
          </cell>
          <cell r="E659" t="str">
            <v>D</v>
          </cell>
        </row>
        <row r="660">
          <cell r="C660">
            <v>542742591</v>
          </cell>
          <cell r="D660" t="str">
            <v>岳贝贝</v>
          </cell>
          <cell r="E660" t="str">
            <v>B</v>
          </cell>
        </row>
        <row r="661">
          <cell r="C661">
            <v>1352233024</v>
          </cell>
          <cell r="D661" t="str">
            <v>岳贝贝</v>
          </cell>
          <cell r="E661" t="str">
            <v>A</v>
          </cell>
        </row>
        <row r="662">
          <cell r="C662">
            <v>1351585340</v>
          </cell>
          <cell r="D662" t="str">
            <v>岳贝贝</v>
          </cell>
          <cell r="E662" t="str">
            <v>B</v>
          </cell>
        </row>
        <row r="663">
          <cell r="C663">
            <v>17802156678</v>
          </cell>
          <cell r="D663" t="str">
            <v>岳贝贝</v>
          </cell>
          <cell r="E663" t="str">
            <v>S</v>
          </cell>
        </row>
        <row r="664">
          <cell r="C664" t="str">
            <v>无</v>
          </cell>
          <cell r="D664" t="str">
            <v>王森</v>
          </cell>
        </row>
        <row r="665">
          <cell r="C665">
            <v>1341951727</v>
          </cell>
          <cell r="D665" t="str">
            <v>王森</v>
          </cell>
        </row>
        <row r="666">
          <cell r="D666" t="str">
            <v>王森</v>
          </cell>
        </row>
        <row r="667">
          <cell r="C667">
            <v>542984542</v>
          </cell>
          <cell r="D667" t="str">
            <v>王森</v>
          </cell>
        </row>
        <row r="668">
          <cell r="C668">
            <v>544312785</v>
          </cell>
          <cell r="D668" t="str">
            <v>王森</v>
          </cell>
        </row>
        <row r="669">
          <cell r="D669" t="str">
            <v>徐从众</v>
          </cell>
          <cell r="E669" t="str">
            <v>S</v>
          </cell>
        </row>
        <row r="670">
          <cell r="C670">
            <v>1352891949</v>
          </cell>
          <cell r="D670" t="str">
            <v>徐从众</v>
          </cell>
          <cell r="E670" t="str">
            <v>S</v>
          </cell>
        </row>
        <row r="671">
          <cell r="C671">
            <v>542498188</v>
          </cell>
          <cell r="D671" t="str">
            <v>徐从众</v>
          </cell>
          <cell r="E671" t="str">
            <v>S</v>
          </cell>
        </row>
        <row r="672">
          <cell r="C672">
            <v>543327957</v>
          </cell>
          <cell r="D672" t="str">
            <v>刘欢</v>
          </cell>
        </row>
        <row r="673">
          <cell r="C673">
            <v>544340684</v>
          </cell>
          <cell r="D673" t="str">
            <v>刘欢</v>
          </cell>
        </row>
        <row r="674">
          <cell r="C674">
            <v>1351707985</v>
          </cell>
          <cell r="D674" t="str">
            <v>刘欢</v>
          </cell>
          <cell r="E674" t="str">
            <v>C</v>
          </cell>
        </row>
        <row r="675">
          <cell r="C675" t="str">
            <v>544466825
</v>
          </cell>
          <cell r="D675" t="str">
            <v>刘欢</v>
          </cell>
          <cell r="E675" t="str">
            <v>S</v>
          </cell>
        </row>
        <row r="676">
          <cell r="C676">
            <v>544312520</v>
          </cell>
          <cell r="D676" t="str">
            <v>刘欢</v>
          </cell>
        </row>
        <row r="677">
          <cell r="C677">
            <v>544361054</v>
          </cell>
          <cell r="D677" t="str">
            <v>刘欢</v>
          </cell>
          <cell r="E677" t="str">
            <v>C</v>
          </cell>
        </row>
        <row r="678">
          <cell r="C678">
            <v>1349669876</v>
          </cell>
          <cell r="D678" t="str">
            <v>刘欢</v>
          </cell>
        </row>
        <row r="679">
          <cell r="C679">
            <v>1341031786</v>
          </cell>
          <cell r="D679" t="str">
            <v>刘欢</v>
          </cell>
        </row>
        <row r="680">
          <cell r="C680">
            <v>1351002332</v>
          </cell>
          <cell r="D680" t="str">
            <v>刘欢</v>
          </cell>
        </row>
        <row r="681">
          <cell r="C681">
            <v>544035963</v>
          </cell>
          <cell r="D681" t="str">
            <v>刘欢</v>
          </cell>
        </row>
        <row r="682">
          <cell r="C682">
            <v>1342943596</v>
          </cell>
          <cell r="D682" t="str">
            <v>刘欢</v>
          </cell>
        </row>
        <row r="683">
          <cell r="C683">
            <v>542857729</v>
          </cell>
          <cell r="D683" t="str">
            <v>刘欢</v>
          </cell>
        </row>
        <row r="684">
          <cell r="C684">
            <v>544935084</v>
          </cell>
          <cell r="D684" t="str">
            <v>刘欢</v>
          </cell>
        </row>
        <row r="685">
          <cell r="C685">
            <v>544254222</v>
          </cell>
          <cell r="D685" t="str">
            <v>刘欢</v>
          </cell>
        </row>
        <row r="686">
          <cell r="C686">
            <v>1345600513</v>
          </cell>
          <cell r="D686" t="str">
            <v>刘欢</v>
          </cell>
        </row>
        <row r="687">
          <cell r="C687">
            <v>1345859595</v>
          </cell>
          <cell r="D687" t="str">
            <v>刘欢</v>
          </cell>
        </row>
        <row r="688">
          <cell r="C688">
            <v>1343027419</v>
          </cell>
          <cell r="D688" t="str">
            <v>刘欢</v>
          </cell>
        </row>
        <row r="689">
          <cell r="C689">
            <v>544341224</v>
          </cell>
          <cell r="D689" t="str">
            <v>刘欢</v>
          </cell>
          <cell r="E689" t="str">
            <v>A</v>
          </cell>
        </row>
        <row r="690">
          <cell r="C690">
            <v>543707119</v>
          </cell>
          <cell r="D690" t="str">
            <v>刘欢</v>
          </cell>
          <cell r="E690" t="str">
            <v>A</v>
          </cell>
        </row>
        <row r="691">
          <cell r="C691">
            <v>1317617664</v>
          </cell>
          <cell r="D691" t="str">
            <v>刘欢</v>
          </cell>
          <cell r="E691" t="str">
            <v>A</v>
          </cell>
        </row>
        <row r="692">
          <cell r="C692">
            <v>162149018</v>
          </cell>
          <cell r="D692" t="str">
            <v>刘欢</v>
          </cell>
          <cell r="E692" t="str">
            <v>A</v>
          </cell>
        </row>
        <row r="693">
          <cell r="C693">
            <v>543921914</v>
          </cell>
          <cell r="D693" t="str">
            <v>刘欢</v>
          </cell>
          <cell r="E693" t="str">
            <v>A</v>
          </cell>
        </row>
        <row r="694">
          <cell r="C694">
            <v>1348100296</v>
          </cell>
          <cell r="D694" t="str">
            <v>刘欢</v>
          </cell>
          <cell r="E694" t="str">
            <v>C</v>
          </cell>
        </row>
        <row r="695">
          <cell r="C695">
            <v>541784034</v>
          </cell>
          <cell r="D695" t="str">
            <v>刘欢</v>
          </cell>
          <cell r="E695" t="str">
            <v>C</v>
          </cell>
        </row>
        <row r="696">
          <cell r="C696">
            <v>1350922894</v>
          </cell>
          <cell r="D696" t="str">
            <v>刘欢</v>
          </cell>
          <cell r="E696" t="str">
            <v>C</v>
          </cell>
        </row>
        <row r="697">
          <cell r="C697">
            <v>543975134</v>
          </cell>
          <cell r="D697" t="str">
            <v>刘欢</v>
          </cell>
          <cell r="E697" t="str">
            <v>C</v>
          </cell>
        </row>
        <row r="698">
          <cell r="C698">
            <v>1342035855</v>
          </cell>
          <cell r="D698" t="str">
            <v>刘欢</v>
          </cell>
          <cell r="E698" t="str">
            <v>C</v>
          </cell>
        </row>
        <row r="699">
          <cell r="C699">
            <v>541351971</v>
          </cell>
          <cell r="D699" t="str">
            <v>刘欢</v>
          </cell>
          <cell r="E699" t="str">
            <v>C</v>
          </cell>
        </row>
        <row r="700">
          <cell r="C700">
            <v>544688068</v>
          </cell>
          <cell r="D700" t="str">
            <v>刘欢</v>
          </cell>
          <cell r="E700" t="str">
            <v>C</v>
          </cell>
        </row>
        <row r="701">
          <cell r="C701">
            <v>543910034</v>
          </cell>
          <cell r="D701" t="str">
            <v>刘欢</v>
          </cell>
          <cell r="E701" t="str">
            <v>C</v>
          </cell>
        </row>
        <row r="702">
          <cell r="C702">
            <v>1308690772</v>
          </cell>
          <cell r="D702" t="str">
            <v>刘欢</v>
          </cell>
          <cell r="E702" t="str">
            <v>B</v>
          </cell>
        </row>
        <row r="703">
          <cell r="C703">
            <v>1327935751</v>
          </cell>
          <cell r="D703" t="str">
            <v>刘欢</v>
          </cell>
          <cell r="E703" t="str">
            <v>C</v>
          </cell>
        </row>
        <row r="704">
          <cell r="C704">
            <v>1330834558</v>
          </cell>
          <cell r="D704" t="str">
            <v>刘欢</v>
          </cell>
          <cell r="E704" t="str">
            <v>C</v>
          </cell>
        </row>
        <row r="705">
          <cell r="C705">
            <v>544968962</v>
          </cell>
          <cell r="D705" t="str">
            <v>刘欢</v>
          </cell>
          <cell r="E705" t="str">
            <v>C</v>
          </cell>
        </row>
        <row r="706">
          <cell r="C706">
            <v>538591844</v>
          </cell>
          <cell r="D706" t="str">
            <v>刘欢</v>
          </cell>
          <cell r="E706" t="str">
            <v>C</v>
          </cell>
        </row>
        <row r="707">
          <cell r="C707">
            <v>1266874917</v>
          </cell>
          <cell r="D707" t="str">
            <v>刘欢</v>
          </cell>
          <cell r="E707" t="str">
            <v>C</v>
          </cell>
        </row>
        <row r="708">
          <cell r="C708">
            <v>1268164934</v>
          </cell>
          <cell r="D708" t="str">
            <v>刘欢</v>
          </cell>
          <cell r="E708" t="str">
            <v>C</v>
          </cell>
        </row>
        <row r="709">
          <cell r="C709">
            <v>2042752597</v>
          </cell>
          <cell r="D709" t="str">
            <v>刘欢</v>
          </cell>
          <cell r="E709" t="str">
            <v>A</v>
          </cell>
        </row>
        <row r="710">
          <cell r="C710">
            <v>541773891</v>
          </cell>
          <cell r="D710" t="str">
            <v>刘欢</v>
          </cell>
          <cell r="E710" t="str">
            <v>C</v>
          </cell>
        </row>
        <row r="711">
          <cell r="C711">
            <v>1335852585</v>
          </cell>
          <cell r="D711" t="str">
            <v>刘欢</v>
          </cell>
          <cell r="E711" t="str">
            <v>C</v>
          </cell>
        </row>
        <row r="712">
          <cell r="C712">
            <v>1244868424</v>
          </cell>
          <cell r="D712" t="str">
            <v>刘欢</v>
          </cell>
          <cell r="E712" t="str">
            <v>C</v>
          </cell>
        </row>
        <row r="713">
          <cell r="C713">
            <v>544686900</v>
          </cell>
          <cell r="D713" t="str">
            <v>刘欢</v>
          </cell>
        </row>
        <row r="714">
          <cell r="C714">
            <v>1330545177</v>
          </cell>
          <cell r="D714" t="str">
            <v>刘欢</v>
          </cell>
        </row>
        <row r="715">
          <cell r="C715">
            <v>531318362</v>
          </cell>
          <cell r="D715" t="str">
            <v>刘欢</v>
          </cell>
        </row>
        <row r="716">
          <cell r="C716">
            <v>517756870</v>
          </cell>
          <cell r="D716" t="str">
            <v>刘欢</v>
          </cell>
        </row>
        <row r="717">
          <cell r="C717">
            <v>1347825635</v>
          </cell>
          <cell r="D717" t="str">
            <v>刘欢</v>
          </cell>
        </row>
        <row r="718">
          <cell r="C718">
            <v>543721478</v>
          </cell>
          <cell r="D718" t="str">
            <v>刘欢</v>
          </cell>
        </row>
        <row r="719">
          <cell r="C719">
            <v>516030923</v>
          </cell>
          <cell r="D719" t="str">
            <v>刘欢</v>
          </cell>
        </row>
        <row r="720">
          <cell r="C720">
            <v>1353874823</v>
          </cell>
          <cell r="D720" t="str">
            <v>刘欢</v>
          </cell>
        </row>
        <row r="721">
          <cell r="C721">
            <v>522267372</v>
          </cell>
          <cell r="D721" t="str">
            <v>刘欢</v>
          </cell>
        </row>
        <row r="722">
          <cell r="C722">
            <v>1249312648</v>
          </cell>
          <cell r="D722" t="str">
            <v>刘欢</v>
          </cell>
        </row>
        <row r="723">
          <cell r="C723">
            <v>1267058698</v>
          </cell>
          <cell r="D723" t="str">
            <v>刘欢</v>
          </cell>
        </row>
        <row r="724">
          <cell r="D724" t="str">
            <v>王森</v>
          </cell>
        </row>
        <row r="725">
          <cell r="C725">
            <v>1353375679</v>
          </cell>
          <cell r="D725" t="str">
            <v>王森</v>
          </cell>
        </row>
        <row r="726">
          <cell r="C726" t="str">
            <v>无</v>
          </cell>
          <cell r="D726" t="str">
            <v>王森</v>
          </cell>
        </row>
        <row r="727">
          <cell r="D727" t="str">
            <v>王森</v>
          </cell>
        </row>
        <row r="728">
          <cell r="C728">
            <v>1349535406</v>
          </cell>
          <cell r="D728" t="str">
            <v>王森</v>
          </cell>
        </row>
        <row r="729">
          <cell r="C729">
            <v>544449576</v>
          </cell>
          <cell r="D729" t="str">
            <v>王森</v>
          </cell>
        </row>
        <row r="730">
          <cell r="C730">
            <v>1353391274</v>
          </cell>
          <cell r="D730" t="str">
            <v>王森</v>
          </cell>
        </row>
        <row r="731">
          <cell r="C731">
            <v>1342807464</v>
          </cell>
          <cell r="D731" t="str">
            <v>王森</v>
          </cell>
        </row>
        <row r="732">
          <cell r="C732">
            <v>1241438020</v>
          </cell>
          <cell r="D732" t="str">
            <v>王森</v>
          </cell>
        </row>
        <row r="733">
          <cell r="C733" t="str">
            <v>无</v>
          </cell>
          <cell r="D733" t="str">
            <v>王森</v>
          </cell>
        </row>
        <row r="734">
          <cell r="C734">
            <v>1334891772</v>
          </cell>
          <cell r="D734" t="str">
            <v>王森</v>
          </cell>
        </row>
        <row r="735">
          <cell r="C735">
            <v>543799213</v>
          </cell>
          <cell r="D735" t="str">
            <v>王森</v>
          </cell>
        </row>
        <row r="736">
          <cell r="C736">
            <v>1155434943</v>
          </cell>
          <cell r="D736" t="str">
            <v>王森</v>
          </cell>
        </row>
        <row r="737">
          <cell r="C737">
            <v>544611343</v>
          </cell>
          <cell r="D737" t="str">
            <v>王森</v>
          </cell>
        </row>
        <row r="738">
          <cell r="C738">
            <v>531304948</v>
          </cell>
          <cell r="D738" t="str">
            <v>王森</v>
          </cell>
        </row>
        <row r="739">
          <cell r="C739">
            <v>1346914576</v>
          </cell>
          <cell r="D739" t="str">
            <v>王森</v>
          </cell>
        </row>
        <row r="740">
          <cell r="C740">
            <v>2135178919</v>
          </cell>
          <cell r="D740" t="str">
            <v>王森</v>
          </cell>
        </row>
        <row r="741">
          <cell r="C741" t="str">
            <v>-</v>
          </cell>
          <cell r="D741" t="str">
            <v>王森</v>
          </cell>
        </row>
        <row r="742">
          <cell r="C742">
            <v>1352169160</v>
          </cell>
          <cell r="D742" t="str">
            <v>王森</v>
          </cell>
        </row>
        <row r="743">
          <cell r="C743">
            <v>1348316492</v>
          </cell>
          <cell r="D743" t="str">
            <v>王森</v>
          </cell>
        </row>
        <row r="744">
          <cell r="C744">
            <v>1308625766</v>
          </cell>
          <cell r="D744" t="str">
            <v>王森</v>
          </cell>
        </row>
        <row r="745">
          <cell r="C745">
            <v>1347895022</v>
          </cell>
          <cell r="D745" t="str">
            <v>王森</v>
          </cell>
        </row>
        <row r="746">
          <cell r="C746">
            <v>1246750176</v>
          </cell>
          <cell r="D746" t="str">
            <v>王森</v>
          </cell>
        </row>
        <row r="747">
          <cell r="C747">
            <v>531206450</v>
          </cell>
          <cell r="D747" t="str">
            <v>王森</v>
          </cell>
        </row>
        <row r="748">
          <cell r="C748">
            <v>2135038080</v>
          </cell>
          <cell r="D748" t="str">
            <v>王森</v>
          </cell>
        </row>
        <row r="749">
          <cell r="C749">
            <v>543062415</v>
          </cell>
          <cell r="D749" t="str">
            <v>王森</v>
          </cell>
        </row>
        <row r="750">
          <cell r="C750">
            <v>543824525</v>
          </cell>
          <cell r="D750" t="str">
            <v>王森</v>
          </cell>
        </row>
        <row r="751">
          <cell r="C751">
            <v>2084949727</v>
          </cell>
          <cell r="D751" t="str">
            <v>王森</v>
          </cell>
        </row>
        <row r="752">
          <cell r="C752">
            <v>538626693</v>
          </cell>
          <cell r="D752" t="str">
            <v>王森</v>
          </cell>
        </row>
        <row r="753">
          <cell r="D753" t="str">
            <v>王森</v>
          </cell>
        </row>
        <row r="754">
          <cell r="C754">
            <v>1354118375</v>
          </cell>
          <cell r="D754" t="str">
            <v>王森</v>
          </cell>
        </row>
        <row r="755">
          <cell r="C755">
            <v>544011968</v>
          </cell>
          <cell r="D755" t="str">
            <v>王森</v>
          </cell>
        </row>
        <row r="756">
          <cell r="C756">
            <v>544806187</v>
          </cell>
          <cell r="D756" t="str">
            <v>王森</v>
          </cell>
        </row>
        <row r="757">
          <cell r="C757">
            <v>511504267</v>
          </cell>
          <cell r="D757" t="str">
            <v>王森</v>
          </cell>
        </row>
        <row r="758">
          <cell r="C758">
            <v>534810974</v>
          </cell>
          <cell r="D758" t="str">
            <v>王森</v>
          </cell>
        </row>
        <row r="759">
          <cell r="C759">
            <v>522890733</v>
          </cell>
          <cell r="D759" t="str">
            <v>徐从众</v>
          </cell>
          <cell r="E759" t="str">
            <v>A</v>
          </cell>
        </row>
        <row r="760">
          <cell r="D760" t="str">
            <v>徐从众</v>
          </cell>
          <cell r="E760" t="str">
            <v>S</v>
          </cell>
        </row>
        <row r="761">
          <cell r="C761">
            <v>2032765555</v>
          </cell>
          <cell r="D761" t="str">
            <v>徐从众</v>
          </cell>
          <cell r="E761" t="str">
            <v>A</v>
          </cell>
        </row>
        <row r="762">
          <cell r="C762">
            <v>1349345602</v>
          </cell>
          <cell r="D762" t="str">
            <v>徐从众</v>
          </cell>
          <cell r="E762" t="str">
            <v>A</v>
          </cell>
        </row>
        <row r="763">
          <cell r="C763">
            <v>545401051</v>
          </cell>
          <cell r="D763" t="str">
            <v>徐从众</v>
          </cell>
          <cell r="E763" t="str">
            <v>A</v>
          </cell>
        </row>
        <row r="764">
          <cell r="C764" t="str">
            <v>待建店</v>
          </cell>
          <cell r="D764" t="str">
            <v>徐从众</v>
          </cell>
          <cell r="E764" t="str">
            <v>S</v>
          </cell>
        </row>
        <row r="765">
          <cell r="C765" t="str">
            <v>待建店</v>
          </cell>
          <cell r="D765" t="str">
            <v>徐从众</v>
          </cell>
          <cell r="E765" t="str">
            <v>A</v>
          </cell>
        </row>
        <row r="766">
          <cell r="C766" t="str">
            <v>待建店</v>
          </cell>
          <cell r="D766" t="str">
            <v>徐从众</v>
          </cell>
          <cell r="E766" t="str">
            <v>S</v>
          </cell>
        </row>
        <row r="767">
          <cell r="D767" t="str">
            <v>徐从众</v>
          </cell>
        </row>
        <row r="768">
          <cell r="D768" t="str">
            <v>徐从众</v>
          </cell>
        </row>
        <row r="769">
          <cell r="D769" t="str">
            <v>徐从众</v>
          </cell>
        </row>
        <row r="770">
          <cell r="D770" t="str">
            <v>徐从众</v>
          </cell>
        </row>
        <row r="771">
          <cell r="C771">
            <v>1346685649</v>
          </cell>
          <cell r="D771" t="str">
            <v>刘欢</v>
          </cell>
        </row>
        <row r="772">
          <cell r="C772">
            <v>528581609</v>
          </cell>
          <cell r="D772" t="str">
            <v>刘欢</v>
          </cell>
        </row>
        <row r="773">
          <cell r="C773">
            <v>33737094</v>
          </cell>
          <cell r="D773" t="str">
            <v>刘欢</v>
          </cell>
        </row>
        <row r="774">
          <cell r="C774">
            <v>1317628360</v>
          </cell>
          <cell r="D774" t="str">
            <v>刘欢</v>
          </cell>
        </row>
        <row r="775">
          <cell r="C775">
            <v>1331529938</v>
          </cell>
          <cell r="D775" t="str">
            <v>刘欢</v>
          </cell>
        </row>
        <row r="776">
          <cell r="C776">
            <v>1342796337</v>
          </cell>
          <cell r="D776" t="str">
            <v>刘欢</v>
          </cell>
        </row>
        <row r="777">
          <cell r="C777">
            <v>2042571535</v>
          </cell>
          <cell r="D777" t="str">
            <v>刘欢</v>
          </cell>
        </row>
        <row r="778">
          <cell r="D778" t="str">
            <v>刘欢</v>
          </cell>
        </row>
        <row r="779">
          <cell r="C779">
            <v>537231169</v>
          </cell>
          <cell r="D779" t="str">
            <v>刘欢</v>
          </cell>
        </row>
        <row r="780">
          <cell r="C780">
            <v>1293428120</v>
          </cell>
          <cell r="D780" t="str">
            <v>刘欢</v>
          </cell>
        </row>
        <row r="781">
          <cell r="C781">
            <v>544176577</v>
          </cell>
          <cell r="D781" t="str">
            <v>刘欢</v>
          </cell>
        </row>
        <row r="782">
          <cell r="D782" t="str">
            <v>刘欢</v>
          </cell>
        </row>
        <row r="783">
          <cell r="C783">
            <v>1343710410</v>
          </cell>
          <cell r="D783" t="str">
            <v>王森</v>
          </cell>
        </row>
        <row r="784">
          <cell r="C784">
            <v>1348185256</v>
          </cell>
          <cell r="D784" t="str">
            <v>王森</v>
          </cell>
        </row>
        <row r="785">
          <cell r="C785">
            <v>544985291</v>
          </cell>
          <cell r="D785" t="str">
            <v>王森</v>
          </cell>
        </row>
        <row r="786">
          <cell r="C786">
            <v>1350434950</v>
          </cell>
          <cell r="D786" t="str">
            <v>王森</v>
          </cell>
        </row>
        <row r="787">
          <cell r="C787">
            <v>544666149</v>
          </cell>
          <cell r="D787" t="str">
            <v>王森</v>
          </cell>
        </row>
        <row r="788">
          <cell r="D788" t="str">
            <v>岳贝贝</v>
          </cell>
          <cell r="E788" t="str">
            <v>A</v>
          </cell>
        </row>
        <row r="789">
          <cell r="C789">
            <v>544694932</v>
          </cell>
          <cell r="D789" t="str">
            <v>王森</v>
          </cell>
        </row>
        <row r="790">
          <cell r="C790">
            <v>542633444</v>
          </cell>
          <cell r="D790" t="str">
            <v>王森</v>
          </cell>
        </row>
        <row r="791">
          <cell r="C791" t="str">
            <v>无</v>
          </cell>
          <cell r="D791" t="str">
            <v>王森</v>
          </cell>
        </row>
        <row r="793">
          <cell r="C793">
            <v>1190685669</v>
          </cell>
          <cell r="D793" t="str">
            <v>王森</v>
          </cell>
        </row>
        <row r="794">
          <cell r="C794">
            <v>525036503</v>
          </cell>
          <cell r="D794" t="str">
            <v>岳贝贝</v>
          </cell>
        </row>
        <row r="795">
          <cell r="C795">
            <v>1317753106</v>
          </cell>
          <cell r="D795" t="str">
            <v>岳贝贝</v>
          </cell>
        </row>
        <row r="796">
          <cell r="C796" t="str">
            <v>待开业</v>
          </cell>
          <cell r="D796" t="str">
            <v>岳贝贝</v>
          </cell>
        </row>
        <row r="797">
          <cell r="D797" t="str">
            <v>王森</v>
          </cell>
        </row>
        <row r="798">
          <cell r="C798">
            <v>545297889</v>
          </cell>
          <cell r="D798" t="str">
            <v>王森</v>
          </cell>
        </row>
        <row r="799">
          <cell r="C799">
            <v>1355657142</v>
          </cell>
          <cell r="D799" t="str">
            <v>王森</v>
          </cell>
        </row>
        <row r="800">
          <cell r="C800" t="str">
            <v>无</v>
          </cell>
          <cell r="D800" t="str">
            <v>王森</v>
          </cell>
        </row>
        <row r="801">
          <cell r="C801">
            <v>1354093432</v>
          </cell>
          <cell r="D801" t="str">
            <v>王森</v>
          </cell>
        </row>
        <row r="802">
          <cell r="D802" t="str">
            <v>王森</v>
          </cell>
        </row>
        <row r="803">
          <cell r="C803">
            <v>2052993581</v>
          </cell>
          <cell r="D803" t="str">
            <v>王森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43"/>
  <sheetViews>
    <sheetView tabSelected="1" workbookViewId="0">
      <pane ySplit="2" topLeftCell="A3" activePane="bottomLeft" state="frozen"/>
      <selection/>
      <selection pane="bottomLeft" activeCell="D2" sqref="D2"/>
    </sheetView>
  </sheetViews>
  <sheetFormatPr defaultColWidth="9" defaultRowHeight="14.4"/>
  <cols>
    <col min="1" max="1" width="25.7777777777778" customWidth="1"/>
    <col min="2" max="2" width="12.7777777777778" customWidth="1"/>
    <col min="3" max="3" width="12.7777777777778" style="2" customWidth="1"/>
    <col min="4" max="4" width="42" customWidth="1"/>
    <col min="5" max="30" width="12.7777777777778" customWidth="1"/>
  </cols>
  <sheetData>
    <row r="1" customFormat="1" ht="28" customHeight="1" spans="1:30">
      <c r="A1" s="3"/>
      <c r="B1" s="3"/>
      <c r="C1" s="4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1" ht="32.4" spans="1:30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</row>
    <row r="3" customFormat="1" ht="22" customHeight="1" spans="1:30">
      <c r="A3" s="8" t="s">
        <v>31</v>
      </c>
      <c r="B3" s="8" t="str">
        <f>VLOOKUP(E3,[1]Sheet1!$C:$E,2,FALSE)</f>
        <v>徐从众</v>
      </c>
      <c r="C3" s="9" t="str">
        <f>VLOOKUP(E3,[1]Sheet1!$C:$E,3,FALSE)</f>
        <v>A</v>
      </c>
      <c r="D3" s="8" t="s">
        <v>32</v>
      </c>
      <c r="E3" s="10">
        <v>172872765</v>
      </c>
      <c r="F3" s="8">
        <v>4.9</v>
      </c>
      <c r="G3" s="8">
        <v>275</v>
      </c>
      <c r="H3" s="8">
        <v>12868.49</v>
      </c>
      <c r="I3" s="8">
        <v>0</v>
      </c>
      <c r="J3" s="8">
        <v>46.79</v>
      </c>
      <c r="K3" s="8">
        <v>12685</v>
      </c>
      <c r="L3" s="11">
        <v>0.084</v>
      </c>
      <c r="M3" s="11">
        <v>0.252</v>
      </c>
      <c r="N3" s="11">
        <v>0.0212</v>
      </c>
      <c r="O3" s="8">
        <v>0</v>
      </c>
      <c r="P3" s="8">
        <v>0</v>
      </c>
      <c r="Q3" s="8">
        <v>0</v>
      </c>
      <c r="R3" s="11">
        <v>0</v>
      </c>
      <c r="S3" s="11">
        <v>0</v>
      </c>
      <c r="T3" s="11">
        <v>0</v>
      </c>
      <c r="U3" s="11">
        <v>0</v>
      </c>
      <c r="V3" s="11">
        <v>0.256</v>
      </c>
      <c r="W3" s="8">
        <v>13</v>
      </c>
      <c r="X3" s="8">
        <v>12</v>
      </c>
      <c r="Y3" s="8">
        <v>1</v>
      </c>
      <c r="Z3" s="8">
        <v>0</v>
      </c>
      <c r="AA3" s="11">
        <v>0.0473</v>
      </c>
      <c r="AB3" s="11">
        <v>0.9231</v>
      </c>
      <c r="AC3" s="11">
        <v>0.0769</v>
      </c>
      <c r="AD3" s="11">
        <v>0</v>
      </c>
    </row>
    <row r="4" customFormat="1" ht="22" customHeight="1" spans="1:30">
      <c r="A4" s="8" t="s">
        <v>31</v>
      </c>
      <c r="B4" s="8" t="str">
        <f>VLOOKUP(E4,[1]Sheet1!$C:$E,2,FALSE)</f>
        <v>徐从众</v>
      </c>
      <c r="C4" s="9" t="str">
        <f>VLOOKUP(E4,[1]Sheet1!$C:$E,3,FALSE)</f>
        <v>A</v>
      </c>
      <c r="D4" s="8" t="s">
        <v>33</v>
      </c>
      <c r="E4" s="10">
        <v>156022474</v>
      </c>
      <c r="F4" s="8">
        <v>4.9</v>
      </c>
      <c r="G4" s="8">
        <v>179</v>
      </c>
      <c r="H4" s="8">
        <v>11151.59</v>
      </c>
      <c r="I4" s="8">
        <v>0</v>
      </c>
      <c r="J4" s="8">
        <v>62.3</v>
      </c>
      <c r="K4" s="8">
        <v>11175</v>
      </c>
      <c r="L4" s="11">
        <v>0.086</v>
      </c>
      <c r="M4" s="11">
        <v>0.182</v>
      </c>
      <c r="N4" s="11">
        <v>0.0157</v>
      </c>
      <c r="O4" s="8">
        <v>0</v>
      </c>
      <c r="P4" s="8">
        <v>0</v>
      </c>
      <c r="Q4" s="8">
        <v>0</v>
      </c>
      <c r="R4" s="11">
        <v>0</v>
      </c>
      <c r="S4" s="11">
        <v>0</v>
      </c>
      <c r="T4" s="11">
        <v>0</v>
      </c>
      <c r="U4" s="11">
        <v>0</v>
      </c>
      <c r="V4" s="11">
        <v>0.226</v>
      </c>
      <c r="W4" s="8">
        <v>2</v>
      </c>
      <c r="X4" s="8">
        <v>2</v>
      </c>
      <c r="Y4" s="8">
        <v>0</v>
      </c>
      <c r="Z4" s="8">
        <v>0</v>
      </c>
      <c r="AA4" s="11">
        <v>0.0112</v>
      </c>
      <c r="AB4" s="11">
        <v>1</v>
      </c>
      <c r="AC4" s="11">
        <v>0</v>
      </c>
      <c r="AD4" s="11">
        <v>0</v>
      </c>
    </row>
    <row r="5" customFormat="1" ht="22" customHeight="1" spans="1:30">
      <c r="A5" s="8" t="s">
        <v>31</v>
      </c>
      <c r="B5" s="8" t="str">
        <f>VLOOKUP(E5,[1]Sheet1!$C:$E,2,FALSE)</f>
        <v>王森</v>
      </c>
      <c r="C5" s="9" t="str">
        <f>VLOOKUP(E5,[1]Sheet1!$C:$E,3,FALSE)</f>
        <v>A</v>
      </c>
      <c r="D5" s="8" t="s">
        <v>34</v>
      </c>
      <c r="E5" s="10">
        <v>1220168</v>
      </c>
      <c r="F5" s="8">
        <v>5</v>
      </c>
      <c r="G5" s="8">
        <v>114</v>
      </c>
      <c r="H5" s="8">
        <v>8412.1</v>
      </c>
      <c r="I5" s="8">
        <v>0</v>
      </c>
      <c r="J5" s="8">
        <v>73.79</v>
      </c>
      <c r="K5" s="8">
        <v>5108</v>
      </c>
      <c r="L5" s="11">
        <v>0.111</v>
      </c>
      <c r="M5" s="11">
        <v>0.197</v>
      </c>
      <c r="N5" s="11">
        <v>0.0219</v>
      </c>
      <c r="O5" s="8">
        <v>0</v>
      </c>
      <c r="P5" s="8">
        <v>0</v>
      </c>
      <c r="Q5" s="8">
        <v>0</v>
      </c>
      <c r="R5" s="11">
        <v>0</v>
      </c>
      <c r="S5" s="11">
        <v>0</v>
      </c>
      <c r="T5" s="11">
        <v>0</v>
      </c>
      <c r="U5" s="11">
        <v>0</v>
      </c>
      <c r="V5" s="11">
        <v>0.259</v>
      </c>
      <c r="W5" s="8">
        <v>4</v>
      </c>
      <c r="X5" s="8">
        <v>4</v>
      </c>
      <c r="Y5" s="8">
        <v>0</v>
      </c>
      <c r="Z5" s="8">
        <v>0</v>
      </c>
      <c r="AA5" s="11">
        <v>0.0351</v>
      </c>
      <c r="AB5" s="11">
        <v>1</v>
      </c>
      <c r="AC5" s="11">
        <v>0</v>
      </c>
      <c r="AD5" s="11">
        <v>0</v>
      </c>
    </row>
    <row r="6" customFormat="1" ht="22" customHeight="1" spans="1:30">
      <c r="A6" s="8" t="s">
        <v>31</v>
      </c>
      <c r="B6" s="8" t="e">
        <f>VLOOKUP(E6,[1]Sheet1!$C:$E,2,FALSE)</f>
        <v>#N/A</v>
      </c>
      <c r="C6" s="8" t="e">
        <f>VLOOKUP(E6,[1]Sheet1!$C:$E,3,FALSE)</f>
        <v>#N/A</v>
      </c>
      <c r="D6" s="12" t="s">
        <v>35</v>
      </c>
      <c r="E6" s="13">
        <v>1157599446</v>
      </c>
      <c r="F6" s="12">
        <v>4.5</v>
      </c>
      <c r="G6" s="8">
        <v>65</v>
      </c>
      <c r="H6" s="8">
        <v>5640.15</v>
      </c>
      <c r="I6" s="8">
        <v>0</v>
      </c>
      <c r="J6" s="8">
        <v>86.77</v>
      </c>
      <c r="K6" s="8">
        <v>3400</v>
      </c>
      <c r="L6" s="11">
        <v>0.091</v>
      </c>
      <c r="M6" s="11">
        <v>0.205</v>
      </c>
      <c r="N6" s="11">
        <v>0.0187</v>
      </c>
      <c r="O6" s="8">
        <v>0</v>
      </c>
      <c r="P6" s="8">
        <v>0</v>
      </c>
      <c r="Q6" s="8">
        <v>0</v>
      </c>
      <c r="R6" s="11">
        <v>0</v>
      </c>
      <c r="S6" s="11">
        <v>0</v>
      </c>
      <c r="T6" s="11">
        <v>0</v>
      </c>
      <c r="U6" s="11">
        <v>0</v>
      </c>
      <c r="V6" s="11">
        <v>0.17</v>
      </c>
      <c r="W6" s="8">
        <v>4</v>
      </c>
      <c r="X6" s="8">
        <v>3</v>
      </c>
      <c r="Y6" s="8">
        <v>1</v>
      </c>
      <c r="Z6" s="8">
        <v>0</v>
      </c>
      <c r="AA6" s="11">
        <v>0.0615</v>
      </c>
      <c r="AB6" s="11">
        <v>0.75</v>
      </c>
      <c r="AC6" s="11">
        <v>0.25</v>
      </c>
      <c r="AD6" s="11">
        <v>0</v>
      </c>
    </row>
    <row r="7" customFormat="1" ht="22" customHeight="1" spans="1:30">
      <c r="A7" s="8" t="s">
        <v>31</v>
      </c>
      <c r="B7" s="8" t="str">
        <f>VLOOKUP(E7,[1]Sheet1!$C:$E,2,FALSE)</f>
        <v>徐从众</v>
      </c>
      <c r="C7" s="9" t="str">
        <f>VLOOKUP(E7,[1]Sheet1!$C:$E,3,FALSE)</f>
        <v>A</v>
      </c>
      <c r="D7" s="8" t="s">
        <v>36</v>
      </c>
      <c r="E7" s="10">
        <v>2019404652</v>
      </c>
      <c r="F7" s="8">
        <v>4.9</v>
      </c>
      <c r="G7" s="8">
        <v>103</v>
      </c>
      <c r="H7" s="8">
        <v>5569.3</v>
      </c>
      <c r="I7" s="8">
        <v>0</v>
      </c>
      <c r="J7" s="8">
        <v>54.07</v>
      </c>
      <c r="K7" s="8">
        <v>5108</v>
      </c>
      <c r="L7" s="11">
        <v>0.084</v>
      </c>
      <c r="M7" s="11">
        <v>0.235</v>
      </c>
      <c r="N7" s="11">
        <v>0.0197</v>
      </c>
      <c r="O7" s="8">
        <v>0</v>
      </c>
      <c r="P7" s="8">
        <v>0</v>
      </c>
      <c r="Q7" s="8">
        <v>0</v>
      </c>
      <c r="R7" s="11">
        <v>0</v>
      </c>
      <c r="S7" s="11">
        <v>0</v>
      </c>
      <c r="T7" s="11">
        <v>0</v>
      </c>
      <c r="U7" s="11">
        <v>0</v>
      </c>
      <c r="V7" s="11">
        <v>0.215</v>
      </c>
      <c r="W7" s="8">
        <v>6</v>
      </c>
      <c r="X7" s="8">
        <v>6</v>
      </c>
      <c r="Y7" s="8">
        <v>0</v>
      </c>
      <c r="Z7" s="8">
        <v>0</v>
      </c>
      <c r="AA7" s="11">
        <v>0.0583</v>
      </c>
      <c r="AB7" s="11">
        <v>1</v>
      </c>
      <c r="AC7" s="11">
        <v>0</v>
      </c>
      <c r="AD7" s="11">
        <v>0</v>
      </c>
    </row>
    <row r="8" customFormat="1" ht="22" customHeight="1" spans="1:30">
      <c r="A8" s="8" t="s">
        <v>31</v>
      </c>
      <c r="B8" s="8" t="str">
        <f>VLOOKUP(E8,[1]Sheet1!$C:$E,2,FALSE)</f>
        <v>王森</v>
      </c>
      <c r="C8" s="9" t="str">
        <f>VLOOKUP(E8,[1]Sheet1!$C:$E,3,FALSE)</f>
        <v>A</v>
      </c>
      <c r="D8" s="8" t="s">
        <v>37</v>
      </c>
      <c r="E8" s="10">
        <v>1157897980</v>
      </c>
      <c r="F8" s="8">
        <v>5</v>
      </c>
      <c r="G8" s="8">
        <v>101</v>
      </c>
      <c r="H8" s="8">
        <v>5548.93</v>
      </c>
      <c r="I8" s="8">
        <v>0</v>
      </c>
      <c r="J8" s="8">
        <v>54.94</v>
      </c>
      <c r="K8" s="8">
        <v>4441</v>
      </c>
      <c r="L8" s="11">
        <v>0.105</v>
      </c>
      <c r="M8" s="11">
        <v>0.21</v>
      </c>
      <c r="N8" s="11">
        <v>0.0221</v>
      </c>
      <c r="O8" s="8">
        <v>0</v>
      </c>
      <c r="P8" s="8">
        <v>0</v>
      </c>
      <c r="Q8" s="8">
        <v>0</v>
      </c>
      <c r="R8" s="11">
        <v>0</v>
      </c>
      <c r="S8" s="11">
        <v>0</v>
      </c>
      <c r="T8" s="11">
        <v>0</v>
      </c>
      <c r="U8" s="11">
        <v>0</v>
      </c>
      <c r="V8" s="11">
        <v>0.221</v>
      </c>
      <c r="W8" s="8">
        <v>7</v>
      </c>
      <c r="X8" s="8">
        <v>7</v>
      </c>
      <c r="Y8" s="8">
        <v>0</v>
      </c>
      <c r="Z8" s="8">
        <v>0</v>
      </c>
      <c r="AA8" s="11">
        <v>0.0693</v>
      </c>
      <c r="AB8" s="11">
        <v>1</v>
      </c>
      <c r="AC8" s="11">
        <v>0</v>
      </c>
      <c r="AD8" s="11">
        <v>0</v>
      </c>
    </row>
    <row r="9" customFormat="1" ht="22" customHeight="1" spans="1:30">
      <c r="A9" s="8" t="s">
        <v>31</v>
      </c>
      <c r="B9" s="8" t="str">
        <f>VLOOKUP(E9,[1]Sheet1!$C:$E,2,FALSE)</f>
        <v>徐从众</v>
      </c>
      <c r="C9" s="9" t="str">
        <f>VLOOKUP(E9,[1]Sheet1!$C:$E,3,FALSE)</f>
        <v>A</v>
      </c>
      <c r="D9" s="12" t="s">
        <v>38</v>
      </c>
      <c r="E9" s="13">
        <v>501884512</v>
      </c>
      <c r="F9" s="12">
        <v>4.4</v>
      </c>
      <c r="G9" s="8">
        <v>123</v>
      </c>
      <c r="H9" s="8">
        <v>5541.73</v>
      </c>
      <c r="I9" s="8">
        <v>0</v>
      </c>
      <c r="J9" s="8">
        <v>45.05</v>
      </c>
      <c r="K9" s="8">
        <v>9976</v>
      </c>
      <c r="L9" s="11">
        <v>0.076</v>
      </c>
      <c r="M9" s="11">
        <v>0.162</v>
      </c>
      <c r="N9" s="11">
        <v>0.0123</v>
      </c>
      <c r="O9" s="8">
        <v>0</v>
      </c>
      <c r="P9" s="8">
        <v>0</v>
      </c>
      <c r="Q9" s="8">
        <v>0</v>
      </c>
      <c r="R9" s="11">
        <v>0</v>
      </c>
      <c r="S9" s="11">
        <v>0</v>
      </c>
      <c r="T9" s="11">
        <v>0</v>
      </c>
      <c r="U9" s="11">
        <v>0</v>
      </c>
      <c r="V9" s="11">
        <v>0.168</v>
      </c>
      <c r="W9" s="8">
        <v>4</v>
      </c>
      <c r="X9" s="8">
        <v>3</v>
      </c>
      <c r="Y9" s="8">
        <v>1</v>
      </c>
      <c r="Z9" s="8">
        <v>0</v>
      </c>
      <c r="AA9" s="11">
        <v>0.0325</v>
      </c>
      <c r="AB9" s="11">
        <v>0.75</v>
      </c>
      <c r="AC9" s="11">
        <v>0.25</v>
      </c>
      <c r="AD9" s="11">
        <v>0</v>
      </c>
    </row>
    <row r="10" customFormat="1" ht="22" customHeight="1" spans="1:30">
      <c r="A10" s="8" t="s">
        <v>31</v>
      </c>
      <c r="B10" s="8" t="str">
        <f>VLOOKUP(E10,[1]Sheet1!$C:$E,2,FALSE)</f>
        <v>徐从众</v>
      </c>
      <c r="C10" s="9" t="str">
        <f>VLOOKUP(E10,[1]Sheet1!$C:$E,3,FALSE)</f>
        <v>A</v>
      </c>
      <c r="D10" s="8" t="s">
        <v>39</v>
      </c>
      <c r="E10" s="10">
        <v>1349345602</v>
      </c>
      <c r="F10" s="8">
        <v>4.9</v>
      </c>
      <c r="G10" s="8">
        <v>92</v>
      </c>
      <c r="H10" s="8">
        <v>5303.73</v>
      </c>
      <c r="I10" s="8">
        <v>0</v>
      </c>
      <c r="J10" s="8">
        <v>57.65</v>
      </c>
      <c r="K10" s="8">
        <v>6915</v>
      </c>
      <c r="L10" s="11">
        <v>0.087</v>
      </c>
      <c r="M10" s="11">
        <v>0.152</v>
      </c>
      <c r="N10" s="11">
        <v>0.0132</v>
      </c>
      <c r="O10" s="8">
        <v>0</v>
      </c>
      <c r="P10" s="8">
        <v>0</v>
      </c>
      <c r="Q10" s="8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0.209</v>
      </c>
      <c r="W10" s="8">
        <v>4</v>
      </c>
      <c r="X10" s="8">
        <v>4</v>
      </c>
      <c r="Y10" s="8">
        <v>0</v>
      </c>
      <c r="Z10" s="8">
        <v>0</v>
      </c>
      <c r="AA10" s="11">
        <v>0.0435</v>
      </c>
      <c r="AB10" s="11">
        <v>1</v>
      </c>
      <c r="AC10" s="11">
        <v>0</v>
      </c>
      <c r="AD10" s="11">
        <v>0</v>
      </c>
    </row>
    <row r="11" customFormat="1" ht="22" customHeight="1" spans="1:30">
      <c r="A11" s="8" t="s">
        <v>31</v>
      </c>
      <c r="B11" s="8" t="str">
        <f>VLOOKUP(E11,[1]Sheet1!$C:$E,2,FALSE)</f>
        <v>徐从众</v>
      </c>
      <c r="C11" s="9" t="str">
        <f>VLOOKUP(E11,[1]Sheet1!$C:$E,3,FALSE)</f>
        <v>A</v>
      </c>
      <c r="D11" s="8" t="s">
        <v>40</v>
      </c>
      <c r="E11" s="10">
        <v>146932132</v>
      </c>
      <c r="F11" s="8">
        <v>4.9</v>
      </c>
      <c r="G11" s="8">
        <v>71</v>
      </c>
      <c r="H11" s="8">
        <v>5273.6</v>
      </c>
      <c r="I11" s="8">
        <v>0</v>
      </c>
      <c r="J11" s="8">
        <v>74.28</v>
      </c>
      <c r="K11" s="8">
        <v>2905</v>
      </c>
      <c r="L11" s="11">
        <v>0.087</v>
      </c>
      <c r="M11" s="11">
        <v>0.276</v>
      </c>
      <c r="N11" s="11">
        <v>0.024</v>
      </c>
      <c r="O11" s="8">
        <v>0</v>
      </c>
      <c r="P11" s="8">
        <v>0</v>
      </c>
      <c r="Q11" s="8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0.192</v>
      </c>
      <c r="W11" s="8">
        <v>7</v>
      </c>
      <c r="X11" s="8">
        <v>7</v>
      </c>
      <c r="Y11" s="8">
        <v>0</v>
      </c>
      <c r="Z11" s="8">
        <v>0</v>
      </c>
      <c r="AA11" s="11">
        <v>0.0986</v>
      </c>
      <c r="AB11" s="11">
        <v>1</v>
      </c>
      <c r="AC11" s="11">
        <v>0</v>
      </c>
      <c r="AD11" s="11">
        <v>0</v>
      </c>
    </row>
    <row r="12" customFormat="1" ht="22" customHeight="1" spans="1:30">
      <c r="A12" s="8" t="s">
        <v>31</v>
      </c>
      <c r="B12" s="8" t="str">
        <f>VLOOKUP(E12,[1]Sheet1!$C:$E,2,FALSE)</f>
        <v>王森</v>
      </c>
      <c r="C12" s="9" t="str">
        <f>VLOOKUP(E12,[1]Sheet1!$C:$E,3,FALSE)</f>
        <v>S</v>
      </c>
      <c r="D12" s="8" t="s">
        <v>41</v>
      </c>
      <c r="E12" s="10">
        <v>1293402573</v>
      </c>
      <c r="F12" s="8">
        <v>4.9</v>
      </c>
      <c r="G12" s="8">
        <v>178</v>
      </c>
      <c r="H12" s="8">
        <v>5093.32</v>
      </c>
      <c r="I12" s="8">
        <v>0</v>
      </c>
      <c r="J12" s="8">
        <v>28.61</v>
      </c>
      <c r="K12" s="8">
        <v>14328</v>
      </c>
      <c r="L12" s="11">
        <v>0.059</v>
      </c>
      <c r="M12" s="11">
        <v>0.209</v>
      </c>
      <c r="N12" s="11">
        <v>0.0123</v>
      </c>
      <c r="O12" s="8">
        <v>0</v>
      </c>
      <c r="P12" s="8">
        <v>0</v>
      </c>
      <c r="Q12" s="8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0.174</v>
      </c>
      <c r="W12" s="8">
        <v>6</v>
      </c>
      <c r="X12" s="8">
        <v>4</v>
      </c>
      <c r="Y12" s="8">
        <v>1</v>
      </c>
      <c r="Z12" s="8">
        <v>1</v>
      </c>
      <c r="AA12" s="11">
        <v>0.0337</v>
      </c>
      <c r="AB12" s="11">
        <v>0.6667</v>
      </c>
      <c r="AC12" s="11">
        <v>0.1667</v>
      </c>
      <c r="AD12" s="11">
        <v>0.1667</v>
      </c>
    </row>
    <row r="13" customFormat="1" ht="22" customHeight="1" spans="1:30">
      <c r="A13" s="8" t="s">
        <v>31</v>
      </c>
      <c r="B13" s="8" t="str">
        <f>VLOOKUP(E13,[1]Sheet1!$C:$E,2,FALSE)</f>
        <v>王森</v>
      </c>
      <c r="C13" s="9" t="str">
        <f>VLOOKUP(E13,[1]Sheet1!$C:$E,3,FALSE)</f>
        <v>A</v>
      </c>
      <c r="D13" s="8" t="s">
        <v>42</v>
      </c>
      <c r="E13" s="10">
        <v>158003737</v>
      </c>
      <c r="F13" s="8">
        <v>4.9</v>
      </c>
      <c r="G13" s="8">
        <v>116</v>
      </c>
      <c r="H13" s="8">
        <v>4959.86</v>
      </c>
      <c r="I13" s="8">
        <v>0</v>
      </c>
      <c r="J13" s="8">
        <v>42.76</v>
      </c>
      <c r="K13" s="8">
        <v>7014</v>
      </c>
      <c r="L13" s="11">
        <v>0.085</v>
      </c>
      <c r="M13" s="11">
        <v>0.186</v>
      </c>
      <c r="N13" s="11">
        <v>0.0158</v>
      </c>
      <c r="O13" s="8">
        <v>0</v>
      </c>
      <c r="P13" s="8">
        <v>0</v>
      </c>
      <c r="Q13" s="8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0.187</v>
      </c>
      <c r="W13" s="8">
        <v>7</v>
      </c>
      <c r="X13" s="8">
        <v>5</v>
      </c>
      <c r="Y13" s="8">
        <v>1</v>
      </c>
      <c r="Z13" s="8">
        <v>1</v>
      </c>
      <c r="AA13" s="11">
        <v>0.0603</v>
      </c>
      <c r="AB13" s="11">
        <v>0.7143</v>
      </c>
      <c r="AC13" s="11">
        <v>0.1429</v>
      </c>
      <c r="AD13" s="11">
        <v>0.1429</v>
      </c>
    </row>
    <row r="14" customFormat="1" ht="22" customHeight="1" spans="1:30">
      <c r="A14" s="8" t="s">
        <v>31</v>
      </c>
      <c r="B14" s="8" t="str">
        <f>VLOOKUP(E14,[1]Sheet1!$C:$E,2,FALSE)</f>
        <v>徐从众</v>
      </c>
      <c r="C14" s="9" t="str">
        <f>VLOOKUP(E14,[1]Sheet1!$C:$E,3,FALSE)</f>
        <v>A</v>
      </c>
      <c r="D14" s="12" t="s">
        <v>43</v>
      </c>
      <c r="E14" s="13">
        <v>2019399415</v>
      </c>
      <c r="F14" s="12">
        <v>4.4</v>
      </c>
      <c r="G14" s="8">
        <v>101</v>
      </c>
      <c r="H14" s="8">
        <v>4607.08</v>
      </c>
      <c r="I14" s="8">
        <v>0</v>
      </c>
      <c r="J14" s="8">
        <v>45.61</v>
      </c>
      <c r="K14" s="8">
        <v>8452</v>
      </c>
      <c r="L14" s="11">
        <v>0.072</v>
      </c>
      <c r="M14" s="11">
        <v>0.165</v>
      </c>
      <c r="N14" s="11">
        <v>0.0119</v>
      </c>
      <c r="O14" s="8">
        <v>0</v>
      </c>
      <c r="P14" s="8">
        <v>0</v>
      </c>
      <c r="Q14" s="8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0.167</v>
      </c>
      <c r="W14" s="8">
        <v>3</v>
      </c>
      <c r="X14" s="8">
        <v>3</v>
      </c>
      <c r="Y14" s="8">
        <v>0</v>
      </c>
      <c r="Z14" s="8">
        <v>0</v>
      </c>
      <c r="AA14" s="11">
        <v>0.0297</v>
      </c>
      <c r="AB14" s="11">
        <v>1</v>
      </c>
      <c r="AC14" s="11">
        <v>0</v>
      </c>
      <c r="AD14" s="11">
        <v>0</v>
      </c>
    </row>
    <row r="15" customFormat="1" ht="22" customHeight="1" spans="1:30">
      <c r="A15" s="8" t="s">
        <v>31</v>
      </c>
      <c r="B15" s="8" t="e">
        <f>VLOOKUP(E15,[1]Sheet1!$C:$E,2,FALSE)</f>
        <v>#N/A</v>
      </c>
      <c r="C15" s="8" t="e">
        <f>VLOOKUP(E15,[1]Sheet1!$C:$E,3,FALSE)</f>
        <v>#N/A</v>
      </c>
      <c r="D15" s="8" t="s">
        <v>44</v>
      </c>
      <c r="E15" s="10">
        <v>1237268588</v>
      </c>
      <c r="F15" s="8">
        <v>5</v>
      </c>
      <c r="G15" s="8">
        <v>219</v>
      </c>
      <c r="H15" s="8">
        <v>4605.31</v>
      </c>
      <c r="I15" s="8">
        <v>0</v>
      </c>
      <c r="J15" s="8">
        <v>21.03</v>
      </c>
      <c r="K15" s="8">
        <v>5675</v>
      </c>
      <c r="L15" s="11">
        <v>0.083</v>
      </c>
      <c r="M15" s="11">
        <v>0.461</v>
      </c>
      <c r="N15" s="11">
        <v>0.0383</v>
      </c>
      <c r="O15" s="8">
        <v>0</v>
      </c>
      <c r="P15" s="8">
        <v>0</v>
      </c>
      <c r="Q15" s="8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0.286</v>
      </c>
      <c r="W15" s="8">
        <v>10</v>
      </c>
      <c r="X15" s="8">
        <v>10</v>
      </c>
      <c r="Y15" s="8">
        <v>0</v>
      </c>
      <c r="Z15" s="8">
        <v>0</v>
      </c>
      <c r="AA15" s="11">
        <v>0.0457</v>
      </c>
      <c r="AB15" s="11">
        <v>1</v>
      </c>
      <c r="AC15" s="11">
        <v>0</v>
      </c>
      <c r="AD15" s="11">
        <v>0</v>
      </c>
    </row>
    <row r="16" customFormat="1" ht="22" customHeight="1" spans="1:30">
      <c r="A16" s="8" t="s">
        <v>31</v>
      </c>
      <c r="B16" s="8" t="str">
        <f>VLOOKUP(E16,[1]Sheet1!$C:$E,2,FALSE)</f>
        <v>岳贝贝</v>
      </c>
      <c r="C16" s="9" t="str">
        <f>VLOOKUP(E16,[1]Sheet1!$C:$E,3,FALSE)</f>
        <v>S</v>
      </c>
      <c r="D16" s="12" t="s">
        <v>45</v>
      </c>
      <c r="E16" s="13">
        <v>529711675</v>
      </c>
      <c r="F16" s="12">
        <v>4.4</v>
      </c>
      <c r="G16" s="8">
        <v>169</v>
      </c>
      <c r="H16" s="8">
        <v>4539.49</v>
      </c>
      <c r="I16" s="8">
        <v>34.84</v>
      </c>
      <c r="J16" s="8">
        <v>26.86</v>
      </c>
      <c r="K16" s="8">
        <v>9801</v>
      </c>
      <c r="L16" s="11">
        <v>0.078</v>
      </c>
      <c r="M16" s="11">
        <v>0.224</v>
      </c>
      <c r="N16" s="11">
        <v>0.0175</v>
      </c>
      <c r="O16" s="8">
        <v>6766</v>
      </c>
      <c r="P16" s="8">
        <v>3035</v>
      </c>
      <c r="Q16" s="8">
        <v>69</v>
      </c>
      <c r="R16" s="11">
        <v>0.081</v>
      </c>
      <c r="S16" s="11">
        <v>0.07</v>
      </c>
      <c r="T16" s="11">
        <v>0.185</v>
      </c>
      <c r="U16" s="11">
        <v>0.324</v>
      </c>
      <c r="V16" s="11">
        <v>0.091</v>
      </c>
      <c r="W16" s="8">
        <v>4</v>
      </c>
      <c r="X16" s="8">
        <v>3</v>
      </c>
      <c r="Y16" s="8">
        <v>0</v>
      </c>
      <c r="Z16" s="8">
        <v>1</v>
      </c>
      <c r="AA16" s="11">
        <v>0.0237</v>
      </c>
      <c r="AB16" s="11">
        <v>0.75</v>
      </c>
      <c r="AC16" s="11">
        <v>0</v>
      </c>
      <c r="AD16" s="11">
        <v>0.25</v>
      </c>
    </row>
    <row r="17" customFormat="1" ht="22" customHeight="1" spans="1:30">
      <c r="A17" s="8" t="s">
        <v>31</v>
      </c>
      <c r="B17" s="8" t="str">
        <f>VLOOKUP(E17,[1]Sheet1!$C:$E,2,FALSE)</f>
        <v>刘欢</v>
      </c>
      <c r="C17" s="9" t="str">
        <f>VLOOKUP(E17,[1]Sheet1!$C:$E,3,FALSE)</f>
        <v>S</v>
      </c>
      <c r="D17" s="8" t="s">
        <v>46</v>
      </c>
      <c r="E17" s="10">
        <v>161302378</v>
      </c>
      <c r="F17" s="8">
        <v>4.9</v>
      </c>
      <c r="G17" s="8">
        <v>98</v>
      </c>
      <c r="H17" s="8">
        <v>4531.85</v>
      </c>
      <c r="I17" s="8">
        <v>0</v>
      </c>
      <c r="J17" s="8">
        <v>46.24</v>
      </c>
      <c r="K17" s="8">
        <v>3661</v>
      </c>
      <c r="L17" s="11">
        <v>0.075</v>
      </c>
      <c r="M17" s="11">
        <v>0.355</v>
      </c>
      <c r="N17" s="11">
        <v>0.0266</v>
      </c>
      <c r="O17" s="8">
        <v>0</v>
      </c>
      <c r="P17" s="8">
        <v>0</v>
      </c>
      <c r="Q17" s="8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0.147</v>
      </c>
      <c r="W17" s="8">
        <v>4</v>
      </c>
      <c r="X17" s="8">
        <v>4</v>
      </c>
      <c r="Y17" s="8">
        <v>0</v>
      </c>
      <c r="Z17" s="8">
        <v>0</v>
      </c>
      <c r="AA17" s="11">
        <v>0.0408</v>
      </c>
      <c r="AB17" s="11">
        <v>1</v>
      </c>
      <c r="AC17" s="11">
        <v>0</v>
      </c>
      <c r="AD17" s="11">
        <v>0</v>
      </c>
    </row>
    <row r="18" customFormat="1" ht="22" customHeight="1" spans="1:30">
      <c r="A18" s="8" t="s">
        <v>31</v>
      </c>
      <c r="B18" s="8" t="str">
        <f>VLOOKUP(E18,[1]Sheet1!$C:$E,2,FALSE)</f>
        <v>徐从众</v>
      </c>
      <c r="C18" s="9" t="str">
        <f>VLOOKUP(E18,[1]Sheet1!$C:$E,3,FALSE)</f>
        <v>A</v>
      </c>
      <c r="D18" s="8" t="s">
        <v>47</v>
      </c>
      <c r="E18" s="10">
        <v>1157637090</v>
      </c>
      <c r="F18" s="8">
        <v>4.8</v>
      </c>
      <c r="G18" s="8">
        <v>74</v>
      </c>
      <c r="H18" s="8">
        <v>4276.91</v>
      </c>
      <c r="I18" s="8">
        <v>0</v>
      </c>
      <c r="J18" s="8">
        <v>57.8</v>
      </c>
      <c r="K18" s="8">
        <v>4349</v>
      </c>
      <c r="L18" s="11">
        <v>0.091</v>
      </c>
      <c r="M18" s="11">
        <v>0.185</v>
      </c>
      <c r="N18" s="11">
        <v>0.0168</v>
      </c>
      <c r="O18" s="8">
        <v>0</v>
      </c>
      <c r="P18" s="8">
        <v>0</v>
      </c>
      <c r="Q18" s="8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0.205</v>
      </c>
      <c r="W18" s="8">
        <v>3</v>
      </c>
      <c r="X18" s="8">
        <v>3</v>
      </c>
      <c r="Y18" s="8">
        <v>0</v>
      </c>
      <c r="Z18" s="8">
        <v>0</v>
      </c>
      <c r="AA18" s="11">
        <v>0.0405</v>
      </c>
      <c r="AB18" s="11">
        <v>1</v>
      </c>
      <c r="AC18" s="11">
        <v>0</v>
      </c>
      <c r="AD18" s="11">
        <v>0</v>
      </c>
    </row>
    <row r="19" customFormat="1" ht="22" customHeight="1" spans="1:30">
      <c r="A19" s="8" t="s">
        <v>31</v>
      </c>
      <c r="B19" s="8" t="str">
        <f>VLOOKUP(E19,[1]Sheet1!$C:$E,2,FALSE)</f>
        <v>王森</v>
      </c>
      <c r="C19" s="9" t="str">
        <f>VLOOKUP(E19,[1]Sheet1!$C:$E,3,FALSE)</f>
        <v>A</v>
      </c>
      <c r="D19" s="12" t="s">
        <v>48</v>
      </c>
      <c r="E19" s="13">
        <v>2122969432</v>
      </c>
      <c r="F19" s="12">
        <v>4.6</v>
      </c>
      <c r="G19" s="8">
        <v>69</v>
      </c>
      <c r="H19" s="8">
        <v>4264.97</v>
      </c>
      <c r="I19" s="8">
        <v>75.77</v>
      </c>
      <c r="J19" s="8">
        <v>61.81</v>
      </c>
      <c r="K19" s="8">
        <v>4382</v>
      </c>
      <c r="L19" s="11">
        <v>0.076</v>
      </c>
      <c r="M19" s="11">
        <v>0.199</v>
      </c>
      <c r="N19" s="11">
        <v>0.0151</v>
      </c>
      <c r="O19" s="8">
        <v>3247</v>
      </c>
      <c r="P19" s="8">
        <v>1135</v>
      </c>
      <c r="Q19" s="8">
        <v>42</v>
      </c>
      <c r="R19" s="11">
        <v>0.064</v>
      </c>
      <c r="S19" s="11">
        <v>0.11</v>
      </c>
      <c r="T19" s="11">
        <v>0.116</v>
      </c>
      <c r="U19" s="11">
        <v>0.336</v>
      </c>
      <c r="V19" s="11">
        <v>0.191</v>
      </c>
      <c r="W19" s="8">
        <v>4</v>
      </c>
      <c r="X19" s="8">
        <v>4</v>
      </c>
      <c r="Y19" s="8">
        <v>0</v>
      </c>
      <c r="Z19" s="8">
        <v>0</v>
      </c>
      <c r="AA19" s="11">
        <v>0.058</v>
      </c>
      <c r="AB19" s="11">
        <v>1</v>
      </c>
      <c r="AC19" s="11">
        <v>0</v>
      </c>
      <c r="AD19" s="11">
        <v>0</v>
      </c>
    </row>
    <row r="20" customFormat="1" ht="22" customHeight="1" spans="1:30">
      <c r="A20" s="8" t="s">
        <v>31</v>
      </c>
      <c r="B20" s="8" t="str">
        <f>VLOOKUP(E20,[1]Sheet1!$C:$E,2,FALSE)</f>
        <v>王森</v>
      </c>
      <c r="C20" s="9" t="str">
        <f>VLOOKUP(E20,[1]Sheet1!$C:$E,3,FALSE)</f>
        <v>A</v>
      </c>
      <c r="D20" s="8" t="s">
        <v>49</v>
      </c>
      <c r="E20" s="10">
        <v>503869010</v>
      </c>
      <c r="F20" s="8">
        <v>4.9</v>
      </c>
      <c r="G20" s="8">
        <v>98</v>
      </c>
      <c r="H20" s="8">
        <v>4229.92</v>
      </c>
      <c r="I20" s="8">
        <v>0</v>
      </c>
      <c r="J20" s="8">
        <v>43.16</v>
      </c>
      <c r="K20" s="8">
        <v>3776</v>
      </c>
      <c r="L20" s="11">
        <v>0.105</v>
      </c>
      <c r="M20" s="11">
        <v>0.244</v>
      </c>
      <c r="N20" s="11">
        <v>0.0256</v>
      </c>
      <c r="O20" s="8">
        <v>0</v>
      </c>
      <c r="P20" s="8">
        <v>0</v>
      </c>
      <c r="Q20" s="8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0.272</v>
      </c>
      <c r="W20" s="8">
        <v>3</v>
      </c>
      <c r="X20" s="8">
        <v>3</v>
      </c>
      <c r="Y20" s="8">
        <v>0</v>
      </c>
      <c r="Z20" s="8">
        <v>0</v>
      </c>
      <c r="AA20" s="11">
        <v>0.0306</v>
      </c>
      <c r="AB20" s="11">
        <v>1</v>
      </c>
      <c r="AC20" s="11">
        <v>0</v>
      </c>
      <c r="AD20" s="11">
        <v>0</v>
      </c>
    </row>
    <row r="21" customFormat="1" ht="22" customHeight="1" spans="1:30">
      <c r="A21" s="8" t="s">
        <v>31</v>
      </c>
      <c r="B21" s="8" t="str">
        <f>VLOOKUP(E21,[1]Sheet1!$C:$E,2,FALSE)</f>
        <v>王森</v>
      </c>
      <c r="C21" s="9" t="str">
        <f>VLOOKUP(E21,[1]Sheet1!$C:$E,3,FALSE)</f>
        <v>A</v>
      </c>
      <c r="D21" s="8" t="s">
        <v>50</v>
      </c>
      <c r="E21" s="10">
        <v>510640161</v>
      </c>
      <c r="F21" s="8">
        <v>4.9</v>
      </c>
      <c r="G21" s="8">
        <v>108</v>
      </c>
      <c r="H21" s="8">
        <v>4153.07</v>
      </c>
      <c r="I21" s="8">
        <v>0</v>
      </c>
      <c r="J21" s="8">
        <v>38.45</v>
      </c>
      <c r="K21" s="8">
        <v>6314</v>
      </c>
      <c r="L21" s="11">
        <v>0.084</v>
      </c>
      <c r="M21" s="11">
        <v>0.195</v>
      </c>
      <c r="N21" s="11">
        <v>0.0164</v>
      </c>
      <c r="O21" s="8">
        <v>0</v>
      </c>
      <c r="P21" s="8">
        <v>0</v>
      </c>
      <c r="Q21" s="8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0.208</v>
      </c>
      <c r="W21" s="8">
        <v>4</v>
      </c>
      <c r="X21" s="8">
        <v>3</v>
      </c>
      <c r="Y21" s="8">
        <v>0</v>
      </c>
      <c r="Z21" s="8">
        <v>1</v>
      </c>
      <c r="AA21" s="11">
        <v>0.037</v>
      </c>
      <c r="AB21" s="11">
        <v>0.75</v>
      </c>
      <c r="AC21" s="11">
        <v>0</v>
      </c>
      <c r="AD21" s="11">
        <v>0.25</v>
      </c>
    </row>
    <row r="22" customFormat="1" ht="22" customHeight="1" spans="1:30">
      <c r="A22" s="8" t="s">
        <v>31</v>
      </c>
      <c r="B22" s="8" t="str">
        <f>VLOOKUP(E22,[1]Sheet1!$C:$E,2,FALSE)</f>
        <v>王森</v>
      </c>
      <c r="C22" s="8">
        <f>VLOOKUP(E22,[1]Sheet1!$C:$E,3,FALSE)</f>
        <v>0</v>
      </c>
      <c r="D22" s="12" t="s">
        <v>51</v>
      </c>
      <c r="E22" s="13">
        <v>1353375679</v>
      </c>
      <c r="F22" s="12">
        <v>4.6</v>
      </c>
      <c r="G22" s="8">
        <v>69</v>
      </c>
      <c r="H22" s="8">
        <v>4095.35</v>
      </c>
      <c r="I22" s="8">
        <v>72.33</v>
      </c>
      <c r="J22" s="8">
        <v>59.35</v>
      </c>
      <c r="K22" s="8">
        <v>4696</v>
      </c>
      <c r="L22" s="11">
        <v>0.075</v>
      </c>
      <c r="M22" s="11">
        <v>0.191</v>
      </c>
      <c r="N22" s="11">
        <v>0.0143</v>
      </c>
      <c r="O22" s="8">
        <v>4223</v>
      </c>
      <c r="P22" s="8">
        <v>473</v>
      </c>
      <c r="Q22" s="8">
        <v>22</v>
      </c>
      <c r="R22" s="11">
        <v>0.068</v>
      </c>
      <c r="S22" s="11">
        <v>0.135</v>
      </c>
      <c r="T22" s="11">
        <v>0.157</v>
      </c>
      <c r="U22" s="11">
        <v>0.344</v>
      </c>
      <c r="V22" s="11">
        <v>0.18</v>
      </c>
      <c r="W22" s="8">
        <v>0</v>
      </c>
      <c r="X22" s="8">
        <v>0</v>
      </c>
      <c r="Y22" s="8">
        <v>0</v>
      </c>
      <c r="Z22" s="8">
        <v>0</v>
      </c>
      <c r="AA22" s="11">
        <v>0</v>
      </c>
      <c r="AB22" s="11">
        <v>0</v>
      </c>
      <c r="AC22" s="11">
        <v>0</v>
      </c>
      <c r="AD22" s="11">
        <v>0</v>
      </c>
    </row>
    <row r="23" customFormat="1" ht="22" customHeight="1" spans="1:30">
      <c r="A23" s="8" t="s">
        <v>31</v>
      </c>
      <c r="B23" s="8" t="str">
        <f>VLOOKUP(E23,[1]Sheet1!$C:$E,2,FALSE)</f>
        <v>王森</v>
      </c>
      <c r="C23" s="9" t="str">
        <f>VLOOKUP(E23,[1]Sheet1!$C:$E,3,FALSE)</f>
        <v>A</v>
      </c>
      <c r="D23" s="8" t="s">
        <v>52</v>
      </c>
      <c r="E23" s="10">
        <v>155830856</v>
      </c>
      <c r="F23" s="8">
        <v>4.9</v>
      </c>
      <c r="G23" s="8">
        <v>108</v>
      </c>
      <c r="H23" s="8">
        <v>4008.72</v>
      </c>
      <c r="I23" s="8">
        <v>0</v>
      </c>
      <c r="J23" s="8">
        <v>37.12</v>
      </c>
      <c r="K23" s="8">
        <v>5624</v>
      </c>
      <c r="L23" s="11">
        <v>0.086</v>
      </c>
      <c r="M23" s="11">
        <v>0.22</v>
      </c>
      <c r="N23" s="11">
        <v>0.0189</v>
      </c>
      <c r="O23" s="8">
        <v>0</v>
      </c>
      <c r="P23" s="8">
        <v>0</v>
      </c>
      <c r="Q23" s="8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0.194</v>
      </c>
      <c r="W23" s="8">
        <v>7</v>
      </c>
      <c r="X23" s="8">
        <v>6</v>
      </c>
      <c r="Y23" s="8">
        <v>0</v>
      </c>
      <c r="Z23" s="8">
        <v>1</v>
      </c>
      <c r="AA23" s="11">
        <v>0.0648</v>
      </c>
      <c r="AB23" s="11">
        <v>0.8571</v>
      </c>
      <c r="AC23" s="11">
        <v>0</v>
      </c>
      <c r="AD23" s="11">
        <v>0.1429</v>
      </c>
    </row>
    <row r="24" customFormat="1" ht="22" customHeight="1" spans="1:30">
      <c r="A24" s="8" t="s">
        <v>31</v>
      </c>
      <c r="B24" s="8" t="str">
        <f>VLOOKUP(E24,[1]Sheet1!$C:$E,2,FALSE)</f>
        <v>王森</v>
      </c>
      <c r="C24" s="9" t="str">
        <f>VLOOKUP(E24,[1]Sheet1!$C:$E,3,FALSE)</f>
        <v>A</v>
      </c>
      <c r="D24" s="8" t="s">
        <v>53</v>
      </c>
      <c r="E24" s="10">
        <v>1220183</v>
      </c>
      <c r="F24" s="8">
        <v>5</v>
      </c>
      <c r="G24" s="8">
        <v>84</v>
      </c>
      <c r="H24" s="8">
        <v>3946.5</v>
      </c>
      <c r="I24" s="8">
        <v>0</v>
      </c>
      <c r="J24" s="8">
        <v>46.98</v>
      </c>
      <c r="K24" s="8">
        <v>4327</v>
      </c>
      <c r="L24" s="11">
        <v>0.099</v>
      </c>
      <c r="M24" s="11">
        <v>0.194</v>
      </c>
      <c r="N24" s="11">
        <v>0.0192</v>
      </c>
      <c r="O24" s="8">
        <v>0</v>
      </c>
      <c r="P24" s="8">
        <v>0</v>
      </c>
      <c r="Q24" s="8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0.244</v>
      </c>
      <c r="W24" s="8">
        <v>4</v>
      </c>
      <c r="X24" s="8">
        <v>4</v>
      </c>
      <c r="Y24" s="8">
        <v>0</v>
      </c>
      <c r="Z24" s="8">
        <v>0</v>
      </c>
      <c r="AA24" s="11">
        <v>0.0476</v>
      </c>
      <c r="AB24" s="11">
        <v>1</v>
      </c>
      <c r="AC24" s="11">
        <v>0</v>
      </c>
      <c r="AD24" s="11">
        <v>0</v>
      </c>
    </row>
    <row r="25" customFormat="1" ht="22" customHeight="1" spans="1:30">
      <c r="A25" s="8" t="s">
        <v>31</v>
      </c>
      <c r="B25" s="8" t="str">
        <f>VLOOKUP(E25,[1]Sheet1!$C:$E,2,FALSE)</f>
        <v>徐从众</v>
      </c>
      <c r="C25" s="9" t="str">
        <f>VLOOKUP(E25,[1]Sheet1!$C:$E,3,FALSE)</f>
        <v>A</v>
      </c>
      <c r="D25" s="8" t="s">
        <v>54</v>
      </c>
      <c r="E25" s="10">
        <v>528855339</v>
      </c>
      <c r="F25" s="8">
        <v>5</v>
      </c>
      <c r="G25" s="8">
        <v>62</v>
      </c>
      <c r="H25" s="8">
        <v>3936.63</v>
      </c>
      <c r="I25" s="8">
        <v>0</v>
      </c>
      <c r="J25" s="8">
        <v>63.49</v>
      </c>
      <c r="K25" s="8">
        <v>3178</v>
      </c>
      <c r="L25" s="11">
        <v>0.093</v>
      </c>
      <c r="M25" s="11">
        <v>0.21</v>
      </c>
      <c r="N25" s="11">
        <v>0.0195</v>
      </c>
      <c r="O25" s="8">
        <v>0</v>
      </c>
      <c r="P25" s="8">
        <v>0</v>
      </c>
      <c r="Q25" s="8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0.19</v>
      </c>
      <c r="W25" s="8">
        <v>4</v>
      </c>
      <c r="X25" s="8">
        <v>4</v>
      </c>
      <c r="Y25" s="8">
        <v>0</v>
      </c>
      <c r="Z25" s="8">
        <v>0</v>
      </c>
      <c r="AA25" s="11">
        <v>0.0645</v>
      </c>
      <c r="AB25" s="11">
        <v>1</v>
      </c>
      <c r="AC25" s="11">
        <v>0</v>
      </c>
      <c r="AD25" s="11">
        <v>0</v>
      </c>
    </row>
    <row r="26" customFormat="1" ht="22" customHeight="1" spans="1:30">
      <c r="A26" s="8" t="s">
        <v>31</v>
      </c>
      <c r="B26" s="8" t="str">
        <f>VLOOKUP(E26,[1]Sheet1!$C:$E,2,FALSE)</f>
        <v>王森</v>
      </c>
      <c r="C26" s="9" t="str">
        <f>VLOOKUP(E26,[1]Sheet1!$C:$E,3,FALSE)</f>
        <v>A</v>
      </c>
      <c r="D26" s="12" t="s">
        <v>55</v>
      </c>
      <c r="E26" s="13">
        <v>508350761</v>
      </c>
      <c r="F26" s="12">
        <v>4.5</v>
      </c>
      <c r="G26" s="8">
        <v>58</v>
      </c>
      <c r="H26" s="8">
        <v>3909.09</v>
      </c>
      <c r="I26" s="8">
        <v>89.53</v>
      </c>
      <c r="J26" s="8">
        <v>67.4</v>
      </c>
      <c r="K26" s="8">
        <v>4664</v>
      </c>
      <c r="L26" s="11">
        <v>0.074</v>
      </c>
      <c r="M26" s="11">
        <v>0.163</v>
      </c>
      <c r="N26" s="11">
        <v>0.0121</v>
      </c>
      <c r="O26" s="8">
        <v>3476</v>
      </c>
      <c r="P26" s="8">
        <v>1188</v>
      </c>
      <c r="Q26" s="8">
        <v>30</v>
      </c>
      <c r="R26" s="11">
        <v>0.061</v>
      </c>
      <c r="S26" s="11">
        <v>0.11</v>
      </c>
      <c r="T26" s="11">
        <v>0.123</v>
      </c>
      <c r="U26" s="11">
        <v>0.229</v>
      </c>
      <c r="V26" s="11">
        <v>0.205</v>
      </c>
      <c r="W26" s="8">
        <v>0</v>
      </c>
      <c r="X26" s="8">
        <v>0</v>
      </c>
      <c r="Y26" s="8">
        <v>0</v>
      </c>
      <c r="Z26" s="8">
        <v>0</v>
      </c>
      <c r="AA26" s="11">
        <v>0</v>
      </c>
      <c r="AB26" s="11">
        <v>0</v>
      </c>
      <c r="AC26" s="11">
        <v>0</v>
      </c>
      <c r="AD26" s="11">
        <v>0</v>
      </c>
    </row>
    <row r="27" customFormat="1" ht="22" customHeight="1" spans="1:30">
      <c r="A27" s="8" t="s">
        <v>31</v>
      </c>
      <c r="B27" s="8" t="str">
        <f>VLOOKUP(E27,[1]Sheet1!$C:$E,2,FALSE)</f>
        <v>刘欢</v>
      </c>
      <c r="C27" s="9" t="str">
        <f>VLOOKUP(E27,[1]Sheet1!$C:$E,3,FALSE)</f>
        <v>A</v>
      </c>
      <c r="D27" s="8" t="s">
        <v>56</v>
      </c>
      <c r="E27" s="10">
        <v>161879320</v>
      </c>
      <c r="F27" s="8">
        <v>5</v>
      </c>
      <c r="G27" s="8">
        <v>97</v>
      </c>
      <c r="H27" s="8">
        <v>3907.53</v>
      </c>
      <c r="I27" s="8">
        <v>0</v>
      </c>
      <c r="J27" s="8">
        <v>40.28</v>
      </c>
      <c r="K27" s="8">
        <v>3270</v>
      </c>
      <c r="L27" s="11">
        <v>0.08</v>
      </c>
      <c r="M27" s="11">
        <v>0.363</v>
      </c>
      <c r="N27" s="11">
        <v>0.029</v>
      </c>
      <c r="O27" s="8">
        <v>0</v>
      </c>
      <c r="P27" s="8">
        <v>0</v>
      </c>
      <c r="Q27" s="8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0.165</v>
      </c>
      <c r="W27" s="8">
        <v>5</v>
      </c>
      <c r="X27" s="8">
        <v>5</v>
      </c>
      <c r="Y27" s="8">
        <v>0</v>
      </c>
      <c r="Z27" s="8">
        <v>0</v>
      </c>
      <c r="AA27" s="11">
        <v>0.0515</v>
      </c>
      <c r="AB27" s="11">
        <v>1</v>
      </c>
      <c r="AC27" s="11">
        <v>0</v>
      </c>
      <c r="AD27" s="11">
        <v>0</v>
      </c>
    </row>
    <row r="28" customFormat="1" ht="22" customHeight="1" spans="1:30">
      <c r="A28" s="8" t="s">
        <v>31</v>
      </c>
      <c r="B28" s="8" t="str">
        <f>VLOOKUP(E28,[1]Sheet1!$C:$E,2,FALSE)</f>
        <v>王森</v>
      </c>
      <c r="C28" s="9" t="str">
        <f>VLOOKUP(E28,[1]Sheet1!$C:$E,3,FALSE)</f>
        <v>A</v>
      </c>
      <c r="D28" s="12" t="s">
        <v>57</v>
      </c>
      <c r="E28" s="13">
        <v>540895648</v>
      </c>
      <c r="F28" s="12">
        <v>4.5</v>
      </c>
      <c r="G28" s="8">
        <v>114</v>
      </c>
      <c r="H28" s="8">
        <v>3867.07</v>
      </c>
      <c r="I28" s="8">
        <v>0</v>
      </c>
      <c r="J28" s="8">
        <v>33.92</v>
      </c>
      <c r="K28" s="8">
        <v>6810</v>
      </c>
      <c r="L28" s="11">
        <v>0.081</v>
      </c>
      <c r="M28" s="11">
        <v>0.202</v>
      </c>
      <c r="N28" s="11">
        <v>0.0164</v>
      </c>
      <c r="O28" s="8">
        <v>0</v>
      </c>
      <c r="P28" s="8">
        <v>0</v>
      </c>
      <c r="Q28" s="8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0.253</v>
      </c>
      <c r="W28" s="8">
        <v>3</v>
      </c>
      <c r="X28" s="8">
        <v>3</v>
      </c>
      <c r="Y28" s="8">
        <v>0</v>
      </c>
      <c r="Z28" s="8">
        <v>0</v>
      </c>
      <c r="AA28" s="11">
        <v>0.0263</v>
      </c>
      <c r="AB28" s="11">
        <v>1</v>
      </c>
      <c r="AC28" s="11">
        <v>0</v>
      </c>
      <c r="AD28" s="11">
        <v>0</v>
      </c>
    </row>
    <row r="29" customFormat="1" ht="22" customHeight="1" spans="1:30">
      <c r="A29" s="8" t="s">
        <v>31</v>
      </c>
      <c r="B29" s="8" t="str">
        <f>VLOOKUP(E29,[1]Sheet1!$C:$E,2,FALSE)</f>
        <v>王森</v>
      </c>
      <c r="C29" s="9" t="str">
        <f>VLOOKUP(E29,[1]Sheet1!$C:$E,3,FALSE)</f>
        <v>S</v>
      </c>
      <c r="D29" s="8" t="s">
        <v>58</v>
      </c>
      <c r="E29" s="10">
        <v>544558577</v>
      </c>
      <c r="F29" s="8">
        <v>4.9</v>
      </c>
      <c r="G29" s="8">
        <v>52</v>
      </c>
      <c r="H29" s="8">
        <v>3856.6</v>
      </c>
      <c r="I29" s="8">
        <v>0</v>
      </c>
      <c r="J29" s="8">
        <v>74.17</v>
      </c>
      <c r="K29" s="8">
        <v>4646</v>
      </c>
      <c r="L29" s="11">
        <v>0.084</v>
      </c>
      <c r="M29" s="11">
        <v>0.133</v>
      </c>
      <c r="N29" s="11">
        <v>0.0112</v>
      </c>
      <c r="O29" s="8">
        <v>0</v>
      </c>
      <c r="P29" s="8">
        <v>0</v>
      </c>
      <c r="Q29" s="8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0.214</v>
      </c>
      <c r="W29" s="8">
        <v>2</v>
      </c>
      <c r="X29" s="8">
        <v>1</v>
      </c>
      <c r="Y29" s="8">
        <v>1</v>
      </c>
      <c r="Z29" s="8">
        <v>0</v>
      </c>
      <c r="AA29" s="11">
        <v>0.0385</v>
      </c>
      <c r="AB29" s="11">
        <v>0.5</v>
      </c>
      <c r="AC29" s="11">
        <v>0.5</v>
      </c>
      <c r="AD29" s="11">
        <v>0</v>
      </c>
    </row>
    <row r="30" customFormat="1" ht="22" customHeight="1" spans="1:30">
      <c r="A30" s="8" t="s">
        <v>31</v>
      </c>
      <c r="B30" s="8" t="str">
        <f>VLOOKUP(E30,[1]Sheet1!$C:$E,2,FALSE)</f>
        <v>徐从众</v>
      </c>
      <c r="C30" s="9" t="str">
        <f>VLOOKUP(E30,[1]Sheet1!$C:$E,3,FALSE)</f>
        <v>A</v>
      </c>
      <c r="D30" s="8" t="s">
        <v>59</v>
      </c>
      <c r="E30" s="10">
        <v>512393660</v>
      </c>
      <c r="F30" s="8">
        <v>4.9</v>
      </c>
      <c r="G30" s="8">
        <v>75</v>
      </c>
      <c r="H30" s="8">
        <v>3813.92</v>
      </c>
      <c r="I30" s="8">
        <v>0</v>
      </c>
      <c r="J30" s="8">
        <v>50.85</v>
      </c>
      <c r="K30" s="8">
        <v>3907</v>
      </c>
      <c r="L30" s="11">
        <v>0.077</v>
      </c>
      <c r="M30" s="11">
        <v>0.248</v>
      </c>
      <c r="N30" s="11">
        <v>0.0191</v>
      </c>
      <c r="O30" s="8">
        <v>0</v>
      </c>
      <c r="P30" s="8">
        <v>0</v>
      </c>
      <c r="Q30" s="8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0.204</v>
      </c>
      <c r="W30" s="8">
        <v>1</v>
      </c>
      <c r="X30" s="8">
        <v>1</v>
      </c>
      <c r="Y30" s="8">
        <v>0</v>
      </c>
      <c r="Z30" s="8">
        <v>0</v>
      </c>
      <c r="AA30" s="11">
        <v>0.0133</v>
      </c>
      <c r="AB30" s="11">
        <v>1</v>
      </c>
      <c r="AC30" s="11">
        <v>0</v>
      </c>
      <c r="AD30" s="11">
        <v>0</v>
      </c>
    </row>
    <row r="31" customFormat="1" ht="22" customHeight="1" spans="1:30">
      <c r="A31" s="8" t="s">
        <v>31</v>
      </c>
      <c r="B31" s="8" t="str">
        <f>VLOOKUP(E31,[1]Sheet1!$C:$E,2,FALSE)</f>
        <v>王森</v>
      </c>
      <c r="C31" s="9" t="str">
        <f>VLOOKUP(E31,[1]Sheet1!$C:$E,3,FALSE)</f>
        <v>A</v>
      </c>
      <c r="D31" s="8" t="s">
        <v>60</v>
      </c>
      <c r="E31" s="10">
        <v>2038524703</v>
      </c>
      <c r="F31" s="8">
        <v>5</v>
      </c>
      <c r="G31" s="8">
        <v>76</v>
      </c>
      <c r="H31" s="8">
        <v>3745.8</v>
      </c>
      <c r="I31" s="8">
        <v>0</v>
      </c>
      <c r="J31" s="8">
        <v>49.29</v>
      </c>
      <c r="K31" s="8">
        <v>3945</v>
      </c>
      <c r="L31" s="11">
        <v>0.096</v>
      </c>
      <c r="M31" s="11">
        <v>0.195</v>
      </c>
      <c r="N31" s="11">
        <v>0.0187</v>
      </c>
      <c r="O31" s="8">
        <v>0</v>
      </c>
      <c r="P31" s="8">
        <v>0</v>
      </c>
      <c r="Q31" s="8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0.247</v>
      </c>
      <c r="W31" s="8">
        <v>2</v>
      </c>
      <c r="X31" s="8">
        <v>2</v>
      </c>
      <c r="Y31" s="8">
        <v>0</v>
      </c>
      <c r="Z31" s="8">
        <v>0</v>
      </c>
      <c r="AA31" s="11">
        <v>0.0263</v>
      </c>
      <c r="AB31" s="11">
        <v>1</v>
      </c>
      <c r="AC31" s="11">
        <v>0</v>
      </c>
      <c r="AD31" s="11">
        <v>0</v>
      </c>
    </row>
    <row r="32" customFormat="1" ht="22" customHeight="1" spans="1:30">
      <c r="A32" s="8" t="s">
        <v>31</v>
      </c>
      <c r="B32" s="8" t="str">
        <f>VLOOKUP(E32,[1]Sheet1!$C:$E,2,FALSE)</f>
        <v>王森</v>
      </c>
      <c r="C32" s="9" t="str">
        <f>VLOOKUP(E32,[1]Sheet1!$C:$E,3,FALSE)</f>
        <v>A</v>
      </c>
      <c r="D32" s="8" t="s">
        <v>61</v>
      </c>
      <c r="E32" s="10">
        <v>2131630767</v>
      </c>
      <c r="F32" s="8">
        <v>5</v>
      </c>
      <c r="G32" s="8">
        <v>66</v>
      </c>
      <c r="H32" s="8">
        <v>3672.46</v>
      </c>
      <c r="I32" s="8">
        <v>0</v>
      </c>
      <c r="J32" s="8">
        <v>55.64</v>
      </c>
      <c r="K32" s="8">
        <v>3552</v>
      </c>
      <c r="L32" s="11">
        <v>0.117</v>
      </c>
      <c r="M32" s="11">
        <v>0.152</v>
      </c>
      <c r="N32" s="11">
        <v>0.0178</v>
      </c>
      <c r="O32" s="8">
        <v>0</v>
      </c>
      <c r="P32" s="8">
        <v>0</v>
      </c>
      <c r="Q32" s="8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0.253</v>
      </c>
      <c r="W32" s="8">
        <v>7</v>
      </c>
      <c r="X32" s="8">
        <v>7</v>
      </c>
      <c r="Y32" s="8">
        <v>0</v>
      </c>
      <c r="Z32" s="8">
        <v>0</v>
      </c>
      <c r="AA32" s="11">
        <v>0.1061</v>
      </c>
      <c r="AB32" s="11">
        <v>1</v>
      </c>
      <c r="AC32" s="11">
        <v>0</v>
      </c>
      <c r="AD32" s="11">
        <v>0</v>
      </c>
    </row>
    <row r="33" customFormat="1" ht="22" customHeight="1" spans="1:30">
      <c r="A33" s="8" t="s">
        <v>31</v>
      </c>
      <c r="B33" s="8" t="str">
        <f>VLOOKUP(E33,[1]Sheet1!$C:$E,2,FALSE)</f>
        <v>徐从众</v>
      </c>
      <c r="C33" s="9" t="str">
        <f>VLOOKUP(E33,[1]Sheet1!$C:$E,3,FALSE)</f>
        <v>A</v>
      </c>
      <c r="D33" s="12" t="s">
        <v>62</v>
      </c>
      <c r="E33" s="13">
        <v>1329516215</v>
      </c>
      <c r="F33" s="12">
        <v>4.4</v>
      </c>
      <c r="G33" s="8">
        <v>74</v>
      </c>
      <c r="H33" s="8">
        <v>3635.03</v>
      </c>
      <c r="I33" s="8">
        <v>63.01</v>
      </c>
      <c r="J33" s="8">
        <v>49.12</v>
      </c>
      <c r="K33" s="8">
        <v>5665</v>
      </c>
      <c r="L33" s="11">
        <v>0.076</v>
      </c>
      <c r="M33" s="11">
        <v>0.169</v>
      </c>
      <c r="N33" s="11">
        <v>0.0128</v>
      </c>
      <c r="O33" s="8">
        <v>4549</v>
      </c>
      <c r="P33" s="8">
        <v>1116</v>
      </c>
      <c r="Q33" s="8">
        <v>44</v>
      </c>
      <c r="R33" s="11">
        <v>0.065</v>
      </c>
      <c r="S33" s="11">
        <v>0.121</v>
      </c>
      <c r="T33" s="11">
        <v>0.098</v>
      </c>
      <c r="U33" s="11">
        <v>0.326</v>
      </c>
      <c r="V33" s="11">
        <v>0.172</v>
      </c>
      <c r="W33" s="8">
        <v>0</v>
      </c>
      <c r="X33" s="8">
        <v>0</v>
      </c>
      <c r="Y33" s="8">
        <v>0</v>
      </c>
      <c r="Z33" s="8">
        <v>0</v>
      </c>
      <c r="AA33" s="11">
        <v>0</v>
      </c>
      <c r="AB33" s="11">
        <v>0</v>
      </c>
      <c r="AC33" s="11">
        <v>0</v>
      </c>
      <c r="AD33" s="11">
        <v>0</v>
      </c>
    </row>
    <row r="34" customFormat="1" ht="22" customHeight="1" spans="1:30">
      <c r="A34" s="8" t="s">
        <v>31</v>
      </c>
      <c r="B34" s="8" t="str">
        <f>VLOOKUP(E34,[1]Sheet1!$C:$E,2,FALSE)</f>
        <v>王森</v>
      </c>
      <c r="C34" s="9" t="str">
        <f>VLOOKUP(E34,[1]Sheet1!$C:$E,3,FALSE)</f>
        <v>S</v>
      </c>
      <c r="D34" s="12" t="s">
        <v>63</v>
      </c>
      <c r="E34" s="13">
        <v>520277737</v>
      </c>
      <c r="F34" s="12">
        <v>4.7</v>
      </c>
      <c r="G34" s="8">
        <v>99</v>
      </c>
      <c r="H34" s="8">
        <v>3628.62</v>
      </c>
      <c r="I34" s="8">
        <v>47.16</v>
      </c>
      <c r="J34" s="8">
        <v>36.65</v>
      </c>
      <c r="K34" s="8">
        <v>6850</v>
      </c>
      <c r="L34" s="11">
        <v>0.079</v>
      </c>
      <c r="M34" s="11">
        <v>0.184</v>
      </c>
      <c r="N34" s="11">
        <v>0.0145</v>
      </c>
      <c r="O34" s="8">
        <v>5414</v>
      </c>
      <c r="P34" s="8">
        <v>1436</v>
      </c>
      <c r="Q34" s="8">
        <v>46</v>
      </c>
      <c r="R34" s="11">
        <v>0.068</v>
      </c>
      <c r="S34" s="11">
        <v>0.12</v>
      </c>
      <c r="T34" s="11">
        <v>0.145</v>
      </c>
      <c r="U34" s="11">
        <v>0.267</v>
      </c>
      <c r="V34" s="11">
        <v>0.183</v>
      </c>
      <c r="W34" s="8">
        <v>2</v>
      </c>
      <c r="X34" s="8">
        <v>2</v>
      </c>
      <c r="Y34" s="8">
        <v>0</v>
      </c>
      <c r="Z34" s="8">
        <v>0</v>
      </c>
      <c r="AA34" s="11">
        <v>0.0202</v>
      </c>
      <c r="AB34" s="11">
        <v>1</v>
      </c>
      <c r="AC34" s="11">
        <v>0</v>
      </c>
      <c r="AD34" s="11">
        <v>0</v>
      </c>
    </row>
    <row r="35" customFormat="1" ht="22" customHeight="1" spans="1:30">
      <c r="A35" s="8" t="s">
        <v>31</v>
      </c>
      <c r="B35" s="8" t="str">
        <f>VLOOKUP(E35,[1]Sheet1!$C:$E,2,FALSE)</f>
        <v>徐从众</v>
      </c>
      <c r="C35" s="9" t="str">
        <f>VLOOKUP(E35,[1]Sheet1!$C:$E,3,FALSE)</f>
        <v>A</v>
      </c>
      <c r="D35" s="8" t="s">
        <v>64</v>
      </c>
      <c r="E35" s="10">
        <v>501904614</v>
      </c>
      <c r="F35" s="8">
        <v>4.8</v>
      </c>
      <c r="G35" s="8">
        <v>80</v>
      </c>
      <c r="H35" s="8">
        <v>3563.62</v>
      </c>
      <c r="I35" s="8">
        <v>0</v>
      </c>
      <c r="J35" s="8">
        <v>44.55</v>
      </c>
      <c r="K35" s="8">
        <v>4038</v>
      </c>
      <c r="L35" s="11">
        <v>0.083</v>
      </c>
      <c r="M35" s="11">
        <v>0.24</v>
      </c>
      <c r="N35" s="11">
        <v>0.0199</v>
      </c>
      <c r="O35" s="8">
        <v>0</v>
      </c>
      <c r="P35" s="8">
        <v>0</v>
      </c>
      <c r="Q35" s="8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0.206</v>
      </c>
      <c r="W35" s="8">
        <v>5</v>
      </c>
      <c r="X35" s="8">
        <v>5</v>
      </c>
      <c r="Y35" s="8">
        <v>0</v>
      </c>
      <c r="Z35" s="8">
        <v>0</v>
      </c>
      <c r="AA35" s="11">
        <v>0.0625</v>
      </c>
      <c r="AB35" s="11">
        <v>1</v>
      </c>
      <c r="AC35" s="11">
        <v>0</v>
      </c>
      <c r="AD35" s="11">
        <v>0</v>
      </c>
    </row>
    <row r="36" customFormat="1" ht="22" customHeight="1" spans="1:30">
      <c r="A36" s="8" t="s">
        <v>31</v>
      </c>
      <c r="B36" s="8" t="str">
        <f>VLOOKUP(E36,[1]Sheet1!$C:$E,2,FALSE)</f>
        <v>王森</v>
      </c>
      <c r="C36" s="9" t="str">
        <f>VLOOKUP(E36,[1]Sheet1!$C:$E,3,FALSE)</f>
        <v>A</v>
      </c>
      <c r="D36" s="8" t="s">
        <v>65</v>
      </c>
      <c r="E36" s="10">
        <v>154880657</v>
      </c>
      <c r="F36" s="8">
        <v>4.9</v>
      </c>
      <c r="G36" s="8">
        <v>113</v>
      </c>
      <c r="H36" s="8">
        <v>3562.33</v>
      </c>
      <c r="I36" s="8">
        <v>0</v>
      </c>
      <c r="J36" s="8">
        <v>31.53</v>
      </c>
      <c r="K36" s="8">
        <v>4517</v>
      </c>
      <c r="L36" s="11">
        <v>0.095</v>
      </c>
      <c r="M36" s="11">
        <v>0.259</v>
      </c>
      <c r="N36" s="11">
        <v>0.0246</v>
      </c>
      <c r="O36" s="8">
        <v>0</v>
      </c>
      <c r="P36" s="8">
        <v>0</v>
      </c>
      <c r="Q36" s="8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0.213</v>
      </c>
      <c r="W36" s="8">
        <v>3</v>
      </c>
      <c r="X36" s="8">
        <v>2</v>
      </c>
      <c r="Y36" s="8">
        <v>0</v>
      </c>
      <c r="Z36" s="8">
        <v>1</v>
      </c>
      <c r="AA36" s="11">
        <v>0.0265</v>
      </c>
      <c r="AB36" s="11">
        <v>0.6667</v>
      </c>
      <c r="AC36" s="11">
        <v>0</v>
      </c>
      <c r="AD36" s="11">
        <v>0.3333</v>
      </c>
    </row>
    <row r="37" customFormat="1" ht="22" customHeight="1" spans="1:30">
      <c r="A37" s="8" t="s">
        <v>31</v>
      </c>
      <c r="B37" s="8" t="str">
        <f>VLOOKUP(E37,[1]Sheet1!$C:$E,2,FALSE)</f>
        <v>岳贝贝</v>
      </c>
      <c r="C37" s="9" t="str">
        <f>VLOOKUP(E37,[1]Sheet1!$C:$E,3,FALSE)</f>
        <v>S</v>
      </c>
      <c r="D37" s="8" t="s">
        <v>66</v>
      </c>
      <c r="E37" s="10">
        <v>542804663</v>
      </c>
      <c r="F37" s="8">
        <v>4.8</v>
      </c>
      <c r="G37" s="8">
        <v>95</v>
      </c>
      <c r="H37" s="8">
        <v>3540.92</v>
      </c>
      <c r="I37" s="8">
        <v>49.2</v>
      </c>
      <c r="J37" s="8">
        <v>37.27</v>
      </c>
      <c r="K37" s="8">
        <v>7702</v>
      </c>
      <c r="L37" s="11">
        <v>0.064</v>
      </c>
      <c r="M37" s="11">
        <v>0.193</v>
      </c>
      <c r="N37" s="11">
        <v>0.0124</v>
      </c>
      <c r="O37" s="8">
        <v>6222</v>
      </c>
      <c r="P37" s="8">
        <v>1480</v>
      </c>
      <c r="Q37" s="8">
        <v>46</v>
      </c>
      <c r="R37" s="11">
        <v>0.057</v>
      </c>
      <c r="S37" s="11">
        <v>0.094</v>
      </c>
      <c r="T37" s="11">
        <v>0.138</v>
      </c>
      <c r="U37" s="11">
        <v>0.331</v>
      </c>
      <c r="V37" s="11">
        <v>0.22</v>
      </c>
      <c r="W37" s="8">
        <v>2</v>
      </c>
      <c r="X37" s="8">
        <v>2</v>
      </c>
      <c r="Y37" s="8">
        <v>0</v>
      </c>
      <c r="Z37" s="8">
        <v>0</v>
      </c>
      <c r="AA37" s="11">
        <v>0.0211</v>
      </c>
      <c r="AB37" s="11">
        <v>1</v>
      </c>
      <c r="AC37" s="11">
        <v>0</v>
      </c>
      <c r="AD37" s="11">
        <v>0</v>
      </c>
    </row>
    <row r="38" customFormat="1" ht="22" customHeight="1" spans="1:30">
      <c r="A38" s="8" t="s">
        <v>31</v>
      </c>
      <c r="B38" s="8" t="str">
        <f>VLOOKUP(E38,[1]Sheet1!$C:$E,2,FALSE)</f>
        <v>王森</v>
      </c>
      <c r="C38" s="9" t="str">
        <f>VLOOKUP(E38,[1]Sheet1!$C:$E,3,FALSE)</f>
        <v>A</v>
      </c>
      <c r="D38" s="8" t="s">
        <v>67</v>
      </c>
      <c r="E38" s="10">
        <v>1261952647</v>
      </c>
      <c r="F38" s="8">
        <v>4.9</v>
      </c>
      <c r="G38" s="8">
        <v>80</v>
      </c>
      <c r="H38" s="8">
        <v>3537.91</v>
      </c>
      <c r="I38" s="8">
        <v>0</v>
      </c>
      <c r="J38" s="8">
        <v>44.22</v>
      </c>
      <c r="K38" s="8">
        <v>5218</v>
      </c>
      <c r="L38" s="11">
        <v>0.08</v>
      </c>
      <c r="M38" s="11">
        <v>0.192</v>
      </c>
      <c r="N38" s="11">
        <v>0.0154</v>
      </c>
      <c r="O38" s="8">
        <v>0</v>
      </c>
      <c r="P38" s="8">
        <v>0</v>
      </c>
      <c r="Q38" s="8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0.185</v>
      </c>
      <c r="W38" s="8">
        <v>5</v>
      </c>
      <c r="X38" s="8">
        <v>5</v>
      </c>
      <c r="Y38" s="8">
        <v>0</v>
      </c>
      <c r="Z38" s="8">
        <v>0</v>
      </c>
      <c r="AA38" s="11">
        <v>0.0625</v>
      </c>
      <c r="AB38" s="11">
        <v>1</v>
      </c>
      <c r="AC38" s="11">
        <v>0</v>
      </c>
      <c r="AD38" s="11">
        <v>0</v>
      </c>
    </row>
    <row r="39" customFormat="1" ht="22" customHeight="1" spans="1:30">
      <c r="A39" s="8" t="s">
        <v>31</v>
      </c>
      <c r="B39" s="8" t="str">
        <f>VLOOKUP(E39,[1]Sheet1!$C:$E,2,FALSE)</f>
        <v>徐从众</v>
      </c>
      <c r="C39" s="9" t="str">
        <f>VLOOKUP(E39,[1]Sheet1!$C:$E,3,FALSE)</f>
        <v>S</v>
      </c>
      <c r="D39" s="12" t="s">
        <v>68</v>
      </c>
      <c r="E39" s="13">
        <v>1979108</v>
      </c>
      <c r="F39" s="12">
        <v>4.5</v>
      </c>
      <c r="G39" s="8">
        <v>57</v>
      </c>
      <c r="H39" s="8">
        <v>3461.28</v>
      </c>
      <c r="I39" s="8">
        <v>0</v>
      </c>
      <c r="J39" s="8">
        <v>60.72</v>
      </c>
      <c r="K39" s="8">
        <v>2379</v>
      </c>
      <c r="L39" s="11">
        <v>0.097</v>
      </c>
      <c r="M39" s="11">
        <v>0.248</v>
      </c>
      <c r="N39" s="11">
        <v>0.0241</v>
      </c>
      <c r="O39" s="8">
        <v>0</v>
      </c>
      <c r="P39" s="8">
        <v>0</v>
      </c>
      <c r="Q39" s="8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0.223</v>
      </c>
      <c r="W39" s="8">
        <v>3</v>
      </c>
      <c r="X39" s="8">
        <v>3</v>
      </c>
      <c r="Y39" s="8">
        <v>0</v>
      </c>
      <c r="Z39" s="8">
        <v>0</v>
      </c>
      <c r="AA39" s="11">
        <v>0.0526</v>
      </c>
      <c r="AB39" s="11">
        <v>1</v>
      </c>
      <c r="AC39" s="11">
        <v>0</v>
      </c>
      <c r="AD39" s="11">
        <v>0</v>
      </c>
    </row>
    <row r="40" customFormat="1" ht="22" customHeight="1" spans="1:30">
      <c r="A40" s="8" t="s">
        <v>31</v>
      </c>
      <c r="B40" s="8" t="e">
        <f>VLOOKUP(E40,[1]Sheet1!$C:$E,2,FALSE)</f>
        <v>#N/A</v>
      </c>
      <c r="C40" s="8" t="e">
        <f>VLOOKUP(E40,[1]Sheet1!$C:$E,3,FALSE)</f>
        <v>#N/A</v>
      </c>
      <c r="D40" s="8" t="s">
        <v>69</v>
      </c>
      <c r="E40" s="10">
        <v>1290138513</v>
      </c>
      <c r="F40" s="8">
        <v>4.8</v>
      </c>
      <c r="G40" s="8">
        <v>69</v>
      </c>
      <c r="H40" s="8">
        <v>3459.7</v>
      </c>
      <c r="I40" s="8">
        <v>62.44</v>
      </c>
      <c r="J40" s="8">
        <v>50.14</v>
      </c>
      <c r="K40" s="8">
        <v>4541</v>
      </c>
      <c r="L40" s="11">
        <v>0.095</v>
      </c>
      <c r="M40" s="11">
        <v>0.16</v>
      </c>
      <c r="N40" s="11">
        <v>0.0152</v>
      </c>
      <c r="O40" s="8">
        <v>3471</v>
      </c>
      <c r="P40" s="8">
        <v>1070</v>
      </c>
      <c r="Q40" s="8">
        <v>43</v>
      </c>
      <c r="R40" s="11">
        <v>0.076</v>
      </c>
      <c r="S40" s="11">
        <v>0.155</v>
      </c>
      <c r="T40" s="11">
        <v>0.098</v>
      </c>
      <c r="U40" s="11">
        <v>0.259</v>
      </c>
      <c r="V40" s="11">
        <v>0.252</v>
      </c>
      <c r="W40" s="8">
        <v>1</v>
      </c>
      <c r="X40" s="8">
        <v>1</v>
      </c>
      <c r="Y40" s="8">
        <v>0</v>
      </c>
      <c r="Z40" s="8">
        <v>0</v>
      </c>
      <c r="AA40" s="11">
        <v>0.0145</v>
      </c>
      <c r="AB40" s="11">
        <v>1</v>
      </c>
      <c r="AC40" s="11">
        <v>0</v>
      </c>
      <c r="AD40" s="11">
        <v>0</v>
      </c>
    </row>
    <row r="41" customFormat="1" ht="22" customHeight="1" spans="1:30">
      <c r="A41" s="8" t="s">
        <v>31</v>
      </c>
      <c r="B41" s="8" t="str">
        <f>VLOOKUP(E41,[1]Sheet1!$C:$E,2,FALSE)</f>
        <v>刘欢</v>
      </c>
      <c r="C41" s="9" t="str">
        <f>VLOOKUP(E41,[1]Sheet1!$C:$E,3,FALSE)</f>
        <v>S</v>
      </c>
      <c r="D41" s="8" t="s">
        <v>70</v>
      </c>
      <c r="E41" s="10">
        <v>168218800</v>
      </c>
      <c r="F41" s="8">
        <v>4.9</v>
      </c>
      <c r="G41" s="8">
        <v>70</v>
      </c>
      <c r="H41" s="8">
        <v>3438.63</v>
      </c>
      <c r="I41" s="8">
        <v>0</v>
      </c>
      <c r="J41" s="8">
        <v>49.12</v>
      </c>
      <c r="K41" s="8">
        <v>3477</v>
      </c>
      <c r="L41" s="11">
        <v>0.076</v>
      </c>
      <c r="M41" s="11">
        <v>0.266</v>
      </c>
      <c r="N41" s="11">
        <v>0.0202</v>
      </c>
      <c r="O41" s="8">
        <v>0</v>
      </c>
      <c r="P41" s="8">
        <v>0</v>
      </c>
      <c r="Q41" s="8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0.154</v>
      </c>
      <c r="W41" s="8">
        <v>4</v>
      </c>
      <c r="X41" s="8">
        <v>4</v>
      </c>
      <c r="Y41" s="8">
        <v>0</v>
      </c>
      <c r="Z41" s="8">
        <v>0</v>
      </c>
      <c r="AA41" s="11">
        <v>0.0571</v>
      </c>
      <c r="AB41" s="11">
        <v>1</v>
      </c>
      <c r="AC41" s="11">
        <v>0</v>
      </c>
      <c r="AD41" s="11">
        <v>0</v>
      </c>
    </row>
    <row r="42" customFormat="1" ht="22" customHeight="1" spans="1:30">
      <c r="A42" s="8" t="s">
        <v>31</v>
      </c>
      <c r="B42" s="8" t="e">
        <f>VLOOKUP(E42,[1]Sheet1!$C:$E,2,FALSE)</f>
        <v>#N/A</v>
      </c>
      <c r="C42" s="8" t="e">
        <f>VLOOKUP(E42,[1]Sheet1!$C:$E,3,FALSE)</f>
        <v>#N/A</v>
      </c>
      <c r="D42" s="12" t="s">
        <v>71</v>
      </c>
      <c r="E42" s="13">
        <v>507677201</v>
      </c>
      <c r="F42" s="12">
        <v>4.3</v>
      </c>
      <c r="G42" s="8">
        <v>122</v>
      </c>
      <c r="H42" s="8">
        <v>3409.42</v>
      </c>
      <c r="I42" s="8">
        <v>0</v>
      </c>
      <c r="J42" s="8">
        <v>27.95</v>
      </c>
      <c r="K42" s="8">
        <v>6481</v>
      </c>
      <c r="L42" s="11">
        <v>0.099</v>
      </c>
      <c r="M42" s="11">
        <v>0.189</v>
      </c>
      <c r="N42" s="11">
        <v>0.0187</v>
      </c>
      <c r="O42" s="8">
        <v>0</v>
      </c>
      <c r="P42" s="8">
        <v>0</v>
      </c>
      <c r="Q42" s="8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0.203</v>
      </c>
      <c r="W42" s="8">
        <v>6</v>
      </c>
      <c r="X42" s="8">
        <v>5</v>
      </c>
      <c r="Y42" s="8">
        <v>0</v>
      </c>
      <c r="Z42" s="8">
        <v>1</v>
      </c>
      <c r="AA42" s="11">
        <v>0.0492</v>
      </c>
      <c r="AB42" s="11">
        <v>0.8333</v>
      </c>
      <c r="AC42" s="11">
        <v>0</v>
      </c>
      <c r="AD42" s="11">
        <v>0.1667</v>
      </c>
    </row>
    <row r="43" customFormat="1" ht="22" customHeight="1" spans="1:30">
      <c r="A43" s="8" t="s">
        <v>31</v>
      </c>
      <c r="B43" s="8" t="str">
        <f>VLOOKUP(E43,[1]Sheet1!$C:$E,2,FALSE)</f>
        <v>王森</v>
      </c>
      <c r="C43" s="8" t="str">
        <f>VLOOKUP(E43,[1]Sheet1!$C:$E,3,FALSE)</f>
        <v>B</v>
      </c>
      <c r="D43" s="8" t="s">
        <v>72</v>
      </c>
      <c r="E43" s="10">
        <v>500725249</v>
      </c>
      <c r="F43" s="8">
        <v>4.9</v>
      </c>
      <c r="G43" s="8">
        <v>138</v>
      </c>
      <c r="H43" s="8">
        <v>3403.96</v>
      </c>
      <c r="I43" s="8">
        <v>0</v>
      </c>
      <c r="J43" s="8">
        <v>24.67</v>
      </c>
      <c r="K43" s="8">
        <v>5972</v>
      </c>
      <c r="L43" s="11">
        <v>0.068</v>
      </c>
      <c r="M43" s="11">
        <v>0.338</v>
      </c>
      <c r="N43" s="11">
        <v>0.023</v>
      </c>
      <c r="O43" s="8">
        <v>0</v>
      </c>
      <c r="P43" s="8">
        <v>0</v>
      </c>
      <c r="Q43" s="8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0.25</v>
      </c>
      <c r="W43" s="8">
        <v>6</v>
      </c>
      <c r="X43" s="8">
        <v>6</v>
      </c>
      <c r="Y43" s="8">
        <v>0</v>
      </c>
      <c r="Z43" s="8">
        <v>0</v>
      </c>
      <c r="AA43" s="11">
        <v>0.0435</v>
      </c>
      <c r="AB43" s="11">
        <v>1</v>
      </c>
      <c r="AC43" s="11">
        <v>0</v>
      </c>
      <c r="AD43" s="11">
        <v>0</v>
      </c>
    </row>
    <row r="44" customFormat="1" ht="22" customHeight="1" spans="1:30">
      <c r="A44" s="8" t="s">
        <v>31</v>
      </c>
      <c r="B44" s="8" t="str">
        <f>VLOOKUP(E44,[1]Sheet1!$C:$E,2,FALSE)</f>
        <v>王森</v>
      </c>
      <c r="C44" s="9" t="str">
        <f>VLOOKUP(E44,[1]Sheet1!$C:$E,3,FALSE)</f>
        <v>A</v>
      </c>
      <c r="D44" s="8" t="s">
        <v>73</v>
      </c>
      <c r="E44" s="10">
        <v>502210130</v>
      </c>
      <c r="F44" s="8">
        <v>4.9</v>
      </c>
      <c r="G44" s="8">
        <v>66</v>
      </c>
      <c r="H44" s="8">
        <v>3361.95</v>
      </c>
      <c r="I44" s="8">
        <v>0</v>
      </c>
      <c r="J44" s="8">
        <v>50.94</v>
      </c>
      <c r="K44" s="8">
        <v>4058</v>
      </c>
      <c r="L44" s="11">
        <v>0.11</v>
      </c>
      <c r="M44" s="11">
        <v>0.147</v>
      </c>
      <c r="N44" s="11">
        <v>0.0162</v>
      </c>
      <c r="O44" s="8">
        <v>0</v>
      </c>
      <c r="P44" s="8">
        <v>0</v>
      </c>
      <c r="Q44" s="8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0.244</v>
      </c>
      <c r="W44" s="8">
        <v>1</v>
      </c>
      <c r="X44" s="8">
        <v>1</v>
      </c>
      <c r="Y44" s="8">
        <v>0</v>
      </c>
      <c r="Z44" s="8">
        <v>0</v>
      </c>
      <c r="AA44" s="11">
        <v>0.0152</v>
      </c>
      <c r="AB44" s="11">
        <v>1</v>
      </c>
      <c r="AC44" s="11">
        <v>0</v>
      </c>
      <c r="AD44" s="11">
        <v>0</v>
      </c>
    </row>
    <row r="45" customFormat="1" ht="22" customHeight="1" spans="1:30">
      <c r="A45" s="8" t="s">
        <v>31</v>
      </c>
      <c r="B45" s="8" t="str">
        <f>VLOOKUP(E45,[1]Sheet1!$C:$E,2,FALSE)</f>
        <v>王森</v>
      </c>
      <c r="C45" s="9" t="str">
        <f>VLOOKUP(E45,[1]Sheet1!$C:$E,3,FALSE)</f>
        <v>A</v>
      </c>
      <c r="D45" s="8" t="s">
        <v>74</v>
      </c>
      <c r="E45" s="10">
        <v>536370458</v>
      </c>
      <c r="F45" s="8">
        <v>5</v>
      </c>
      <c r="G45" s="8">
        <v>59</v>
      </c>
      <c r="H45" s="8">
        <v>3244.64</v>
      </c>
      <c r="I45" s="8">
        <v>0</v>
      </c>
      <c r="J45" s="8">
        <v>54.99</v>
      </c>
      <c r="K45" s="8">
        <v>3629</v>
      </c>
      <c r="L45" s="11">
        <v>0.105</v>
      </c>
      <c r="M45" s="11">
        <v>0.152</v>
      </c>
      <c r="N45" s="11">
        <v>0.016</v>
      </c>
      <c r="O45" s="8">
        <v>0</v>
      </c>
      <c r="P45" s="8">
        <v>0</v>
      </c>
      <c r="Q45" s="8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0.279</v>
      </c>
      <c r="W45" s="8">
        <v>2</v>
      </c>
      <c r="X45" s="8">
        <v>2</v>
      </c>
      <c r="Y45" s="8">
        <v>0</v>
      </c>
      <c r="Z45" s="8">
        <v>0</v>
      </c>
      <c r="AA45" s="11">
        <v>0.0339</v>
      </c>
      <c r="AB45" s="11">
        <v>1</v>
      </c>
      <c r="AC45" s="11">
        <v>0</v>
      </c>
      <c r="AD45" s="11">
        <v>0</v>
      </c>
    </row>
    <row r="46" customFormat="1" ht="22" customHeight="1" spans="1:30">
      <c r="A46" s="8" t="s">
        <v>31</v>
      </c>
      <c r="B46" s="8" t="e">
        <f>VLOOKUP(E46,[1]Sheet1!$C:$E,2,FALSE)</f>
        <v>#N/A</v>
      </c>
      <c r="C46" s="8" t="e">
        <f>VLOOKUP(E46,[1]Sheet1!$C:$E,3,FALSE)</f>
        <v>#N/A</v>
      </c>
      <c r="D46" s="8" t="s">
        <v>75</v>
      </c>
      <c r="E46" s="10">
        <v>544771002</v>
      </c>
      <c r="F46" s="8">
        <v>4.8</v>
      </c>
      <c r="G46" s="8">
        <v>65</v>
      </c>
      <c r="H46" s="8">
        <v>3211.65</v>
      </c>
      <c r="I46" s="8">
        <v>64.17</v>
      </c>
      <c r="J46" s="8">
        <v>49.41</v>
      </c>
      <c r="K46" s="8">
        <v>3895</v>
      </c>
      <c r="L46" s="11">
        <v>0.084</v>
      </c>
      <c r="M46" s="11">
        <v>0.198</v>
      </c>
      <c r="N46" s="11">
        <v>0.0166</v>
      </c>
      <c r="O46" s="8">
        <v>3380</v>
      </c>
      <c r="P46" s="8">
        <v>515</v>
      </c>
      <c r="Q46" s="8">
        <v>28</v>
      </c>
      <c r="R46" s="11">
        <v>0.071</v>
      </c>
      <c r="S46" s="11">
        <v>0.171</v>
      </c>
      <c r="T46" s="11">
        <v>0.154</v>
      </c>
      <c r="U46" s="11">
        <v>0.318</v>
      </c>
      <c r="V46" s="11">
        <v>0.23</v>
      </c>
      <c r="W46" s="8">
        <v>2</v>
      </c>
      <c r="X46" s="8">
        <v>2</v>
      </c>
      <c r="Y46" s="8">
        <v>0</v>
      </c>
      <c r="Z46" s="8">
        <v>0</v>
      </c>
      <c r="AA46" s="11">
        <v>0.0308</v>
      </c>
      <c r="AB46" s="11">
        <v>1</v>
      </c>
      <c r="AC46" s="11">
        <v>0</v>
      </c>
      <c r="AD46" s="11">
        <v>0</v>
      </c>
    </row>
    <row r="47" customFormat="1" ht="22" customHeight="1" spans="1:30">
      <c r="A47" s="8" t="s">
        <v>31</v>
      </c>
      <c r="B47" s="8" t="str">
        <f>VLOOKUP(E47,[1]Sheet1!$C:$E,2,FALSE)</f>
        <v>徐从众</v>
      </c>
      <c r="C47" s="9" t="str">
        <f>VLOOKUP(E47,[1]Sheet1!$C:$E,3,FALSE)</f>
        <v>S</v>
      </c>
      <c r="D47" s="12" t="s">
        <v>76</v>
      </c>
      <c r="E47" s="13">
        <v>506658635</v>
      </c>
      <c r="F47" s="12">
        <v>4.4</v>
      </c>
      <c r="G47" s="8">
        <v>127</v>
      </c>
      <c r="H47" s="8">
        <v>3182.49</v>
      </c>
      <c r="I47" s="8">
        <v>33.24</v>
      </c>
      <c r="J47" s="8">
        <v>25.06</v>
      </c>
      <c r="K47" s="8">
        <v>8305</v>
      </c>
      <c r="L47" s="11">
        <v>0.083</v>
      </c>
      <c r="M47" s="11">
        <v>0.181</v>
      </c>
      <c r="N47" s="11">
        <v>0.015</v>
      </c>
      <c r="O47" s="8">
        <v>7269</v>
      </c>
      <c r="P47" s="8">
        <v>1036</v>
      </c>
      <c r="Q47" s="8">
        <v>56</v>
      </c>
      <c r="R47" s="11">
        <v>0.075</v>
      </c>
      <c r="S47" s="11">
        <v>0.138</v>
      </c>
      <c r="T47" s="11">
        <v>0.125</v>
      </c>
      <c r="U47" s="11">
        <v>0.392</v>
      </c>
      <c r="V47" s="11">
        <v>0.189</v>
      </c>
      <c r="W47" s="8">
        <v>25</v>
      </c>
      <c r="X47" s="8">
        <v>23</v>
      </c>
      <c r="Y47" s="8">
        <v>1</v>
      </c>
      <c r="Z47" s="8">
        <v>1</v>
      </c>
      <c r="AA47" s="11">
        <v>0.1969</v>
      </c>
      <c r="AB47" s="11">
        <v>0.92</v>
      </c>
      <c r="AC47" s="11">
        <v>0.04</v>
      </c>
      <c r="AD47" s="11">
        <v>0.04</v>
      </c>
    </row>
    <row r="48" customFormat="1" ht="22" customHeight="1" spans="1:30">
      <c r="A48" s="8" t="s">
        <v>31</v>
      </c>
      <c r="B48" s="8" t="str">
        <f>VLOOKUP(E48,[1]Sheet1!$C:$E,2,FALSE)</f>
        <v>刘欢</v>
      </c>
      <c r="C48" s="9" t="str">
        <f>VLOOKUP(E48,[1]Sheet1!$C:$E,3,FALSE)</f>
        <v>A</v>
      </c>
      <c r="D48" s="8" t="s">
        <v>77</v>
      </c>
      <c r="E48" s="10">
        <v>2024910</v>
      </c>
      <c r="F48" s="8">
        <v>4.9</v>
      </c>
      <c r="G48" s="8">
        <v>81</v>
      </c>
      <c r="H48" s="8">
        <v>3114.6</v>
      </c>
      <c r="I48" s="8">
        <v>0</v>
      </c>
      <c r="J48" s="8">
        <v>38.45</v>
      </c>
      <c r="K48" s="8">
        <v>3505</v>
      </c>
      <c r="L48" s="11">
        <v>0.081</v>
      </c>
      <c r="M48" s="11">
        <v>0.289</v>
      </c>
      <c r="N48" s="11">
        <v>0.0234</v>
      </c>
      <c r="O48" s="8">
        <v>0</v>
      </c>
      <c r="P48" s="8">
        <v>0</v>
      </c>
      <c r="Q48" s="8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0.193</v>
      </c>
      <c r="W48" s="8">
        <v>3</v>
      </c>
      <c r="X48" s="8">
        <v>3</v>
      </c>
      <c r="Y48" s="8">
        <v>0</v>
      </c>
      <c r="Z48" s="8">
        <v>0</v>
      </c>
      <c r="AA48" s="11">
        <v>0.037</v>
      </c>
      <c r="AB48" s="11">
        <v>1</v>
      </c>
      <c r="AC48" s="11">
        <v>0</v>
      </c>
      <c r="AD48" s="11">
        <v>0</v>
      </c>
    </row>
    <row r="49" customFormat="1" ht="22" customHeight="1" spans="1:30">
      <c r="A49" s="8" t="s">
        <v>31</v>
      </c>
      <c r="B49" s="8" t="str">
        <f>VLOOKUP(E49,[1]Sheet1!$C:$E,2,FALSE)</f>
        <v>王森</v>
      </c>
      <c r="C49" s="9" t="str">
        <f>VLOOKUP(E49,[1]Sheet1!$C:$E,3,FALSE)</f>
        <v>A</v>
      </c>
      <c r="D49" s="8" t="s">
        <v>78</v>
      </c>
      <c r="E49" s="10">
        <v>520646247</v>
      </c>
      <c r="F49" s="8">
        <v>4.9</v>
      </c>
      <c r="G49" s="8">
        <v>75</v>
      </c>
      <c r="H49" s="8">
        <v>3092.03</v>
      </c>
      <c r="I49" s="8">
        <v>0</v>
      </c>
      <c r="J49" s="8">
        <v>41.23</v>
      </c>
      <c r="K49" s="8">
        <v>5735</v>
      </c>
      <c r="L49" s="11">
        <v>0.075</v>
      </c>
      <c r="M49" s="11">
        <v>0.17</v>
      </c>
      <c r="N49" s="11">
        <v>0.0128</v>
      </c>
      <c r="O49" s="8">
        <v>0</v>
      </c>
      <c r="P49" s="8">
        <v>0</v>
      </c>
      <c r="Q49" s="8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0.193</v>
      </c>
      <c r="W49" s="8">
        <v>4</v>
      </c>
      <c r="X49" s="8">
        <v>3</v>
      </c>
      <c r="Y49" s="8">
        <v>1</v>
      </c>
      <c r="Z49" s="8">
        <v>0</v>
      </c>
      <c r="AA49" s="11">
        <v>0.0533</v>
      </c>
      <c r="AB49" s="11">
        <v>0.75</v>
      </c>
      <c r="AC49" s="11">
        <v>0.25</v>
      </c>
      <c r="AD49" s="11">
        <v>0</v>
      </c>
    </row>
    <row r="50" customFormat="1" ht="22" customHeight="1" spans="1:30">
      <c r="A50" s="8" t="s">
        <v>31</v>
      </c>
      <c r="B50" s="8" t="str">
        <f>VLOOKUP(E50,[1]Sheet1!$C:$E,2,FALSE)</f>
        <v>王森</v>
      </c>
      <c r="C50" s="9" t="str">
        <f>VLOOKUP(E50,[1]Sheet1!$C:$E,3,FALSE)</f>
        <v>S</v>
      </c>
      <c r="D50" s="8" t="s">
        <v>79</v>
      </c>
      <c r="E50" s="10">
        <v>544253678</v>
      </c>
      <c r="F50" s="8">
        <v>4.9</v>
      </c>
      <c r="G50" s="8">
        <v>63</v>
      </c>
      <c r="H50" s="8">
        <v>3037.89</v>
      </c>
      <c r="I50" s="8">
        <v>0</v>
      </c>
      <c r="J50" s="8">
        <v>48.22</v>
      </c>
      <c r="K50" s="8">
        <v>5169</v>
      </c>
      <c r="L50" s="11">
        <v>0.08</v>
      </c>
      <c r="M50" s="11">
        <v>0.147</v>
      </c>
      <c r="N50" s="11">
        <v>0.0118</v>
      </c>
      <c r="O50" s="8">
        <v>0</v>
      </c>
      <c r="P50" s="8">
        <v>0</v>
      </c>
      <c r="Q50" s="8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0.216</v>
      </c>
      <c r="W50" s="8">
        <v>3</v>
      </c>
      <c r="X50" s="8">
        <v>2</v>
      </c>
      <c r="Y50" s="8">
        <v>0</v>
      </c>
      <c r="Z50" s="8">
        <v>1</v>
      </c>
      <c r="AA50" s="11">
        <v>0.0476</v>
      </c>
      <c r="AB50" s="11">
        <v>0.6667</v>
      </c>
      <c r="AC50" s="11">
        <v>0</v>
      </c>
      <c r="AD50" s="11">
        <v>0.3333</v>
      </c>
    </row>
    <row r="51" customFormat="1" ht="22" customHeight="1" spans="1:30">
      <c r="A51" s="8" t="s">
        <v>31</v>
      </c>
      <c r="B51" s="8" t="e">
        <f>VLOOKUP(E51,[1]Sheet1!$C:$E,2,FALSE)</f>
        <v>#N/A</v>
      </c>
      <c r="C51" s="8" t="e">
        <f>VLOOKUP(E51,[1]Sheet1!$C:$E,3,FALSE)</f>
        <v>#N/A</v>
      </c>
      <c r="D51" s="8" t="s">
        <v>80</v>
      </c>
      <c r="E51" s="10">
        <v>1253329539</v>
      </c>
      <c r="F51" s="8">
        <v>5</v>
      </c>
      <c r="G51" s="8">
        <v>128</v>
      </c>
      <c r="H51" s="8">
        <v>3035.72</v>
      </c>
      <c r="I51" s="8">
        <v>0</v>
      </c>
      <c r="J51" s="8">
        <v>23.72</v>
      </c>
      <c r="K51" s="8">
        <v>4817</v>
      </c>
      <c r="L51" s="11">
        <v>0.076</v>
      </c>
      <c r="M51" s="11">
        <v>0.347</v>
      </c>
      <c r="N51" s="11">
        <v>0.0264</v>
      </c>
      <c r="O51" s="8">
        <v>0</v>
      </c>
      <c r="P51" s="8">
        <v>0</v>
      </c>
      <c r="Q51" s="8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0.221</v>
      </c>
      <c r="W51" s="8">
        <v>3</v>
      </c>
      <c r="X51" s="8">
        <v>3</v>
      </c>
      <c r="Y51" s="8">
        <v>0</v>
      </c>
      <c r="Z51" s="8">
        <v>0</v>
      </c>
      <c r="AA51" s="11">
        <v>0.0234</v>
      </c>
      <c r="AB51" s="11">
        <v>1</v>
      </c>
      <c r="AC51" s="11">
        <v>0</v>
      </c>
      <c r="AD51" s="11">
        <v>0</v>
      </c>
    </row>
    <row r="52" customFormat="1" ht="22" customHeight="1" spans="1:30">
      <c r="A52" s="8" t="s">
        <v>31</v>
      </c>
      <c r="B52" s="8" t="str">
        <f>VLOOKUP(E52,[1]Sheet1!$C:$E,2,FALSE)</f>
        <v>徐从众</v>
      </c>
      <c r="C52" s="9" t="str">
        <f>VLOOKUP(E52,[1]Sheet1!$C:$E,3,FALSE)</f>
        <v>A</v>
      </c>
      <c r="D52" s="8" t="s">
        <v>81</v>
      </c>
      <c r="E52" s="10">
        <v>507714807</v>
      </c>
      <c r="F52" s="8">
        <v>4.8</v>
      </c>
      <c r="G52" s="8">
        <v>58</v>
      </c>
      <c r="H52" s="8">
        <v>3031.05</v>
      </c>
      <c r="I52" s="8">
        <v>0</v>
      </c>
      <c r="J52" s="8">
        <v>52.26</v>
      </c>
      <c r="K52" s="8">
        <v>3435</v>
      </c>
      <c r="L52" s="11">
        <v>0.091</v>
      </c>
      <c r="M52" s="11">
        <v>0.185</v>
      </c>
      <c r="N52" s="11">
        <v>0.0168</v>
      </c>
      <c r="O52" s="8">
        <v>0</v>
      </c>
      <c r="P52" s="8">
        <v>0</v>
      </c>
      <c r="Q52" s="8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0.215</v>
      </c>
      <c r="W52" s="8">
        <v>4</v>
      </c>
      <c r="X52" s="8">
        <v>4</v>
      </c>
      <c r="Y52" s="8">
        <v>0</v>
      </c>
      <c r="Z52" s="8">
        <v>0</v>
      </c>
      <c r="AA52" s="11">
        <v>0.069</v>
      </c>
      <c r="AB52" s="11">
        <v>1</v>
      </c>
      <c r="AC52" s="11">
        <v>0</v>
      </c>
      <c r="AD52" s="11">
        <v>0</v>
      </c>
    </row>
    <row r="53" customFormat="1" ht="22" customHeight="1" spans="1:30">
      <c r="A53" s="8" t="s">
        <v>31</v>
      </c>
      <c r="B53" s="8" t="str">
        <f>VLOOKUP(E53,[1]Sheet1!$C:$E,2,FALSE)</f>
        <v>王森</v>
      </c>
      <c r="C53" s="9" t="str">
        <f>VLOOKUP(E53,[1]Sheet1!$C:$E,3,FALSE)</f>
        <v>A</v>
      </c>
      <c r="D53" s="8" t="s">
        <v>82</v>
      </c>
      <c r="E53" s="10">
        <v>1155303310</v>
      </c>
      <c r="F53" s="8">
        <v>4.9</v>
      </c>
      <c r="G53" s="8">
        <v>83</v>
      </c>
      <c r="H53" s="8">
        <v>3030.49</v>
      </c>
      <c r="I53" s="8">
        <v>0</v>
      </c>
      <c r="J53" s="8">
        <v>36.51</v>
      </c>
      <c r="K53" s="8">
        <v>5739</v>
      </c>
      <c r="L53" s="11">
        <v>0.078</v>
      </c>
      <c r="M53" s="11">
        <v>0.188</v>
      </c>
      <c r="N53" s="11">
        <v>0.0147</v>
      </c>
      <c r="O53" s="8">
        <v>0</v>
      </c>
      <c r="P53" s="8">
        <v>0</v>
      </c>
      <c r="Q53" s="8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0.198</v>
      </c>
      <c r="W53" s="8">
        <v>8</v>
      </c>
      <c r="X53" s="8">
        <v>7</v>
      </c>
      <c r="Y53" s="8">
        <v>0</v>
      </c>
      <c r="Z53" s="8">
        <v>1</v>
      </c>
      <c r="AA53" s="11">
        <v>0.0964</v>
      </c>
      <c r="AB53" s="11">
        <v>0.875</v>
      </c>
      <c r="AC53" s="11">
        <v>0</v>
      </c>
      <c r="AD53" s="11">
        <v>0.125</v>
      </c>
    </row>
    <row r="54" customFormat="1" ht="22" customHeight="1" spans="1:30">
      <c r="A54" s="8" t="s">
        <v>31</v>
      </c>
      <c r="B54" s="8" t="str">
        <f>VLOOKUP(E54,[1]Sheet1!$C:$E,2,FALSE)</f>
        <v>徐从众</v>
      </c>
      <c r="C54" s="9" t="str">
        <f>VLOOKUP(E54,[1]Sheet1!$C:$E,3,FALSE)</f>
        <v>A</v>
      </c>
      <c r="D54" s="12" t="s">
        <v>83</v>
      </c>
      <c r="E54" s="13">
        <v>507904139</v>
      </c>
      <c r="F54" s="12">
        <v>4.5</v>
      </c>
      <c r="G54" s="8">
        <v>67</v>
      </c>
      <c r="H54" s="8">
        <v>3012.54</v>
      </c>
      <c r="I54" s="8">
        <v>55.19</v>
      </c>
      <c r="J54" s="8">
        <v>44.96</v>
      </c>
      <c r="K54" s="8">
        <v>3829</v>
      </c>
      <c r="L54" s="11">
        <v>0.092</v>
      </c>
      <c r="M54" s="11">
        <v>0.188</v>
      </c>
      <c r="N54" s="11">
        <v>0.0173</v>
      </c>
      <c r="O54" s="8">
        <v>3073</v>
      </c>
      <c r="P54" s="8">
        <v>756</v>
      </c>
      <c r="Q54" s="8">
        <v>31</v>
      </c>
      <c r="R54" s="11">
        <v>0.079</v>
      </c>
      <c r="S54" s="11">
        <v>0.143</v>
      </c>
      <c r="T54" s="11">
        <v>0.143</v>
      </c>
      <c r="U54" s="11">
        <v>0.287</v>
      </c>
      <c r="V54" s="11">
        <v>0.196</v>
      </c>
      <c r="W54" s="8">
        <v>2</v>
      </c>
      <c r="X54" s="8">
        <v>2</v>
      </c>
      <c r="Y54" s="8">
        <v>0</v>
      </c>
      <c r="Z54" s="8">
        <v>0</v>
      </c>
      <c r="AA54" s="11">
        <v>0.0299</v>
      </c>
      <c r="AB54" s="11">
        <v>1</v>
      </c>
      <c r="AC54" s="11">
        <v>0</v>
      </c>
      <c r="AD54" s="11">
        <v>0</v>
      </c>
    </row>
    <row r="55" customFormat="1" ht="22" customHeight="1" spans="1:30">
      <c r="A55" s="8" t="s">
        <v>31</v>
      </c>
      <c r="B55" s="8" t="str">
        <f>VLOOKUP(E55,[1]Sheet1!$C:$E,2,FALSE)</f>
        <v>王森</v>
      </c>
      <c r="C55" s="9" t="str">
        <f>VLOOKUP(E55,[1]Sheet1!$C:$E,3,FALSE)</f>
        <v>A</v>
      </c>
      <c r="D55" s="8" t="s">
        <v>84</v>
      </c>
      <c r="E55" s="10">
        <v>1235406375</v>
      </c>
      <c r="F55" s="8">
        <v>4.9</v>
      </c>
      <c r="G55" s="8">
        <v>81</v>
      </c>
      <c r="H55" s="8">
        <v>2991.1</v>
      </c>
      <c r="I55" s="8">
        <v>0</v>
      </c>
      <c r="J55" s="8">
        <v>36.93</v>
      </c>
      <c r="K55" s="8">
        <v>4234</v>
      </c>
      <c r="L55" s="11">
        <v>0.096</v>
      </c>
      <c r="M55" s="11">
        <v>0.192</v>
      </c>
      <c r="N55" s="11">
        <v>0.0184</v>
      </c>
      <c r="O55" s="8">
        <v>0</v>
      </c>
      <c r="P55" s="8">
        <v>0</v>
      </c>
      <c r="Q55" s="8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0.203</v>
      </c>
      <c r="W55" s="8">
        <v>6</v>
      </c>
      <c r="X55" s="8">
        <v>5</v>
      </c>
      <c r="Y55" s="8">
        <v>1</v>
      </c>
      <c r="Z55" s="8">
        <v>0</v>
      </c>
      <c r="AA55" s="11">
        <v>0.0741</v>
      </c>
      <c r="AB55" s="11">
        <v>0.8333</v>
      </c>
      <c r="AC55" s="11">
        <v>0.1667</v>
      </c>
      <c r="AD55" s="11">
        <v>0</v>
      </c>
    </row>
    <row r="56" customFormat="1" ht="22" customHeight="1" spans="1:30">
      <c r="A56" s="8" t="s">
        <v>31</v>
      </c>
      <c r="B56" s="8" t="e">
        <f>VLOOKUP(E56,[1]Sheet1!$C:$E,2,FALSE)</f>
        <v>#N/A</v>
      </c>
      <c r="C56" s="8" t="e">
        <f>VLOOKUP(E56,[1]Sheet1!$C:$E,3,FALSE)</f>
        <v>#N/A</v>
      </c>
      <c r="D56" s="12" t="s">
        <v>85</v>
      </c>
      <c r="E56" s="13">
        <v>505958350</v>
      </c>
      <c r="F56" s="12">
        <v>4.5</v>
      </c>
      <c r="G56" s="8">
        <v>114</v>
      </c>
      <c r="H56" s="8">
        <v>2929.59</v>
      </c>
      <c r="I56" s="8">
        <v>34.35</v>
      </c>
      <c r="J56" s="8">
        <v>25.7</v>
      </c>
      <c r="K56" s="8">
        <v>3637</v>
      </c>
      <c r="L56" s="11">
        <v>0.11</v>
      </c>
      <c r="M56" s="11">
        <v>0.285</v>
      </c>
      <c r="N56" s="11">
        <v>0.0314</v>
      </c>
      <c r="O56" s="8">
        <v>2608</v>
      </c>
      <c r="P56" s="8">
        <v>1029</v>
      </c>
      <c r="Q56" s="8">
        <v>86</v>
      </c>
      <c r="R56" s="11">
        <v>0.071</v>
      </c>
      <c r="S56" s="11">
        <v>0.209</v>
      </c>
      <c r="T56" s="11">
        <v>0.151</v>
      </c>
      <c r="U56" s="11">
        <v>0.4</v>
      </c>
      <c r="V56" s="11">
        <v>0.343</v>
      </c>
      <c r="W56" s="8">
        <v>12</v>
      </c>
      <c r="X56" s="8">
        <v>11</v>
      </c>
      <c r="Y56" s="8">
        <v>0</v>
      </c>
      <c r="Z56" s="8">
        <v>1</v>
      </c>
      <c r="AA56" s="11">
        <v>0.1053</v>
      </c>
      <c r="AB56" s="11">
        <v>0.9167</v>
      </c>
      <c r="AC56" s="11">
        <v>0</v>
      </c>
      <c r="AD56" s="11">
        <v>0.0833</v>
      </c>
    </row>
    <row r="57" customFormat="1" ht="22" customHeight="1" spans="1:30">
      <c r="A57" s="8" t="s">
        <v>31</v>
      </c>
      <c r="B57" s="8" t="str">
        <f>VLOOKUP(E57,[1]Sheet1!$C:$E,2,FALSE)</f>
        <v>刘欢</v>
      </c>
      <c r="C57" s="9" t="str">
        <f>VLOOKUP(E57,[1]Sheet1!$C:$E,3,FALSE)</f>
        <v>A</v>
      </c>
      <c r="D57" s="8" t="s">
        <v>86</v>
      </c>
      <c r="E57" s="10">
        <v>2019409747</v>
      </c>
      <c r="F57" s="8">
        <v>4.9</v>
      </c>
      <c r="G57" s="8">
        <v>80</v>
      </c>
      <c r="H57" s="8">
        <v>2891.93</v>
      </c>
      <c r="I57" s="8">
        <v>0</v>
      </c>
      <c r="J57" s="8">
        <v>36.15</v>
      </c>
      <c r="K57" s="8">
        <v>2748</v>
      </c>
      <c r="L57" s="11">
        <v>0.079</v>
      </c>
      <c r="M57" s="11">
        <v>0.369</v>
      </c>
      <c r="N57" s="11">
        <v>0.0292</v>
      </c>
      <c r="O57" s="8">
        <v>0</v>
      </c>
      <c r="P57" s="8">
        <v>0</v>
      </c>
      <c r="Q57" s="8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0.146</v>
      </c>
      <c r="W57" s="8">
        <v>2</v>
      </c>
      <c r="X57" s="8">
        <v>2</v>
      </c>
      <c r="Y57" s="8">
        <v>0</v>
      </c>
      <c r="Z57" s="8">
        <v>0</v>
      </c>
      <c r="AA57" s="11">
        <v>0.025</v>
      </c>
      <c r="AB57" s="11">
        <v>1</v>
      </c>
      <c r="AC57" s="11">
        <v>0</v>
      </c>
      <c r="AD57" s="11">
        <v>0</v>
      </c>
    </row>
    <row r="58" customFormat="1" ht="22" customHeight="1" spans="1:30">
      <c r="A58" s="8" t="s">
        <v>31</v>
      </c>
      <c r="B58" s="8" t="str">
        <f>VLOOKUP(E58,[1]Sheet1!$C:$E,2,FALSE)</f>
        <v>刘欢</v>
      </c>
      <c r="C58" s="9" t="str">
        <f>VLOOKUP(E58,[1]Sheet1!$C:$E,3,FALSE)</f>
        <v>A</v>
      </c>
      <c r="D58" s="8" t="s">
        <v>87</v>
      </c>
      <c r="E58" s="10">
        <v>147495180</v>
      </c>
      <c r="F58" s="8">
        <v>5</v>
      </c>
      <c r="G58" s="8">
        <v>71</v>
      </c>
      <c r="H58" s="8">
        <v>2888.12</v>
      </c>
      <c r="I58" s="8">
        <v>0</v>
      </c>
      <c r="J58" s="8">
        <v>40.68</v>
      </c>
      <c r="K58" s="8">
        <v>2856</v>
      </c>
      <c r="L58" s="11">
        <v>0.075</v>
      </c>
      <c r="M58" s="11">
        <v>0.327</v>
      </c>
      <c r="N58" s="11">
        <v>0.0245</v>
      </c>
      <c r="O58" s="8">
        <v>0</v>
      </c>
      <c r="P58" s="8">
        <v>0</v>
      </c>
      <c r="Q58" s="8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0.177</v>
      </c>
      <c r="W58" s="8">
        <v>1</v>
      </c>
      <c r="X58" s="8">
        <v>0</v>
      </c>
      <c r="Y58" s="8">
        <v>0</v>
      </c>
      <c r="Z58" s="8">
        <v>1</v>
      </c>
      <c r="AA58" s="11">
        <v>0.0141</v>
      </c>
      <c r="AB58" s="11">
        <v>0</v>
      </c>
      <c r="AC58" s="11">
        <v>0</v>
      </c>
      <c r="AD58" s="11">
        <v>1</v>
      </c>
    </row>
    <row r="59" customFormat="1" ht="22" customHeight="1" spans="1:30">
      <c r="A59" s="8" t="s">
        <v>31</v>
      </c>
      <c r="B59" s="8" t="str">
        <f>VLOOKUP(E59,[1]Sheet1!$C:$E,2,FALSE)</f>
        <v>徐从众</v>
      </c>
      <c r="C59" s="9" t="str">
        <f>VLOOKUP(E59,[1]Sheet1!$C:$E,3,FALSE)</f>
        <v>S</v>
      </c>
      <c r="D59" s="12" t="s">
        <v>88</v>
      </c>
      <c r="E59" s="13">
        <v>1979107</v>
      </c>
      <c r="F59" s="12">
        <v>4.6</v>
      </c>
      <c r="G59" s="8">
        <v>60</v>
      </c>
      <c r="H59" s="8">
        <v>2825.52</v>
      </c>
      <c r="I59" s="8">
        <v>0</v>
      </c>
      <c r="J59" s="8">
        <v>47.09</v>
      </c>
      <c r="K59" s="8">
        <v>2740</v>
      </c>
      <c r="L59" s="11">
        <v>0.094</v>
      </c>
      <c r="M59" s="11">
        <v>0.233</v>
      </c>
      <c r="N59" s="11">
        <v>0.0219</v>
      </c>
      <c r="O59" s="8">
        <v>0</v>
      </c>
      <c r="P59" s="8">
        <v>0</v>
      </c>
      <c r="Q59" s="8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0.213</v>
      </c>
      <c r="W59" s="8">
        <v>2</v>
      </c>
      <c r="X59" s="8">
        <v>2</v>
      </c>
      <c r="Y59" s="8">
        <v>0</v>
      </c>
      <c r="Z59" s="8">
        <v>0</v>
      </c>
      <c r="AA59" s="11">
        <v>0.0333</v>
      </c>
      <c r="AB59" s="11">
        <v>1</v>
      </c>
      <c r="AC59" s="11">
        <v>0</v>
      </c>
      <c r="AD59" s="11">
        <v>0</v>
      </c>
    </row>
    <row r="60" customFormat="1" ht="22" customHeight="1" spans="1:30">
      <c r="A60" s="8" t="s">
        <v>31</v>
      </c>
      <c r="B60" s="8" t="str">
        <f>VLOOKUP(E60,[1]Sheet1!$C:$E,2,FALSE)</f>
        <v>王森</v>
      </c>
      <c r="C60" s="9" t="str">
        <f>VLOOKUP(E60,[1]Sheet1!$C:$E,3,FALSE)</f>
        <v>A</v>
      </c>
      <c r="D60" s="8" t="s">
        <v>89</v>
      </c>
      <c r="E60" s="10">
        <v>2001187366</v>
      </c>
      <c r="F60" s="8">
        <v>4.9</v>
      </c>
      <c r="G60" s="8">
        <v>81</v>
      </c>
      <c r="H60" s="8">
        <v>2765.35</v>
      </c>
      <c r="I60" s="8">
        <v>0</v>
      </c>
      <c r="J60" s="8">
        <v>34.14</v>
      </c>
      <c r="K60" s="8">
        <v>5215</v>
      </c>
      <c r="L60" s="11">
        <v>0.095</v>
      </c>
      <c r="M60" s="11">
        <v>0.163</v>
      </c>
      <c r="N60" s="11">
        <v>0.0155</v>
      </c>
      <c r="O60" s="8">
        <v>0</v>
      </c>
      <c r="P60" s="8">
        <v>0</v>
      </c>
      <c r="Q60" s="8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0.171</v>
      </c>
      <c r="W60" s="8">
        <v>3</v>
      </c>
      <c r="X60" s="8">
        <v>1</v>
      </c>
      <c r="Y60" s="8">
        <v>1</v>
      </c>
      <c r="Z60" s="8">
        <v>1</v>
      </c>
      <c r="AA60" s="11">
        <v>0.037</v>
      </c>
      <c r="AB60" s="11">
        <v>0.3333</v>
      </c>
      <c r="AC60" s="11">
        <v>0.3333</v>
      </c>
      <c r="AD60" s="11">
        <v>0.3333</v>
      </c>
    </row>
    <row r="61" customFormat="1" ht="22" customHeight="1" spans="1:30">
      <c r="A61" s="8" t="s">
        <v>31</v>
      </c>
      <c r="B61" s="8" t="str">
        <f>VLOOKUP(E61,[1]Sheet1!$C:$E,2,FALSE)</f>
        <v>徐从众</v>
      </c>
      <c r="C61" s="9" t="str">
        <f>VLOOKUP(E61,[1]Sheet1!$C:$E,3,FALSE)</f>
        <v>S</v>
      </c>
      <c r="D61" s="12" t="s">
        <v>90</v>
      </c>
      <c r="E61" s="13">
        <v>543142524</v>
      </c>
      <c r="F61" s="12">
        <v>4.6</v>
      </c>
      <c r="G61" s="8">
        <v>85</v>
      </c>
      <c r="H61" s="8">
        <v>2755.3</v>
      </c>
      <c r="I61" s="8">
        <v>42.49</v>
      </c>
      <c r="J61" s="8">
        <v>32.42</v>
      </c>
      <c r="K61" s="8">
        <v>3938</v>
      </c>
      <c r="L61" s="11">
        <v>0.092</v>
      </c>
      <c r="M61" s="11">
        <v>0.234</v>
      </c>
      <c r="N61" s="11">
        <v>0.0215</v>
      </c>
      <c r="O61" s="8">
        <v>3163</v>
      </c>
      <c r="P61" s="8">
        <v>775</v>
      </c>
      <c r="Q61" s="8">
        <v>51</v>
      </c>
      <c r="R61" s="11">
        <v>0.076</v>
      </c>
      <c r="S61" s="11">
        <v>0.16</v>
      </c>
      <c r="T61" s="11">
        <v>0.142</v>
      </c>
      <c r="U61" s="11">
        <v>0.411</v>
      </c>
      <c r="V61" s="11">
        <v>0.29</v>
      </c>
      <c r="W61" s="8">
        <v>0</v>
      </c>
      <c r="X61" s="8">
        <v>0</v>
      </c>
      <c r="Y61" s="8">
        <v>0</v>
      </c>
      <c r="Z61" s="8">
        <v>0</v>
      </c>
      <c r="AA61" s="11">
        <v>0</v>
      </c>
      <c r="AB61" s="11">
        <v>0</v>
      </c>
      <c r="AC61" s="11">
        <v>0</v>
      </c>
      <c r="AD61" s="11">
        <v>0</v>
      </c>
    </row>
    <row r="62" customFormat="1" ht="22" customHeight="1" spans="1:30">
      <c r="A62" s="8" t="s">
        <v>31</v>
      </c>
      <c r="B62" s="8" t="e">
        <f>VLOOKUP(E62,[1]Sheet1!$C:$E,2,FALSE)</f>
        <v>#N/A</v>
      </c>
      <c r="C62" s="8" t="e">
        <f>VLOOKUP(E62,[1]Sheet1!$C:$E,3,FALSE)</f>
        <v>#N/A</v>
      </c>
      <c r="D62" s="12" t="s">
        <v>91</v>
      </c>
      <c r="E62" s="13">
        <v>1352166925</v>
      </c>
      <c r="F62" s="12">
        <v>4.7</v>
      </c>
      <c r="G62" s="8">
        <v>89</v>
      </c>
      <c r="H62" s="8">
        <v>2697.12</v>
      </c>
      <c r="I62" s="8">
        <v>38.11</v>
      </c>
      <c r="J62" s="8">
        <v>30.3</v>
      </c>
      <c r="K62" s="8">
        <v>7246</v>
      </c>
      <c r="L62" s="11">
        <v>0.07</v>
      </c>
      <c r="M62" s="11">
        <v>0.176</v>
      </c>
      <c r="N62" s="11">
        <v>0.0123</v>
      </c>
      <c r="O62" s="8">
        <v>6907</v>
      </c>
      <c r="P62" s="8">
        <v>339</v>
      </c>
      <c r="Q62" s="8">
        <v>18</v>
      </c>
      <c r="R62" s="11">
        <v>0.066</v>
      </c>
      <c r="S62" s="11">
        <v>0.139</v>
      </c>
      <c r="T62" s="11">
        <v>0.155</v>
      </c>
      <c r="U62" s="11">
        <v>0.383</v>
      </c>
      <c r="V62" s="11">
        <v>0.138</v>
      </c>
      <c r="W62" s="8">
        <v>1</v>
      </c>
      <c r="X62" s="8">
        <v>1</v>
      </c>
      <c r="Y62" s="8">
        <v>0</v>
      </c>
      <c r="Z62" s="8">
        <v>0</v>
      </c>
      <c r="AA62" s="11">
        <v>0.0112</v>
      </c>
      <c r="AB62" s="11">
        <v>1</v>
      </c>
      <c r="AC62" s="11">
        <v>0</v>
      </c>
      <c r="AD62" s="11">
        <v>0</v>
      </c>
    </row>
    <row r="63" customFormat="1" ht="22" customHeight="1" spans="1:30">
      <c r="A63" s="8" t="s">
        <v>31</v>
      </c>
      <c r="B63" s="8" t="str">
        <f>VLOOKUP(E63,[1]Sheet1!$C:$E,2,FALSE)</f>
        <v>王森</v>
      </c>
      <c r="C63" s="9" t="str">
        <f>VLOOKUP(E63,[1]Sheet1!$C:$E,3,FALSE)</f>
        <v>A</v>
      </c>
      <c r="D63" s="8" t="s">
        <v>92</v>
      </c>
      <c r="E63" s="10">
        <v>161515643</v>
      </c>
      <c r="F63" s="8">
        <v>4.9</v>
      </c>
      <c r="G63" s="8">
        <v>67</v>
      </c>
      <c r="H63" s="8">
        <v>2691.42</v>
      </c>
      <c r="I63" s="8">
        <v>0</v>
      </c>
      <c r="J63" s="8">
        <v>40.17</v>
      </c>
      <c r="K63" s="8">
        <v>4816</v>
      </c>
      <c r="L63" s="11">
        <v>0.081</v>
      </c>
      <c r="M63" s="11">
        <v>0.159</v>
      </c>
      <c r="N63" s="11">
        <v>0.0129</v>
      </c>
      <c r="O63" s="8">
        <v>0</v>
      </c>
      <c r="P63" s="8">
        <v>0</v>
      </c>
      <c r="Q63" s="8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0.209</v>
      </c>
      <c r="W63" s="8">
        <v>5</v>
      </c>
      <c r="X63" s="8">
        <v>5</v>
      </c>
      <c r="Y63" s="8">
        <v>0</v>
      </c>
      <c r="Z63" s="8">
        <v>0</v>
      </c>
      <c r="AA63" s="11">
        <v>0.0746</v>
      </c>
      <c r="AB63" s="11">
        <v>1</v>
      </c>
      <c r="AC63" s="11">
        <v>0</v>
      </c>
      <c r="AD63" s="11">
        <v>0</v>
      </c>
    </row>
    <row r="64" customFormat="1" ht="22" customHeight="1" spans="1:30">
      <c r="A64" s="8" t="s">
        <v>31</v>
      </c>
      <c r="B64" s="8" t="str">
        <f>VLOOKUP(E64,[1]Sheet1!$C:$E,2,FALSE)</f>
        <v>刘欢</v>
      </c>
      <c r="C64" s="9" t="str">
        <f>VLOOKUP(E64,[1]Sheet1!$C:$E,3,FALSE)</f>
        <v>A</v>
      </c>
      <c r="D64" s="8" t="s">
        <v>93</v>
      </c>
      <c r="E64" s="10">
        <v>1299216402</v>
      </c>
      <c r="F64" s="8">
        <v>5</v>
      </c>
      <c r="G64" s="8">
        <v>56</v>
      </c>
      <c r="H64" s="8">
        <v>2669</v>
      </c>
      <c r="I64" s="8">
        <v>0</v>
      </c>
      <c r="J64" s="8">
        <v>47.66</v>
      </c>
      <c r="K64" s="8">
        <v>3139</v>
      </c>
      <c r="L64" s="11">
        <v>0.077</v>
      </c>
      <c r="M64" s="11">
        <v>0.231</v>
      </c>
      <c r="N64" s="11">
        <v>0.0178</v>
      </c>
      <c r="O64" s="8">
        <v>0</v>
      </c>
      <c r="P64" s="8">
        <v>0</v>
      </c>
      <c r="Q64" s="8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0.155</v>
      </c>
      <c r="W64" s="8">
        <v>0</v>
      </c>
      <c r="X64" s="8">
        <v>0</v>
      </c>
      <c r="Y64" s="8">
        <v>0</v>
      </c>
      <c r="Z64" s="8">
        <v>0</v>
      </c>
      <c r="AA64" s="11">
        <v>0</v>
      </c>
      <c r="AB64" s="11">
        <v>0</v>
      </c>
      <c r="AC64" s="11">
        <v>0</v>
      </c>
      <c r="AD64" s="11">
        <v>0</v>
      </c>
    </row>
    <row r="65" customFormat="1" ht="22" customHeight="1" spans="1:30">
      <c r="A65" s="8" t="s">
        <v>31</v>
      </c>
      <c r="B65" s="8" t="str">
        <f>VLOOKUP(E65,[1]Sheet1!$C:$E,2,FALSE)</f>
        <v>徐从众</v>
      </c>
      <c r="C65" s="9" t="str">
        <f>VLOOKUP(E65,[1]Sheet1!$C:$E,3,FALSE)</f>
        <v>A</v>
      </c>
      <c r="D65" s="8" t="s">
        <v>94</v>
      </c>
      <c r="E65" s="10">
        <v>1317652834</v>
      </c>
      <c r="F65" s="8">
        <v>5</v>
      </c>
      <c r="G65" s="8">
        <v>51</v>
      </c>
      <c r="H65" s="8">
        <v>2663.8</v>
      </c>
      <c r="I65" s="8">
        <v>0</v>
      </c>
      <c r="J65" s="8">
        <v>52.23</v>
      </c>
      <c r="K65" s="8">
        <v>3822</v>
      </c>
      <c r="L65" s="11">
        <v>0.078</v>
      </c>
      <c r="M65" s="11">
        <v>0.171</v>
      </c>
      <c r="N65" s="11">
        <v>0.0133</v>
      </c>
      <c r="O65" s="8">
        <v>0</v>
      </c>
      <c r="P65" s="8">
        <v>0</v>
      </c>
      <c r="Q65" s="8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0.195</v>
      </c>
      <c r="W65" s="8">
        <v>5</v>
      </c>
      <c r="X65" s="8">
        <v>4</v>
      </c>
      <c r="Y65" s="8">
        <v>0</v>
      </c>
      <c r="Z65" s="8">
        <v>1</v>
      </c>
      <c r="AA65" s="11">
        <v>0.098</v>
      </c>
      <c r="AB65" s="11">
        <v>0.8</v>
      </c>
      <c r="AC65" s="11">
        <v>0</v>
      </c>
      <c r="AD65" s="11">
        <v>0.2</v>
      </c>
    </row>
    <row r="66" customFormat="1" ht="22" customHeight="1" spans="1:30">
      <c r="A66" s="8" t="s">
        <v>31</v>
      </c>
      <c r="B66" s="8" t="str">
        <f>VLOOKUP(E66,[1]Sheet1!$C:$E,2,FALSE)</f>
        <v>徐从众</v>
      </c>
      <c r="C66" s="9" t="str">
        <f>VLOOKUP(E66,[1]Sheet1!$C:$E,3,FALSE)</f>
        <v>S</v>
      </c>
      <c r="D66" s="12" t="s">
        <v>95</v>
      </c>
      <c r="E66" s="13">
        <v>539190421</v>
      </c>
      <c r="F66" s="12">
        <v>4.5</v>
      </c>
      <c r="G66" s="8">
        <v>107</v>
      </c>
      <c r="H66" s="8">
        <v>2649.18</v>
      </c>
      <c r="I66" s="8">
        <v>0</v>
      </c>
      <c r="J66" s="8">
        <v>24.76</v>
      </c>
      <c r="K66" s="8">
        <v>5377</v>
      </c>
      <c r="L66" s="11">
        <v>0.084</v>
      </c>
      <c r="M66" s="11">
        <v>0.229</v>
      </c>
      <c r="N66" s="11">
        <v>0.0192</v>
      </c>
      <c r="O66" s="8">
        <v>0</v>
      </c>
      <c r="P66" s="8">
        <v>0</v>
      </c>
      <c r="Q66" s="8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0.3</v>
      </c>
      <c r="W66" s="8">
        <v>4</v>
      </c>
      <c r="X66" s="8">
        <v>4</v>
      </c>
      <c r="Y66" s="8">
        <v>0</v>
      </c>
      <c r="Z66" s="8">
        <v>0</v>
      </c>
      <c r="AA66" s="11">
        <v>0.0374</v>
      </c>
      <c r="AB66" s="11">
        <v>1</v>
      </c>
      <c r="AC66" s="11">
        <v>0</v>
      </c>
      <c r="AD66" s="11">
        <v>0</v>
      </c>
    </row>
    <row r="67" customFormat="1" ht="22" customHeight="1" spans="1:30">
      <c r="A67" s="8" t="s">
        <v>31</v>
      </c>
      <c r="B67" s="8" t="str">
        <f>VLOOKUP(E67,[1]Sheet1!$C:$E,2,FALSE)</f>
        <v>徐从众</v>
      </c>
      <c r="C67" s="9" t="str">
        <f>VLOOKUP(E67,[1]Sheet1!$C:$E,3,FALSE)</f>
        <v>S</v>
      </c>
      <c r="D67" s="8" t="s">
        <v>96</v>
      </c>
      <c r="E67" s="10">
        <v>1979110</v>
      </c>
      <c r="F67" s="8">
        <v>4.8</v>
      </c>
      <c r="G67" s="8">
        <v>57</v>
      </c>
      <c r="H67" s="8">
        <v>2617.2</v>
      </c>
      <c r="I67" s="8">
        <v>0</v>
      </c>
      <c r="J67" s="8">
        <v>45.92</v>
      </c>
      <c r="K67" s="8">
        <v>2826</v>
      </c>
      <c r="L67" s="11">
        <v>0.088</v>
      </c>
      <c r="M67" s="11">
        <v>0.229</v>
      </c>
      <c r="N67" s="11">
        <v>0.0202</v>
      </c>
      <c r="O67" s="8">
        <v>0</v>
      </c>
      <c r="P67" s="8">
        <v>0</v>
      </c>
      <c r="Q67" s="8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0.253</v>
      </c>
      <c r="W67" s="8">
        <v>4</v>
      </c>
      <c r="X67" s="8">
        <v>4</v>
      </c>
      <c r="Y67" s="8">
        <v>0</v>
      </c>
      <c r="Z67" s="8">
        <v>0</v>
      </c>
      <c r="AA67" s="11">
        <v>0.0702</v>
      </c>
      <c r="AB67" s="11">
        <v>1</v>
      </c>
      <c r="AC67" s="11">
        <v>0</v>
      </c>
      <c r="AD67" s="11">
        <v>0</v>
      </c>
    </row>
    <row r="68" customFormat="1" ht="22" customHeight="1" spans="1:30">
      <c r="A68" s="8" t="s">
        <v>31</v>
      </c>
      <c r="B68" s="8" t="e">
        <f>VLOOKUP(E68,[1]Sheet1!$C:$E,2,FALSE)</f>
        <v>#N/A</v>
      </c>
      <c r="C68" s="8" t="e">
        <f>VLOOKUP(E68,[1]Sheet1!$C:$E,3,FALSE)</f>
        <v>#N/A</v>
      </c>
      <c r="D68" s="8" t="s">
        <v>97</v>
      </c>
      <c r="E68" s="10">
        <v>1354037318</v>
      </c>
      <c r="F68" s="8">
        <v>4.8</v>
      </c>
      <c r="G68" s="8">
        <v>82</v>
      </c>
      <c r="H68" s="8">
        <v>2614.16</v>
      </c>
      <c r="I68" s="8">
        <v>36.56</v>
      </c>
      <c r="J68" s="8">
        <v>31.88</v>
      </c>
      <c r="K68" s="8">
        <v>5026</v>
      </c>
      <c r="L68" s="11">
        <v>0.089</v>
      </c>
      <c r="M68" s="11">
        <v>0.182</v>
      </c>
      <c r="N68" s="11">
        <v>0.0162</v>
      </c>
      <c r="O68" s="8">
        <v>4634</v>
      </c>
      <c r="P68" s="8">
        <v>392</v>
      </c>
      <c r="Q68" s="8">
        <v>28</v>
      </c>
      <c r="R68" s="11">
        <v>0.074</v>
      </c>
      <c r="S68" s="11">
        <v>0.268</v>
      </c>
      <c r="T68" s="11">
        <v>0.155</v>
      </c>
      <c r="U68" s="11">
        <v>0.267</v>
      </c>
      <c r="V68" s="11">
        <v>0.262</v>
      </c>
      <c r="W68" s="8">
        <v>2</v>
      </c>
      <c r="X68" s="8">
        <v>1</v>
      </c>
      <c r="Y68" s="8">
        <v>0</v>
      </c>
      <c r="Z68" s="8">
        <v>1</v>
      </c>
      <c r="AA68" s="11">
        <v>0.0244</v>
      </c>
      <c r="AB68" s="11">
        <v>0.5</v>
      </c>
      <c r="AC68" s="11">
        <v>0</v>
      </c>
      <c r="AD68" s="11">
        <v>0.5</v>
      </c>
    </row>
    <row r="69" customFormat="1" ht="22" customHeight="1" spans="1:30">
      <c r="A69" s="8" t="s">
        <v>31</v>
      </c>
      <c r="B69" s="8" t="str">
        <f>VLOOKUP(E69,[1]Sheet1!$C:$E,2,FALSE)</f>
        <v>王森</v>
      </c>
      <c r="C69" s="9" t="str">
        <f>VLOOKUP(E69,[1]Sheet1!$C:$E,3,FALSE)</f>
        <v>A</v>
      </c>
      <c r="D69" s="8" t="s">
        <v>98</v>
      </c>
      <c r="E69" s="10">
        <v>2132096317</v>
      </c>
      <c r="F69" s="8">
        <v>4.9</v>
      </c>
      <c r="G69" s="8">
        <v>35</v>
      </c>
      <c r="H69" s="8">
        <v>2524.54</v>
      </c>
      <c r="I69" s="8">
        <v>0</v>
      </c>
      <c r="J69" s="8">
        <v>72.13</v>
      </c>
      <c r="K69" s="8">
        <v>2729</v>
      </c>
      <c r="L69" s="11">
        <v>0.099</v>
      </c>
      <c r="M69" s="11">
        <v>0.126</v>
      </c>
      <c r="N69" s="11">
        <v>0.0125</v>
      </c>
      <c r="O69" s="8">
        <v>0</v>
      </c>
      <c r="P69" s="8">
        <v>0</v>
      </c>
      <c r="Q69" s="8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0.216</v>
      </c>
      <c r="W69" s="8">
        <v>1</v>
      </c>
      <c r="X69" s="8">
        <v>1</v>
      </c>
      <c r="Y69" s="8">
        <v>0</v>
      </c>
      <c r="Z69" s="8">
        <v>0</v>
      </c>
      <c r="AA69" s="11">
        <v>0.0286</v>
      </c>
      <c r="AB69" s="11">
        <v>1</v>
      </c>
      <c r="AC69" s="11">
        <v>0</v>
      </c>
      <c r="AD69" s="11">
        <v>0</v>
      </c>
    </row>
    <row r="70" customFormat="1" ht="22" customHeight="1" spans="1:30">
      <c r="A70" s="8" t="s">
        <v>31</v>
      </c>
      <c r="B70" s="8" t="str">
        <f>VLOOKUP(E70,[1]Sheet1!$C:$E,2,FALSE)</f>
        <v>刘欢</v>
      </c>
      <c r="C70" s="9" t="str">
        <f>VLOOKUP(E70,[1]Sheet1!$C:$E,3,FALSE)</f>
        <v>A</v>
      </c>
      <c r="D70" s="8" t="s">
        <v>99</v>
      </c>
      <c r="E70" s="10">
        <v>157935153</v>
      </c>
      <c r="F70" s="8">
        <v>4.9</v>
      </c>
      <c r="G70" s="8">
        <v>63</v>
      </c>
      <c r="H70" s="8">
        <v>2522.86</v>
      </c>
      <c r="I70" s="8">
        <v>0</v>
      </c>
      <c r="J70" s="8">
        <v>40.05</v>
      </c>
      <c r="K70" s="8">
        <v>3348</v>
      </c>
      <c r="L70" s="11">
        <v>0.069</v>
      </c>
      <c r="M70" s="11">
        <v>0.274</v>
      </c>
      <c r="N70" s="11">
        <v>0.0189</v>
      </c>
      <c r="O70" s="8">
        <v>0</v>
      </c>
      <c r="P70" s="8">
        <v>0</v>
      </c>
      <c r="Q70" s="8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0.154</v>
      </c>
      <c r="W70" s="8">
        <v>0</v>
      </c>
      <c r="X70" s="8">
        <v>0</v>
      </c>
      <c r="Y70" s="8">
        <v>0</v>
      </c>
      <c r="Z70" s="8">
        <v>0</v>
      </c>
      <c r="AA70" s="11">
        <v>0</v>
      </c>
      <c r="AB70" s="11">
        <v>0</v>
      </c>
      <c r="AC70" s="11">
        <v>0</v>
      </c>
      <c r="AD70" s="11">
        <v>0</v>
      </c>
    </row>
    <row r="71" customFormat="1" ht="22" customHeight="1" spans="1:30">
      <c r="A71" s="8" t="s">
        <v>31</v>
      </c>
      <c r="B71" s="8" t="str">
        <f>VLOOKUP(E71,[1]Sheet1!$C:$E,2,FALSE)</f>
        <v>徐从众</v>
      </c>
      <c r="C71" s="9" t="str">
        <f>VLOOKUP(E71,[1]Sheet1!$C:$E,3,FALSE)</f>
        <v>A</v>
      </c>
      <c r="D71" s="8" t="s">
        <v>100</v>
      </c>
      <c r="E71" s="10">
        <v>1190689958</v>
      </c>
      <c r="F71" s="8">
        <v>4.9</v>
      </c>
      <c r="G71" s="8">
        <v>35</v>
      </c>
      <c r="H71" s="8">
        <v>2514.46</v>
      </c>
      <c r="I71" s="8">
        <v>0</v>
      </c>
      <c r="J71" s="8">
        <v>71.84</v>
      </c>
      <c r="K71" s="8">
        <v>2382</v>
      </c>
      <c r="L71" s="11">
        <v>0.089</v>
      </c>
      <c r="M71" s="11">
        <v>0.164</v>
      </c>
      <c r="N71" s="11">
        <v>0.0146</v>
      </c>
      <c r="O71" s="8">
        <v>0</v>
      </c>
      <c r="P71" s="8">
        <v>0</v>
      </c>
      <c r="Q71" s="8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0.163</v>
      </c>
      <c r="W71" s="8">
        <v>3</v>
      </c>
      <c r="X71" s="8">
        <v>2</v>
      </c>
      <c r="Y71" s="8">
        <v>1</v>
      </c>
      <c r="Z71" s="8">
        <v>0</v>
      </c>
      <c r="AA71" s="11">
        <v>0.0857</v>
      </c>
      <c r="AB71" s="11">
        <v>0.6667</v>
      </c>
      <c r="AC71" s="11">
        <v>0.3333</v>
      </c>
      <c r="AD71" s="11">
        <v>0</v>
      </c>
    </row>
    <row r="72" customFormat="1" ht="22" customHeight="1" spans="1:30">
      <c r="A72" s="8" t="s">
        <v>31</v>
      </c>
      <c r="B72" s="8" t="e">
        <f>VLOOKUP(E72,[1]Sheet1!$C:$E,2,FALSE)</f>
        <v>#N/A</v>
      </c>
      <c r="C72" s="8" t="e">
        <f>VLOOKUP(E72,[1]Sheet1!$C:$E,3,FALSE)</f>
        <v>#N/A</v>
      </c>
      <c r="D72" s="8" t="s">
        <v>101</v>
      </c>
      <c r="E72" s="10">
        <v>1350988028</v>
      </c>
      <c r="F72" s="8">
        <v>4.9</v>
      </c>
      <c r="G72" s="8">
        <v>113</v>
      </c>
      <c r="H72" s="8">
        <v>2508.65</v>
      </c>
      <c r="I72" s="8">
        <v>0</v>
      </c>
      <c r="J72" s="8">
        <v>22.2</v>
      </c>
      <c r="K72" s="8">
        <v>5861</v>
      </c>
      <c r="L72" s="11">
        <v>0.074</v>
      </c>
      <c r="M72" s="11">
        <v>0.258</v>
      </c>
      <c r="N72" s="11">
        <v>0.0191</v>
      </c>
      <c r="O72" s="8">
        <v>0</v>
      </c>
      <c r="P72" s="8">
        <v>0</v>
      </c>
      <c r="Q72" s="8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0.109</v>
      </c>
      <c r="W72" s="8">
        <v>7</v>
      </c>
      <c r="X72" s="8">
        <v>6</v>
      </c>
      <c r="Y72" s="8">
        <v>0</v>
      </c>
      <c r="Z72" s="8">
        <v>1</v>
      </c>
      <c r="AA72" s="11">
        <v>0.0619</v>
      </c>
      <c r="AB72" s="11">
        <v>0.8571</v>
      </c>
      <c r="AC72" s="11">
        <v>0</v>
      </c>
      <c r="AD72" s="11">
        <v>0.1429</v>
      </c>
    </row>
    <row r="73" customFormat="1" ht="22" customHeight="1" spans="1:30">
      <c r="A73" s="8" t="s">
        <v>31</v>
      </c>
      <c r="B73" s="8" t="e">
        <f>VLOOKUP(E73,[1]Sheet1!$C:$E,2,FALSE)</f>
        <v>#N/A</v>
      </c>
      <c r="C73" s="8" t="e">
        <f>VLOOKUP(E73,[1]Sheet1!$C:$E,3,FALSE)</f>
        <v>#N/A</v>
      </c>
      <c r="D73" s="12" t="s">
        <v>102</v>
      </c>
      <c r="E73" s="13">
        <v>539025381</v>
      </c>
      <c r="F73" s="12">
        <v>4.5</v>
      </c>
      <c r="G73" s="8">
        <v>37</v>
      </c>
      <c r="H73" s="8">
        <v>2504.23</v>
      </c>
      <c r="I73" s="8">
        <v>86.8</v>
      </c>
      <c r="J73" s="8">
        <v>67.68</v>
      </c>
      <c r="K73" s="8">
        <v>3604</v>
      </c>
      <c r="L73" s="11">
        <v>0.093</v>
      </c>
      <c r="M73" s="11">
        <v>0.111</v>
      </c>
      <c r="N73" s="11">
        <v>0.0103</v>
      </c>
      <c r="O73" s="8">
        <v>3206</v>
      </c>
      <c r="P73" s="8">
        <v>398</v>
      </c>
      <c r="Q73" s="8">
        <v>16</v>
      </c>
      <c r="R73" s="11">
        <v>0.087</v>
      </c>
      <c r="S73" s="11">
        <v>0.136</v>
      </c>
      <c r="T73" s="11">
        <v>0.075</v>
      </c>
      <c r="U73" s="11">
        <v>0.296</v>
      </c>
      <c r="V73" s="11">
        <v>0.214</v>
      </c>
      <c r="W73" s="8">
        <v>1</v>
      </c>
      <c r="X73" s="8">
        <v>1</v>
      </c>
      <c r="Y73" s="8">
        <v>0</v>
      </c>
      <c r="Z73" s="8">
        <v>0</v>
      </c>
      <c r="AA73" s="11">
        <v>0.027</v>
      </c>
      <c r="AB73" s="11">
        <v>1</v>
      </c>
      <c r="AC73" s="11">
        <v>0</v>
      </c>
      <c r="AD73" s="11">
        <v>0</v>
      </c>
    </row>
    <row r="74" customFormat="1" ht="22" customHeight="1" spans="1:30">
      <c r="A74" s="8" t="s">
        <v>31</v>
      </c>
      <c r="B74" s="8" t="e">
        <f>VLOOKUP(E74,[1]Sheet1!$C:$E,2,FALSE)</f>
        <v>#N/A</v>
      </c>
      <c r="C74" s="8" t="e">
        <f>VLOOKUP(E74,[1]Sheet1!$C:$E,3,FALSE)</f>
        <v>#N/A</v>
      </c>
      <c r="D74" s="8" t="s">
        <v>103</v>
      </c>
      <c r="E74" s="10">
        <v>545313403</v>
      </c>
      <c r="F74" s="8">
        <v>5</v>
      </c>
      <c r="G74" s="8">
        <v>68</v>
      </c>
      <c r="H74" s="8">
        <v>2483.84</v>
      </c>
      <c r="I74" s="8">
        <v>0</v>
      </c>
      <c r="J74" s="8">
        <v>36.53</v>
      </c>
      <c r="K74" s="8">
        <v>3873</v>
      </c>
      <c r="L74" s="11">
        <v>0.076</v>
      </c>
      <c r="M74" s="11">
        <v>0.228</v>
      </c>
      <c r="N74" s="11">
        <v>0.0173</v>
      </c>
      <c r="O74" s="8">
        <v>0</v>
      </c>
      <c r="P74" s="8">
        <v>0</v>
      </c>
      <c r="Q74" s="8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0.077</v>
      </c>
      <c r="W74" s="8">
        <v>10</v>
      </c>
      <c r="X74" s="8">
        <v>9</v>
      </c>
      <c r="Y74" s="8">
        <v>0</v>
      </c>
      <c r="Z74" s="8">
        <v>1</v>
      </c>
      <c r="AA74" s="11">
        <v>0.1471</v>
      </c>
      <c r="AB74" s="11">
        <v>0.9</v>
      </c>
      <c r="AC74" s="11">
        <v>0</v>
      </c>
      <c r="AD74" s="11">
        <v>0.1</v>
      </c>
    </row>
    <row r="75" customFormat="1" ht="22" customHeight="1" spans="1:30">
      <c r="A75" s="8" t="s">
        <v>31</v>
      </c>
      <c r="B75" s="8" t="str">
        <f>VLOOKUP(E75,[1]Sheet1!$C:$E,2,FALSE)</f>
        <v>徐从众</v>
      </c>
      <c r="C75" s="9" t="str">
        <f>VLOOKUP(E75,[1]Sheet1!$C:$E,3,FALSE)</f>
        <v>S</v>
      </c>
      <c r="D75" s="12" t="s">
        <v>104</v>
      </c>
      <c r="E75" s="13">
        <v>174271344</v>
      </c>
      <c r="F75" s="12">
        <v>4.6</v>
      </c>
      <c r="G75" s="8">
        <v>56</v>
      </c>
      <c r="H75" s="8">
        <v>2483.1</v>
      </c>
      <c r="I75" s="8">
        <v>56.32</v>
      </c>
      <c r="J75" s="8">
        <v>44.34</v>
      </c>
      <c r="K75" s="8">
        <v>3466</v>
      </c>
      <c r="L75" s="11">
        <v>0.077</v>
      </c>
      <c r="M75" s="11">
        <v>0.203</v>
      </c>
      <c r="N75" s="11">
        <v>0.0156</v>
      </c>
      <c r="O75" s="8">
        <v>2690</v>
      </c>
      <c r="P75" s="8">
        <v>776</v>
      </c>
      <c r="Q75" s="8">
        <v>34</v>
      </c>
      <c r="R75" s="11">
        <v>0.062</v>
      </c>
      <c r="S75" s="11">
        <v>0.128</v>
      </c>
      <c r="T75" s="11">
        <v>0.12</v>
      </c>
      <c r="U75" s="11">
        <v>0.343</v>
      </c>
      <c r="V75" s="11">
        <v>0.222</v>
      </c>
      <c r="W75" s="8">
        <v>2</v>
      </c>
      <c r="X75" s="8">
        <v>2</v>
      </c>
      <c r="Y75" s="8">
        <v>0</v>
      </c>
      <c r="Z75" s="8">
        <v>0</v>
      </c>
      <c r="AA75" s="11">
        <v>0.0357</v>
      </c>
      <c r="AB75" s="11">
        <v>1</v>
      </c>
      <c r="AC75" s="11">
        <v>0</v>
      </c>
      <c r="AD75" s="11">
        <v>0</v>
      </c>
    </row>
    <row r="76" customFormat="1" ht="22" customHeight="1" spans="1:30">
      <c r="A76" s="8" t="s">
        <v>31</v>
      </c>
      <c r="B76" s="8" t="e">
        <f>VLOOKUP(E76,[1]Sheet1!$C:$E,2,FALSE)</f>
        <v>#N/A</v>
      </c>
      <c r="C76" s="8" t="e">
        <f>VLOOKUP(E76,[1]Sheet1!$C:$E,3,FALSE)</f>
        <v>#N/A</v>
      </c>
      <c r="D76" s="12" t="s">
        <v>105</v>
      </c>
      <c r="E76" s="13">
        <v>507487791</v>
      </c>
      <c r="F76" s="12">
        <v>4.4</v>
      </c>
      <c r="G76" s="8">
        <v>158</v>
      </c>
      <c r="H76" s="8">
        <v>2470.24</v>
      </c>
      <c r="I76" s="8">
        <v>21.85</v>
      </c>
      <c r="J76" s="8">
        <v>15.63</v>
      </c>
      <c r="K76" s="8">
        <v>7339</v>
      </c>
      <c r="L76" s="11">
        <v>0.072</v>
      </c>
      <c r="M76" s="11">
        <v>0.299</v>
      </c>
      <c r="N76" s="11">
        <v>0.0215</v>
      </c>
      <c r="O76" s="8">
        <v>6164</v>
      </c>
      <c r="P76" s="8">
        <v>1175</v>
      </c>
      <c r="Q76" s="8">
        <v>55</v>
      </c>
      <c r="R76" s="11">
        <v>0.067</v>
      </c>
      <c r="S76" s="11">
        <v>0.096</v>
      </c>
      <c r="T76" s="11">
        <v>0.248</v>
      </c>
      <c r="U76" s="11">
        <v>0.487</v>
      </c>
      <c r="V76" s="11">
        <v>0.102</v>
      </c>
      <c r="W76" s="8">
        <v>13</v>
      </c>
      <c r="X76" s="8">
        <v>11</v>
      </c>
      <c r="Y76" s="8">
        <v>0</v>
      </c>
      <c r="Z76" s="8">
        <v>2</v>
      </c>
      <c r="AA76" s="11">
        <v>0.0823</v>
      </c>
      <c r="AB76" s="11">
        <v>0.8462</v>
      </c>
      <c r="AC76" s="11">
        <v>0</v>
      </c>
      <c r="AD76" s="11">
        <v>0.1538</v>
      </c>
    </row>
    <row r="77" customFormat="1" ht="22" customHeight="1" spans="1:30">
      <c r="A77" s="8" t="s">
        <v>31</v>
      </c>
      <c r="B77" s="8" t="str">
        <f>VLOOKUP(E77,[1]Sheet1!$C:$E,2,FALSE)</f>
        <v>徐从众</v>
      </c>
      <c r="C77" s="9" t="str">
        <f>VLOOKUP(E77,[1]Sheet1!$C:$E,3,FALSE)</f>
        <v>S</v>
      </c>
      <c r="D77" s="12" t="s">
        <v>106</v>
      </c>
      <c r="E77" s="13">
        <v>1301949026</v>
      </c>
      <c r="F77" s="12">
        <v>4.5</v>
      </c>
      <c r="G77" s="8">
        <v>57</v>
      </c>
      <c r="H77" s="8">
        <v>2461.57</v>
      </c>
      <c r="I77" s="8">
        <v>54.73</v>
      </c>
      <c r="J77" s="8">
        <v>43.19</v>
      </c>
      <c r="K77" s="8">
        <v>1965</v>
      </c>
      <c r="L77" s="11">
        <v>0.093</v>
      </c>
      <c r="M77" s="11">
        <v>0.311</v>
      </c>
      <c r="N77" s="11">
        <v>0.0289</v>
      </c>
      <c r="O77" s="8">
        <v>1442</v>
      </c>
      <c r="P77" s="8">
        <v>523</v>
      </c>
      <c r="Q77" s="8">
        <v>38</v>
      </c>
      <c r="R77" s="11">
        <v>0.077</v>
      </c>
      <c r="S77" s="11">
        <v>0.138</v>
      </c>
      <c r="T77" s="11">
        <v>0.171</v>
      </c>
      <c r="U77" s="11">
        <v>0.528</v>
      </c>
      <c r="V77" s="11">
        <v>0.245</v>
      </c>
      <c r="W77" s="8">
        <v>0</v>
      </c>
      <c r="X77" s="8">
        <v>0</v>
      </c>
      <c r="Y77" s="8">
        <v>0</v>
      </c>
      <c r="Z77" s="8">
        <v>0</v>
      </c>
      <c r="AA77" s="11">
        <v>0</v>
      </c>
      <c r="AB77" s="11">
        <v>0</v>
      </c>
      <c r="AC77" s="11">
        <v>0</v>
      </c>
      <c r="AD77" s="11">
        <v>0</v>
      </c>
    </row>
    <row r="78" customFormat="1" ht="22" customHeight="1" spans="1:30">
      <c r="A78" s="8" t="s">
        <v>31</v>
      </c>
      <c r="B78" s="8" t="str">
        <f>VLOOKUP(E78,[1]Sheet1!$C:$E,2,FALSE)</f>
        <v>刘欢</v>
      </c>
      <c r="C78" s="9" t="str">
        <f>VLOOKUP(E78,[1]Sheet1!$C:$E,3,FALSE)</f>
        <v>A</v>
      </c>
      <c r="D78" s="8" t="s">
        <v>107</v>
      </c>
      <c r="E78" s="10">
        <v>538653708</v>
      </c>
      <c r="F78" s="8">
        <v>4.8</v>
      </c>
      <c r="G78" s="8">
        <v>45</v>
      </c>
      <c r="H78" s="8">
        <v>2424.13</v>
      </c>
      <c r="I78" s="8">
        <v>68.59</v>
      </c>
      <c r="J78" s="8">
        <v>53.87</v>
      </c>
      <c r="K78" s="8">
        <v>2998</v>
      </c>
      <c r="L78" s="11">
        <v>0.055</v>
      </c>
      <c r="M78" s="11">
        <v>0.265</v>
      </c>
      <c r="N78" s="11">
        <v>0.0146</v>
      </c>
      <c r="O78" s="8">
        <v>2553</v>
      </c>
      <c r="P78" s="8">
        <v>445</v>
      </c>
      <c r="Q78" s="8">
        <v>17</v>
      </c>
      <c r="R78" s="11">
        <v>0.049</v>
      </c>
      <c r="S78" s="11">
        <v>0.092</v>
      </c>
      <c r="T78" s="11">
        <v>0.216</v>
      </c>
      <c r="U78" s="11">
        <v>0.415</v>
      </c>
      <c r="V78" s="11">
        <v>0.198</v>
      </c>
      <c r="W78" s="8">
        <v>1</v>
      </c>
      <c r="X78" s="8">
        <v>1</v>
      </c>
      <c r="Y78" s="8">
        <v>0</v>
      </c>
      <c r="Z78" s="8">
        <v>0</v>
      </c>
      <c r="AA78" s="11">
        <v>0.0222</v>
      </c>
      <c r="AB78" s="11">
        <v>1</v>
      </c>
      <c r="AC78" s="11">
        <v>0</v>
      </c>
      <c r="AD78" s="11">
        <v>0</v>
      </c>
    </row>
    <row r="79" customFormat="1" ht="22" customHeight="1" spans="1:30">
      <c r="A79" s="8" t="s">
        <v>31</v>
      </c>
      <c r="B79" s="8" t="str">
        <f>VLOOKUP(E79,[1]Sheet1!$C:$E,2,FALSE)</f>
        <v>徐从众</v>
      </c>
      <c r="C79" s="9" t="str">
        <f>VLOOKUP(E79,[1]Sheet1!$C:$E,3,FALSE)</f>
        <v>A</v>
      </c>
      <c r="D79" s="8" t="s">
        <v>108</v>
      </c>
      <c r="E79" s="10">
        <v>1163860372</v>
      </c>
      <c r="F79" s="8">
        <v>4.9</v>
      </c>
      <c r="G79" s="8">
        <v>49</v>
      </c>
      <c r="H79" s="8">
        <v>2402.39</v>
      </c>
      <c r="I79" s="8">
        <v>0</v>
      </c>
      <c r="J79" s="8">
        <v>49.03</v>
      </c>
      <c r="K79" s="8">
        <v>2550</v>
      </c>
      <c r="L79" s="11">
        <v>0.11</v>
      </c>
      <c r="M79" s="11">
        <v>0.171</v>
      </c>
      <c r="N79" s="11">
        <v>0.0188</v>
      </c>
      <c r="O79" s="8">
        <v>0</v>
      </c>
      <c r="P79" s="8">
        <v>0</v>
      </c>
      <c r="Q79" s="8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0.22</v>
      </c>
      <c r="W79" s="8">
        <v>3</v>
      </c>
      <c r="X79" s="8">
        <v>3</v>
      </c>
      <c r="Y79" s="8">
        <v>0</v>
      </c>
      <c r="Z79" s="8">
        <v>0</v>
      </c>
      <c r="AA79" s="11">
        <v>0.0612</v>
      </c>
      <c r="AB79" s="11">
        <v>1</v>
      </c>
      <c r="AC79" s="11">
        <v>0</v>
      </c>
      <c r="AD79" s="11">
        <v>0</v>
      </c>
    </row>
    <row r="80" customFormat="1" ht="22" customHeight="1" spans="1:30">
      <c r="A80" s="8" t="s">
        <v>31</v>
      </c>
      <c r="B80" s="8" t="str">
        <f>VLOOKUP(E80,[1]Sheet1!$C:$E,2,FALSE)</f>
        <v>徐从众</v>
      </c>
      <c r="C80" s="9" t="str">
        <f>VLOOKUP(E80,[1]Sheet1!$C:$E,3,FALSE)</f>
        <v>S</v>
      </c>
      <c r="D80" s="8" t="s">
        <v>109</v>
      </c>
      <c r="E80" s="10">
        <v>2042488535</v>
      </c>
      <c r="F80" s="8">
        <v>4.9</v>
      </c>
      <c r="G80" s="8">
        <v>76</v>
      </c>
      <c r="H80" s="8">
        <v>2397.86</v>
      </c>
      <c r="I80" s="8">
        <v>41.47</v>
      </c>
      <c r="J80" s="8">
        <v>31.55</v>
      </c>
      <c r="K80" s="8">
        <v>3259</v>
      </c>
      <c r="L80" s="11">
        <v>0.095</v>
      </c>
      <c r="M80" s="11">
        <v>0.237</v>
      </c>
      <c r="N80" s="11">
        <v>0.0225</v>
      </c>
      <c r="O80" s="8">
        <v>2490</v>
      </c>
      <c r="P80" s="8">
        <v>769</v>
      </c>
      <c r="Q80" s="8">
        <v>55</v>
      </c>
      <c r="R80" s="11">
        <v>0.068</v>
      </c>
      <c r="S80" s="11">
        <v>0.179</v>
      </c>
      <c r="T80" s="11">
        <v>0.106</v>
      </c>
      <c r="U80" s="11">
        <v>0.399</v>
      </c>
      <c r="V80" s="11">
        <v>0.31</v>
      </c>
      <c r="W80" s="8">
        <v>1</v>
      </c>
      <c r="X80" s="8">
        <v>0</v>
      </c>
      <c r="Y80" s="8">
        <v>1</v>
      </c>
      <c r="Z80" s="8">
        <v>0</v>
      </c>
      <c r="AA80" s="11">
        <v>0.0132</v>
      </c>
      <c r="AB80" s="11">
        <v>0</v>
      </c>
      <c r="AC80" s="11">
        <v>1</v>
      </c>
      <c r="AD80" s="11">
        <v>0</v>
      </c>
    </row>
    <row r="81" customFormat="1" ht="22" customHeight="1" spans="1:30">
      <c r="A81" s="8" t="s">
        <v>31</v>
      </c>
      <c r="B81" s="8" t="str">
        <f>VLOOKUP(E81,[1]Sheet1!$C:$E,2,FALSE)</f>
        <v>岳贝贝</v>
      </c>
      <c r="C81" s="9" t="str">
        <f>VLOOKUP(E81,[1]Sheet1!$C:$E,3,FALSE)</f>
        <v>S</v>
      </c>
      <c r="D81" s="12" t="s">
        <v>110</v>
      </c>
      <c r="E81" s="13">
        <v>518388813</v>
      </c>
      <c r="F81" s="12">
        <v>4.5</v>
      </c>
      <c r="G81" s="8">
        <v>32</v>
      </c>
      <c r="H81" s="8">
        <v>2372.87</v>
      </c>
      <c r="I81" s="8">
        <v>88.77</v>
      </c>
      <c r="J81" s="8">
        <v>74.15</v>
      </c>
      <c r="K81" s="8">
        <v>1784</v>
      </c>
      <c r="L81" s="11">
        <v>0.1</v>
      </c>
      <c r="M81" s="11">
        <v>0.185</v>
      </c>
      <c r="N81" s="11">
        <v>0.0185</v>
      </c>
      <c r="O81" s="8">
        <v>1146</v>
      </c>
      <c r="P81" s="8">
        <v>638</v>
      </c>
      <c r="Q81" s="8">
        <v>25</v>
      </c>
      <c r="R81" s="11">
        <v>0.088</v>
      </c>
      <c r="S81" s="11">
        <v>0.121</v>
      </c>
      <c r="T81" s="11">
        <v>0.079</v>
      </c>
      <c r="U81" s="11">
        <v>0.325</v>
      </c>
      <c r="V81" s="11">
        <v>0.191</v>
      </c>
      <c r="W81" s="8">
        <v>1</v>
      </c>
      <c r="X81" s="8">
        <v>1</v>
      </c>
      <c r="Y81" s="8">
        <v>0</v>
      </c>
      <c r="Z81" s="8">
        <v>0</v>
      </c>
      <c r="AA81" s="11">
        <v>0.0313</v>
      </c>
      <c r="AB81" s="11">
        <v>1</v>
      </c>
      <c r="AC81" s="11">
        <v>0</v>
      </c>
      <c r="AD81" s="11">
        <v>0</v>
      </c>
    </row>
    <row r="82" customFormat="1" ht="22" customHeight="1" spans="1:30">
      <c r="A82" s="8" t="s">
        <v>31</v>
      </c>
      <c r="B82" s="8" t="str">
        <f>VLOOKUP(E82,[1]Sheet1!$C:$E,2,FALSE)</f>
        <v>徐从众</v>
      </c>
      <c r="C82" s="9" t="str">
        <f>VLOOKUP(E82,[1]Sheet1!$C:$E,3,FALSE)</f>
        <v>S</v>
      </c>
      <c r="D82" s="8" t="s">
        <v>111</v>
      </c>
      <c r="E82" s="10">
        <v>2043888532</v>
      </c>
      <c r="F82" s="8">
        <v>4.8</v>
      </c>
      <c r="G82" s="8">
        <v>46</v>
      </c>
      <c r="H82" s="8">
        <v>2355.8</v>
      </c>
      <c r="I82" s="8">
        <v>61.33</v>
      </c>
      <c r="J82" s="8">
        <v>51.21</v>
      </c>
      <c r="K82" s="8">
        <v>2515</v>
      </c>
      <c r="L82" s="11">
        <v>0.082</v>
      </c>
      <c r="M82" s="11">
        <v>0.22</v>
      </c>
      <c r="N82" s="11">
        <v>0.018</v>
      </c>
      <c r="O82" s="8">
        <v>2043</v>
      </c>
      <c r="P82" s="8">
        <v>472</v>
      </c>
      <c r="Q82" s="8">
        <v>23</v>
      </c>
      <c r="R82" s="11">
        <v>0.068</v>
      </c>
      <c r="S82" s="11">
        <v>0.14</v>
      </c>
      <c r="T82" s="11">
        <v>0.158</v>
      </c>
      <c r="U82" s="11">
        <v>0.348</v>
      </c>
      <c r="V82" s="11">
        <v>0.193</v>
      </c>
      <c r="W82" s="8">
        <v>2</v>
      </c>
      <c r="X82" s="8">
        <v>2</v>
      </c>
      <c r="Y82" s="8">
        <v>0</v>
      </c>
      <c r="Z82" s="8">
        <v>0</v>
      </c>
      <c r="AA82" s="11">
        <v>0.0435</v>
      </c>
      <c r="AB82" s="11">
        <v>1</v>
      </c>
      <c r="AC82" s="11">
        <v>0</v>
      </c>
      <c r="AD82" s="11">
        <v>0</v>
      </c>
    </row>
    <row r="83" customFormat="1" ht="22" customHeight="1" spans="1:30">
      <c r="A83" s="8" t="s">
        <v>31</v>
      </c>
      <c r="B83" s="8" t="e">
        <f>VLOOKUP(E83,[1]Sheet1!$C:$E,2,FALSE)</f>
        <v>#N/A</v>
      </c>
      <c r="C83" s="8" t="e">
        <f>VLOOKUP(E83,[1]Sheet1!$C:$E,3,FALSE)</f>
        <v>#N/A</v>
      </c>
      <c r="D83" s="8" t="s">
        <v>112</v>
      </c>
      <c r="E83" s="10">
        <v>1352172456</v>
      </c>
      <c r="F83" s="8">
        <v>4.9</v>
      </c>
      <c r="G83" s="8">
        <v>55</v>
      </c>
      <c r="H83" s="8">
        <v>2355.06</v>
      </c>
      <c r="I83" s="8">
        <v>0</v>
      </c>
      <c r="J83" s="8">
        <v>42.82</v>
      </c>
      <c r="K83" s="8">
        <v>3642</v>
      </c>
      <c r="L83" s="11">
        <v>0.079</v>
      </c>
      <c r="M83" s="11">
        <v>0.178</v>
      </c>
      <c r="N83" s="11">
        <v>0.0141</v>
      </c>
      <c r="O83" s="8">
        <v>0</v>
      </c>
      <c r="P83" s="8">
        <v>0</v>
      </c>
      <c r="Q83" s="8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0.311</v>
      </c>
      <c r="W83" s="8">
        <v>3</v>
      </c>
      <c r="X83" s="8">
        <v>3</v>
      </c>
      <c r="Y83" s="8">
        <v>0</v>
      </c>
      <c r="Z83" s="8">
        <v>0</v>
      </c>
      <c r="AA83" s="11">
        <v>0.0545</v>
      </c>
      <c r="AB83" s="11">
        <v>1</v>
      </c>
      <c r="AC83" s="11">
        <v>0</v>
      </c>
      <c r="AD83" s="11">
        <v>0</v>
      </c>
    </row>
    <row r="84" customFormat="1" ht="22" customHeight="1" spans="1:30">
      <c r="A84" s="8" t="s">
        <v>31</v>
      </c>
      <c r="B84" s="8" t="e">
        <f>VLOOKUP(E84,[1]Sheet1!$C:$E,2,FALSE)</f>
        <v>#N/A</v>
      </c>
      <c r="C84" s="8" t="e">
        <f>VLOOKUP(E84,[1]Sheet1!$C:$E,3,FALSE)</f>
        <v>#N/A</v>
      </c>
      <c r="D84" s="12" t="s">
        <v>113</v>
      </c>
      <c r="E84" s="13">
        <v>1348308565</v>
      </c>
      <c r="F84" s="12">
        <v>4.6</v>
      </c>
      <c r="G84" s="8">
        <v>105</v>
      </c>
      <c r="H84" s="8">
        <v>2349.51</v>
      </c>
      <c r="I84" s="8">
        <v>28.99</v>
      </c>
      <c r="J84" s="8">
        <v>22.38</v>
      </c>
      <c r="K84" s="8">
        <v>6238</v>
      </c>
      <c r="L84" s="11">
        <v>0.069</v>
      </c>
      <c r="M84" s="11">
        <v>0.245</v>
      </c>
      <c r="N84" s="11">
        <v>0.0169</v>
      </c>
      <c r="O84" s="8">
        <v>5546</v>
      </c>
      <c r="P84" s="8">
        <v>692</v>
      </c>
      <c r="Q84" s="8">
        <v>31</v>
      </c>
      <c r="R84" s="11">
        <v>0.065</v>
      </c>
      <c r="S84" s="11">
        <v>0.104</v>
      </c>
      <c r="T84" s="11">
        <v>0.208</v>
      </c>
      <c r="U84" s="11">
        <v>0.431</v>
      </c>
      <c r="V84" s="11">
        <v>0.089</v>
      </c>
      <c r="W84" s="8">
        <v>7</v>
      </c>
      <c r="X84" s="8">
        <v>6</v>
      </c>
      <c r="Y84" s="8">
        <v>1</v>
      </c>
      <c r="Z84" s="8">
        <v>0</v>
      </c>
      <c r="AA84" s="11">
        <v>0.0667</v>
      </c>
      <c r="AB84" s="11">
        <v>0.8571</v>
      </c>
      <c r="AC84" s="11">
        <v>0.1429</v>
      </c>
      <c r="AD84" s="11">
        <v>0</v>
      </c>
    </row>
    <row r="85" customFormat="1" ht="22" customHeight="1" spans="1:30">
      <c r="A85" s="8" t="s">
        <v>31</v>
      </c>
      <c r="B85" s="8" t="str">
        <f>VLOOKUP(E85,[1]Sheet1!$C:$E,2,FALSE)</f>
        <v>王森</v>
      </c>
      <c r="C85" s="9" t="str">
        <f>VLOOKUP(E85,[1]Sheet1!$C:$E,3,FALSE)</f>
        <v>A</v>
      </c>
      <c r="D85" s="8" t="s">
        <v>114</v>
      </c>
      <c r="E85" s="10">
        <v>507600436</v>
      </c>
      <c r="F85" s="8">
        <v>4.9</v>
      </c>
      <c r="G85" s="8">
        <v>43</v>
      </c>
      <c r="H85" s="8">
        <v>2344.52</v>
      </c>
      <c r="I85" s="8">
        <v>0</v>
      </c>
      <c r="J85" s="8">
        <v>54.52</v>
      </c>
      <c r="K85" s="8">
        <v>2436</v>
      </c>
      <c r="L85" s="11">
        <v>0.103</v>
      </c>
      <c r="M85" s="11">
        <v>0.172</v>
      </c>
      <c r="N85" s="11">
        <v>0.0177</v>
      </c>
      <c r="O85" s="8">
        <v>0</v>
      </c>
      <c r="P85" s="8">
        <v>0</v>
      </c>
      <c r="Q85" s="8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0.215</v>
      </c>
      <c r="W85" s="8">
        <v>5</v>
      </c>
      <c r="X85" s="8">
        <v>5</v>
      </c>
      <c r="Y85" s="8">
        <v>0</v>
      </c>
      <c r="Z85" s="8">
        <v>0</v>
      </c>
      <c r="AA85" s="11">
        <v>0.1163</v>
      </c>
      <c r="AB85" s="11">
        <v>1</v>
      </c>
      <c r="AC85" s="11">
        <v>0</v>
      </c>
      <c r="AD85" s="11">
        <v>0</v>
      </c>
    </row>
    <row r="86" customFormat="1" ht="22" customHeight="1" spans="1:30">
      <c r="A86" s="8" t="s">
        <v>31</v>
      </c>
      <c r="B86" s="8" t="str">
        <f>VLOOKUP(E86,[1]Sheet1!$C:$E,2,FALSE)</f>
        <v>刘欢</v>
      </c>
      <c r="C86" s="9" t="str">
        <f>VLOOKUP(E86,[1]Sheet1!$C:$E,3,FALSE)</f>
        <v>A</v>
      </c>
      <c r="D86" s="8" t="s">
        <v>115</v>
      </c>
      <c r="E86" s="10">
        <v>162232962</v>
      </c>
      <c r="F86" s="8">
        <v>4.9</v>
      </c>
      <c r="G86" s="8">
        <v>55</v>
      </c>
      <c r="H86" s="8">
        <v>2332.82</v>
      </c>
      <c r="I86" s="8">
        <v>0</v>
      </c>
      <c r="J86" s="8">
        <v>42.41</v>
      </c>
      <c r="K86" s="8">
        <v>2226</v>
      </c>
      <c r="L86" s="11">
        <v>0.083</v>
      </c>
      <c r="M86" s="11">
        <v>0.303</v>
      </c>
      <c r="N86" s="11">
        <v>0.0251</v>
      </c>
      <c r="O86" s="8">
        <v>0</v>
      </c>
      <c r="P86" s="8">
        <v>0</v>
      </c>
      <c r="Q86" s="8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0.185</v>
      </c>
      <c r="W86" s="8">
        <v>0</v>
      </c>
      <c r="X86" s="8">
        <v>0</v>
      </c>
      <c r="Y86" s="8">
        <v>0</v>
      </c>
      <c r="Z86" s="8">
        <v>0</v>
      </c>
      <c r="AA86" s="11">
        <v>0</v>
      </c>
      <c r="AB86" s="11">
        <v>0</v>
      </c>
      <c r="AC86" s="11">
        <v>0</v>
      </c>
      <c r="AD86" s="11">
        <v>0</v>
      </c>
    </row>
    <row r="87" customFormat="1" ht="22" customHeight="1" spans="1:30">
      <c r="A87" s="8" t="s">
        <v>31</v>
      </c>
      <c r="B87" s="8" t="str">
        <f>VLOOKUP(E87,[1]Sheet1!$C:$E,2,FALSE)</f>
        <v>王森</v>
      </c>
      <c r="C87" s="8" t="str">
        <f>VLOOKUP(E87,[1]Sheet1!$C:$E,3,FALSE)</f>
        <v>B</v>
      </c>
      <c r="D87" s="8" t="s">
        <v>116</v>
      </c>
      <c r="E87" s="10">
        <v>1119434698</v>
      </c>
      <c r="F87" s="8">
        <v>5</v>
      </c>
      <c r="G87" s="8">
        <v>91</v>
      </c>
      <c r="H87" s="8">
        <v>2269.72</v>
      </c>
      <c r="I87" s="8">
        <v>0</v>
      </c>
      <c r="J87" s="8">
        <v>24.94</v>
      </c>
      <c r="K87" s="8">
        <v>4183</v>
      </c>
      <c r="L87" s="11">
        <v>0.067</v>
      </c>
      <c r="M87" s="11">
        <v>0.325</v>
      </c>
      <c r="N87" s="11">
        <v>0.0218</v>
      </c>
      <c r="O87" s="8">
        <v>0</v>
      </c>
      <c r="P87" s="8">
        <v>0</v>
      </c>
      <c r="Q87" s="8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0.222</v>
      </c>
      <c r="W87" s="8">
        <v>2</v>
      </c>
      <c r="X87" s="8">
        <v>2</v>
      </c>
      <c r="Y87" s="8">
        <v>0</v>
      </c>
      <c r="Z87" s="8">
        <v>0</v>
      </c>
      <c r="AA87" s="11">
        <v>0.022</v>
      </c>
      <c r="AB87" s="11">
        <v>1</v>
      </c>
      <c r="AC87" s="11">
        <v>0</v>
      </c>
      <c r="AD87" s="11">
        <v>0</v>
      </c>
    </row>
    <row r="88" customFormat="1" ht="22" customHeight="1" spans="1:30">
      <c r="A88" s="8" t="s">
        <v>31</v>
      </c>
      <c r="B88" s="8" t="e">
        <f>VLOOKUP(E88,[1]Sheet1!$C:$E,2,FALSE)</f>
        <v>#N/A</v>
      </c>
      <c r="C88" s="8" t="e">
        <f>VLOOKUP(E88,[1]Sheet1!$C:$E,3,FALSE)</f>
        <v>#N/A</v>
      </c>
      <c r="D88" s="8" t="s">
        <v>117</v>
      </c>
      <c r="E88" s="10">
        <v>544806526</v>
      </c>
      <c r="F88" s="8">
        <v>4.8</v>
      </c>
      <c r="G88" s="8">
        <v>57</v>
      </c>
      <c r="H88" s="8">
        <v>2269.49</v>
      </c>
      <c r="I88" s="8">
        <v>0</v>
      </c>
      <c r="J88" s="8">
        <v>39.82</v>
      </c>
      <c r="K88" s="8">
        <v>3765</v>
      </c>
      <c r="L88" s="11">
        <v>0.069</v>
      </c>
      <c r="M88" s="11">
        <v>0.215</v>
      </c>
      <c r="N88" s="11">
        <v>0.0148</v>
      </c>
      <c r="O88" s="8">
        <v>0</v>
      </c>
      <c r="P88" s="8">
        <v>0</v>
      </c>
      <c r="Q88" s="8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0.176</v>
      </c>
      <c r="W88" s="8">
        <v>2</v>
      </c>
      <c r="X88" s="8">
        <v>2</v>
      </c>
      <c r="Y88" s="8">
        <v>0</v>
      </c>
      <c r="Z88" s="8">
        <v>0</v>
      </c>
      <c r="AA88" s="11">
        <v>0.0351</v>
      </c>
      <c r="AB88" s="11">
        <v>1</v>
      </c>
      <c r="AC88" s="11">
        <v>0</v>
      </c>
      <c r="AD88" s="11">
        <v>0</v>
      </c>
    </row>
    <row r="89" customFormat="1" ht="22" customHeight="1" spans="1:30">
      <c r="A89" s="8" t="s">
        <v>31</v>
      </c>
      <c r="B89" s="8" t="str">
        <f>VLOOKUP(E89,[1]Sheet1!$C:$E,2,FALSE)</f>
        <v>王森</v>
      </c>
      <c r="C89" s="9" t="str">
        <f>VLOOKUP(E89,[1]Sheet1!$C:$E,3,FALSE)</f>
        <v>A</v>
      </c>
      <c r="D89" s="8" t="s">
        <v>118</v>
      </c>
      <c r="E89" s="10">
        <v>170914692</v>
      </c>
      <c r="F89" s="8">
        <v>4.9</v>
      </c>
      <c r="G89" s="8">
        <v>68</v>
      </c>
      <c r="H89" s="8">
        <v>2229.91</v>
      </c>
      <c r="I89" s="8">
        <v>0</v>
      </c>
      <c r="J89" s="8">
        <v>32.79</v>
      </c>
      <c r="K89" s="8">
        <v>5116</v>
      </c>
      <c r="L89" s="11">
        <v>0.083</v>
      </c>
      <c r="M89" s="11">
        <v>0.158</v>
      </c>
      <c r="N89" s="11">
        <v>0.0131</v>
      </c>
      <c r="O89" s="8">
        <v>0</v>
      </c>
      <c r="P89" s="8">
        <v>0</v>
      </c>
      <c r="Q89" s="8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0.16</v>
      </c>
      <c r="W89" s="8">
        <v>0</v>
      </c>
      <c r="X89" s="8">
        <v>0</v>
      </c>
      <c r="Y89" s="8">
        <v>0</v>
      </c>
      <c r="Z89" s="8">
        <v>0</v>
      </c>
      <c r="AA89" s="11">
        <v>0</v>
      </c>
      <c r="AB89" s="11">
        <v>0</v>
      </c>
      <c r="AC89" s="11">
        <v>0</v>
      </c>
      <c r="AD89" s="11">
        <v>0</v>
      </c>
    </row>
    <row r="90" customFormat="1" ht="22" customHeight="1" spans="1:30">
      <c r="A90" s="8" t="s">
        <v>31</v>
      </c>
      <c r="B90" s="8" t="str">
        <f>VLOOKUP(E90,[1]Sheet1!$C:$E,2,FALSE)</f>
        <v>徐从众</v>
      </c>
      <c r="C90" s="9" t="str">
        <f>VLOOKUP(E90,[1]Sheet1!$C:$E,3,FALSE)</f>
        <v>A</v>
      </c>
      <c r="D90" s="8" t="s">
        <v>119</v>
      </c>
      <c r="E90" s="10">
        <v>539275219</v>
      </c>
      <c r="F90" s="8">
        <v>4.9</v>
      </c>
      <c r="G90" s="8">
        <v>37</v>
      </c>
      <c r="H90" s="8">
        <v>2222.15</v>
      </c>
      <c r="I90" s="8">
        <v>0</v>
      </c>
      <c r="J90" s="8">
        <v>60.06</v>
      </c>
      <c r="K90" s="8">
        <v>1557</v>
      </c>
      <c r="L90" s="11">
        <v>0.098</v>
      </c>
      <c r="M90" s="11">
        <v>0.237</v>
      </c>
      <c r="N90" s="11">
        <v>0.0232</v>
      </c>
      <c r="O90" s="8">
        <v>0</v>
      </c>
      <c r="P90" s="8">
        <v>0</v>
      </c>
      <c r="Q90" s="8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0.222</v>
      </c>
      <c r="W90" s="8">
        <v>2</v>
      </c>
      <c r="X90" s="8">
        <v>2</v>
      </c>
      <c r="Y90" s="8">
        <v>0</v>
      </c>
      <c r="Z90" s="8">
        <v>0</v>
      </c>
      <c r="AA90" s="11">
        <v>0.0541</v>
      </c>
      <c r="AB90" s="11">
        <v>1</v>
      </c>
      <c r="AC90" s="11">
        <v>0</v>
      </c>
      <c r="AD90" s="11">
        <v>0</v>
      </c>
    </row>
    <row r="91" customFormat="1" ht="22" customHeight="1" spans="1:30">
      <c r="A91" s="8" t="s">
        <v>31</v>
      </c>
      <c r="B91" s="8" t="e">
        <f>VLOOKUP(E91,[1]Sheet1!$C:$E,2,FALSE)</f>
        <v>#N/A</v>
      </c>
      <c r="C91" s="8" t="e">
        <f>VLOOKUP(E91,[1]Sheet1!$C:$E,3,FALSE)</f>
        <v>#N/A</v>
      </c>
      <c r="D91" s="8" t="s">
        <v>120</v>
      </c>
      <c r="E91" s="10">
        <v>1285825167</v>
      </c>
      <c r="F91" s="8">
        <v>4.9</v>
      </c>
      <c r="G91" s="8">
        <v>36</v>
      </c>
      <c r="H91" s="8">
        <v>2212.62</v>
      </c>
      <c r="I91" s="8">
        <v>75.07</v>
      </c>
      <c r="J91" s="8">
        <v>61.46</v>
      </c>
      <c r="K91" s="8">
        <v>3059</v>
      </c>
      <c r="L91" s="11">
        <v>0.086</v>
      </c>
      <c r="M91" s="11">
        <v>0.134</v>
      </c>
      <c r="N91" s="11">
        <v>0.0115</v>
      </c>
      <c r="O91" s="8">
        <v>2585</v>
      </c>
      <c r="P91" s="8">
        <v>474</v>
      </c>
      <c r="Q91" s="8">
        <v>19</v>
      </c>
      <c r="R91" s="11">
        <v>0.074</v>
      </c>
      <c r="S91" s="11">
        <v>0.15</v>
      </c>
      <c r="T91" s="11">
        <v>0.084</v>
      </c>
      <c r="U91" s="11">
        <v>0.268</v>
      </c>
      <c r="V91" s="11">
        <v>0.248</v>
      </c>
      <c r="W91" s="8">
        <v>0</v>
      </c>
      <c r="X91" s="8">
        <v>0</v>
      </c>
      <c r="Y91" s="8">
        <v>0</v>
      </c>
      <c r="Z91" s="8">
        <v>0</v>
      </c>
      <c r="AA91" s="11">
        <v>0</v>
      </c>
      <c r="AB91" s="11">
        <v>0</v>
      </c>
      <c r="AC91" s="11">
        <v>0</v>
      </c>
      <c r="AD91" s="11">
        <v>0</v>
      </c>
    </row>
    <row r="92" customFormat="1" ht="22" customHeight="1" spans="1:30">
      <c r="A92" s="8" t="s">
        <v>31</v>
      </c>
      <c r="B92" s="8" t="str">
        <f>VLOOKUP(E92,[1]Sheet1!$C:$E,2,FALSE)</f>
        <v>王森</v>
      </c>
      <c r="C92" s="9" t="str">
        <f>VLOOKUP(E92,[1]Sheet1!$C:$E,3,FALSE)</f>
        <v>A</v>
      </c>
      <c r="D92" s="12" t="s">
        <v>121</v>
      </c>
      <c r="E92" s="13">
        <v>1282168603</v>
      </c>
      <c r="F92" s="12">
        <v>4.4</v>
      </c>
      <c r="G92" s="8">
        <v>36</v>
      </c>
      <c r="H92" s="8">
        <v>2199.65</v>
      </c>
      <c r="I92" s="8">
        <v>78.06</v>
      </c>
      <c r="J92" s="8">
        <v>61.1</v>
      </c>
      <c r="K92" s="8">
        <v>3997</v>
      </c>
      <c r="L92" s="11">
        <v>0.063</v>
      </c>
      <c r="M92" s="11">
        <v>0.14</v>
      </c>
      <c r="N92" s="11">
        <v>0.0088</v>
      </c>
      <c r="O92" s="8">
        <v>3048</v>
      </c>
      <c r="P92" s="8">
        <v>949</v>
      </c>
      <c r="Q92" s="8">
        <v>24</v>
      </c>
      <c r="R92" s="11">
        <v>0.056</v>
      </c>
      <c r="S92" s="11">
        <v>0.082</v>
      </c>
      <c r="T92" s="11">
        <v>0.064</v>
      </c>
      <c r="U92" s="11">
        <v>0.308</v>
      </c>
      <c r="V92" s="11">
        <v>0.172</v>
      </c>
      <c r="W92" s="8">
        <v>1</v>
      </c>
      <c r="X92" s="8">
        <v>1</v>
      </c>
      <c r="Y92" s="8">
        <v>0</v>
      </c>
      <c r="Z92" s="8">
        <v>0</v>
      </c>
      <c r="AA92" s="11">
        <v>0.0278</v>
      </c>
      <c r="AB92" s="11">
        <v>1</v>
      </c>
      <c r="AC92" s="11">
        <v>0</v>
      </c>
      <c r="AD92" s="11">
        <v>0</v>
      </c>
    </row>
    <row r="93" customFormat="1" ht="22" customHeight="1" spans="1:30">
      <c r="A93" s="8" t="s">
        <v>31</v>
      </c>
      <c r="B93" s="8" t="str">
        <f>VLOOKUP(E93,[1]Sheet1!$C:$E,2,FALSE)</f>
        <v>徐从众</v>
      </c>
      <c r="C93" s="9" t="str">
        <f>VLOOKUP(E93,[1]Sheet1!$C:$E,3,FALSE)</f>
        <v>A</v>
      </c>
      <c r="D93" s="12" t="s">
        <v>122</v>
      </c>
      <c r="E93" s="13">
        <v>506124412</v>
      </c>
      <c r="F93" s="12">
        <v>4.4</v>
      </c>
      <c r="G93" s="8">
        <v>52</v>
      </c>
      <c r="H93" s="8">
        <v>2184.94</v>
      </c>
      <c r="I93" s="8">
        <v>0</v>
      </c>
      <c r="J93" s="8">
        <v>42.02</v>
      </c>
      <c r="K93" s="8">
        <v>2946</v>
      </c>
      <c r="L93" s="11">
        <v>0.089</v>
      </c>
      <c r="M93" s="11">
        <v>0.198</v>
      </c>
      <c r="N93" s="11">
        <v>0.0176</v>
      </c>
      <c r="O93" s="8">
        <v>0</v>
      </c>
      <c r="P93" s="8">
        <v>0</v>
      </c>
      <c r="Q93" s="8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0.222</v>
      </c>
      <c r="W93" s="8">
        <v>4</v>
      </c>
      <c r="X93" s="8">
        <v>1</v>
      </c>
      <c r="Y93" s="8">
        <v>0</v>
      </c>
      <c r="Z93" s="8">
        <v>3</v>
      </c>
      <c r="AA93" s="11">
        <v>0.0769</v>
      </c>
      <c r="AB93" s="11">
        <v>0.25</v>
      </c>
      <c r="AC93" s="11">
        <v>0</v>
      </c>
      <c r="AD93" s="11">
        <v>0.75</v>
      </c>
    </row>
    <row r="94" customFormat="1" ht="22" customHeight="1" spans="1:30">
      <c r="A94" s="8" t="s">
        <v>31</v>
      </c>
      <c r="B94" s="8" t="str">
        <f>VLOOKUP(E94,[1]Sheet1!$C:$E,2,FALSE)</f>
        <v>徐从众</v>
      </c>
      <c r="C94" s="9" t="str">
        <f>VLOOKUP(E94,[1]Sheet1!$C:$E,3,FALSE)</f>
        <v>A</v>
      </c>
      <c r="D94" s="12" t="s">
        <v>123</v>
      </c>
      <c r="E94" s="13">
        <v>501950126</v>
      </c>
      <c r="F94" s="12">
        <v>4.4</v>
      </c>
      <c r="G94" s="8">
        <v>59</v>
      </c>
      <c r="H94" s="8">
        <v>2180.26</v>
      </c>
      <c r="I94" s="8">
        <v>0</v>
      </c>
      <c r="J94" s="8">
        <v>36.95</v>
      </c>
      <c r="K94" s="8">
        <v>4039</v>
      </c>
      <c r="L94" s="11">
        <v>0.077</v>
      </c>
      <c r="M94" s="11">
        <v>0.186</v>
      </c>
      <c r="N94" s="11">
        <v>0.0143</v>
      </c>
      <c r="O94" s="8">
        <v>0</v>
      </c>
      <c r="P94" s="8">
        <v>0</v>
      </c>
      <c r="Q94" s="8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0.195</v>
      </c>
      <c r="W94" s="8">
        <v>3</v>
      </c>
      <c r="X94" s="8">
        <v>3</v>
      </c>
      <c r="Y94" s="8">
        <v>0</v>
      </c>
      <c r="Z94" s="8">
        <v>0</v>
      </c>
      <c r="AA94" s="11">
        <v>0.0508</v>
      </c>
      <c r="AB94" s="11">
        <v>1</v>
      </c>
      <c r="AC94" s="11">
        <v>0</v>
      </c>
      <c r="AD94" s="11">
        <v>0</v>
      </c>
    </row>
    <row r="95" customFormat="1" ht="22" customHeight="1" spans="1:30">
      <c r="A95" s="8" t="s">
        <v>31</v>
      </c>
      <c r="B95" s="8" t="str">
        <f>VLOOKUP(E95,[1]Sheet1!$C:$E,2,FALSE)</f>
        <v>刘欢</v>
      </c>
      <c r="C95" s="9" t="str">
        <f>VLOOKUP(E95,[1]Sheet1!$C:$E,3,FALSE)</f>
        <v>A</v>
      </c>
      <c r="D95" s="8" t="s">
        <v>124</v>
      </c>
      <c r="E95" s="10">
        <v>2001301307</v>
      </c>
      <c r="F95" s="8">
        <v>4.9</v>
      </c>
      <c r="G95" s="8">
        <v>61</v>
      </c>
      <c r="H95" s="8">
        <v>2161.29</v>
      </c>
      <c r="I95" s="8">
        <v>0</v>
      </c>
      <c r="J95" s="8">
        <v>35.43</v>
      </c>
      <c r="K95" s="8">
        <v>2194</v>
      </c>
      <c r="L95" s="11">
        <v>0.073</v>
      </c>
      <c r="M95" s="11">
        <v>0.375</v>
      </c>
      <c r="N95" s="11">
        <v>0.0274</v>
      </c>
      <c r="O95" s="8">
        <v>0</v>
      </c>
      <c r="P95" s="8">
        <v>0</v>
      </c>
      <c r="Q95" s="8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0.169</v>
      </c>
      <c r="W95" s="8">
        <v>1</v>
      </c>
      <c r="X95" s="8">
        <v>1</v>
      </c>
      <c r="Y95" s="8">
        <v>0</v>
      </c>
      <c r="Z95" s="8">
        <v>0</v>
      </c>
      <c r="AA95" s="11">
        <v>0.0164</v>
      </c>
      <c r="AB95" s="11">
        <v>1</v>
      </c>
      <c r="AC95" s="11">
        <v>0</v>
      </c>
      <c r="AD95" s="11">
        <v>0</v>
      </c>
    </row>
    <row r="96" customFormat="1" ht="22" customHeight="1" spans="1:30">
      <c r="A96" s="8" t="s">
        <v>31</v>
      </c>
      <c r="B96" s="8" t="str">
        <f>VLOOKUP(E96,[1]Sheet1!$C:$E,2,FALSE)</f>
        <v>岳贝贝</v>
      </c>
      <c r="C96" s="9" t="str">
        <f>VLOOKUP(E96,[1]Sheet1!$C:$E,3,FALSE)</f>
        <v>S</v>
      </c>
      <c r="D96" s="12" t="s">
        <v>125</v>
      </c>
      <c r="E96" s="13">
        <v>540782855</v>
      </c>
      <c r="F96" s="12">
        <v>4.7</v>
      </c>
      <c r="G96" s="8">
        <v>45</v>
      </c>
      <c r="H96" s="8">
        <v>2156.43</v>
      </c>
      <c r="I96" s="8">
        <v>60.2</v>
      </c>
      <c r="J96" s="8">
        <v>47.92</v>
      </c>
      <c r="K96" s="8">
        <v>3713</v>
      </c>
      <c r="L96" s="11">
        <v>0.081</v>
      </c>
      <c r="M96" s="11">
        <v>0.151</v>
      </c>
      <c r="N96" s="11">
        <v>0.0122</v>
      </c>
      <c r="O96" s="8">
        <v>2975</v>
      </c>
      <c r="P96" s="8">
        <v>738</v>
      </c>
      <c r="Q96" s="8">
        <v>32</v>
      </c>
      <c r="R96" s="11">
        <v>0.07</v>
      </c>
      <c r="S96" s="11">
        <v>0.123</v>
      </c>
      <c r="T96" s="11">
        <v>0.063</v>
      </c>
      <c r="U96" s="11">
        <v>0.352</v>
      </c>
      <c r="V96" s="11">
        <v>0.255</v>
      </c>
      <c r="W96" s="8">
        <v>1</v>
      </c>
      <c r="X96" s="8">
        <v>1</v>
      </c>
      <c r="Y96" s="8">
        <v>0</v>
      </c>
      <c r="Z96" s="8">
        <v>0</v>
      </c>
      <c r="AA96" s="11">
        <v>0.0222</v>
      </c>
      <c r="AB96" s="11">
        <v>1</v>
      </c>
      <c r="AC96" s="11">
        <v>0</v>
      </c>
      <c r="AD96" s="11">
        <v>0</v>
      </c>
    </row>
    <row r="97" customFormat="1" ht="22" customHeight="1" spans="1:30">
      <c r="A97" s="8" t="s">
        <v>31</v>
      </c>
      <c r="B97" s="8" t="str">
        <f>VLOOKUP(E97,[1]Sheet1!$C:$E,2,FALSE)</f>
        <v>徐从众</v>
      </c>
      <c r="C97" s="9" t="str">
        <f>VLOOKUP(E97,[1]Sheet1!$C:$E,3,FALSE)</f>
        <v>S</v>
      </c>
      <c r="D97" s="12" t="s">
        <v>126</v>
      </c>
      <c r="E97" s="13">
        <v>527592152</v>
      </c>
      <c r="F97" s="12">
        <v>4.7</v>
      </c>
      <c r="G97" s="8">
        <v>132</v>
      </c>
      <c r="H97" s="8">
        <v>2154.33</v>
      </c>
      <c r="I97" s="8">
        <v>0</v>
      </c>
      <c r="J97" s="8">
        <v>16.32</v>
      </c>
      <c r="K97" s="8">
        <v>2330</v>
      </c>
      <c r="L97" s="11">
        <v>0.101</v>
      </c>
      <c r="M97" s="11">
        <v>0.534</v>
      </c>
      <c r="N97" s="11">
        <v>0.0539</v>
      </c>
      <c r="O97" s="8">
        <v>0</v>
      </c>
      <c r="P97" s="8">
        <v>0</v>
      </c>
      <c r="Q97" s="8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0.415</v>
      </c>
      <c r="W97" s="8">
        <v>3</v>
      </c>
      <c r="X97" s="8">
        <v>3</v>
      </c>
      <c r="Y97" s="8">
        <v>0</v>
      </c>
      <c r="Z97" s="8">
        <v>0</v>
      </c>
      <c r="AA97" s="11">
        <v>0.0227</v>
      </c>
      <c r="AB97" s="11">
        <v>1</v>
      </c>
      <c r="AC97" s="11">
        <v>0</v>
      </c>
      <c r="AD97" s="11">
        <v>0</v>
      </c>
    </row>
    <row r="98" customFormat="1" ht="22" customHeight="1" spans="1:30">
      <c r="A98" s="8" t="s">
        <v>31</v>
      </c>
      <c r="B98" s="8" t="str">
        <f>VLOOKUP(E98,[1]Sheet1!$C:$E,2,FALSE)</f>
        <v>刘欢</v>
      </c>
      <c r="C98" s="9" t="str">
        <f>VLOOKUP(E98,[1]Sheet1!$C:$E,3,FALSE)</f>
        <v>A</v>
      </c>
      <c r="D98" s="8" t="s">
        <v>127</v>
      </c>
      <c r="E98" s="10">
        <v>538693363</v>
      </c>
      <c r="F98" s="8">
        <v>4.8</v>
      </c>
      <c r="G98" s="8">
        <v>30</v>
      </c>
      <c r="H98" s="8">
        <v>2134.24</v>
      </c>
      <c r="I98" s="8">
        <v>71.35</v>
      </c>
      <c r="J98" s="8">
        <v>71.14</v>
      </c>
      <c r="K98" s="8">
        <v>1949</v>
      </c>
      <c r="L98" s="11">
        <v>0.065</v>
      </c>
      <c r="M98" s="11">
        <v>0.236</v>
      </c>
      <c r="N98" s="11">
        <v>0.0153</v>
      </c>
      <c r="O98" s="8">
        <v>1521</v>
      </c>
      <c r="P98" s="8">
        <v>428</v>
      </c>
      <c r="Q98" s="8">
        <v>13</v>
      </c>
      <c r="R98" s="11">
        <v>0.055</v>
      </c>
      <c r="S98" s="11">
        <v>0.103</v>
      </c>
      <c r="T98" s="11">
        <v>0.205</v>
      </c>
      <c r="U98" s="11">
        <v>0.295</v>
      </c>
      <c r="V98" s="11">
        <v>0.206</v>
      </c>
      <c r="W98" s="8">
        <v>3</v>
      </c>
      <c r="X98" s="8">
        <v>3</v>
      </c>
      <c r="Y98" s="8">
        <v>0</v>
      </c>
      <c r="Z98" s="8">
        <v>0</v>
      </c>
      <c r="AA98" s="11">
        <v>0.1</v>
      </c>
      <c r="AB98" s="11">
        <v>1</v>
      </c>
      <c r="AC98" s="11">
        <v>0</v>
      </c>
      <c r="AD98" s="11">
        <v>0</v>
      </c>
    </row>
    <row r="99" customFormat="1" ht="22" customHeight="1" spans="1:30">
      <c r="A99" s="8" t="s">
        <v>31</v>
      </c>
      <c r="B99" s="8" t="str">
        <f>VLOOKUP(E99,[1]Sheet1!$C:$E,2,FALSE)</f>
        <v>刘欢</v>
      </c>
      <c r="C99" s="9" t="str">
        <f>VLOOKUP(E99,[1]Sheet1!$C:$E,3,FALSE)</f>
        <v>A</v>
      </c>
      <c r="D99" s="12" t="s">
        <v>128</v>
      </c>
      <c r="E99" s="13">
        <v>522594683</v>
      </c>
      <c r="F99" s="12">
        <v>4.7</v>
      </c>
      <c r="G99" s="8">
        <v>46</v>
      </c>
      <c r="H99" s="8">
        <v>2132.25</v>
      </c>
      <c r="I99" s="8">
        <v>59.2</v>
      </c>
      <c r="J99" s="8">
        <v>46.35</v>
      </c>
      <c r="K99" s="8">
        <v>2619</v>
      </c>
      <c r="L99" s="11">
        <v>0.074</v>
      </c>
      <c r="M99" s="11">
        <v>0.233</v>
      </c>
      <c r="N99" s="11">
        <v>0.0172</v>
      </c>
      <c r="O99" s="8">
        <v>1835</v>
      </c>
      <c r="P99" s="8">
        <v>784</v>
      </c>
      <c r="Q99" s="8">
        <v>33</v>
      </c>
      <c r="R99" s="11">
        <v>0.056</v>
      </c>
      <c r="S99" s="11">
        <v>0.116</v>
      </c>
      <c r="T99" s="11">
        <v>0.118</v>
      </c>
      <c r="U99" s="11">
        <v>0.363</v>
      </c>
      <c r="V99" s="11">
        <v>0.267</v>
      </c>
      <c r="W99" s="8">
        <v>1</v>
      </c>
      <c r="X99" s="8">
        <v>1</v>
      </c>
      <c r="Y99" s="8">
        <v>0</v>
      </c>
      <c r="Z99" s="8">
        <v>0</v>
      </c>
      <c r="AA99" s="11">
        <v>0.0217</v>
      </c>
      <c r="AB99" s="11">
        <v>1</v>
      </c>
      <c r="AC99" s="11">
        <v>0</v>
      </c>
      <c r="AD99" s="11">
        <v>0</v>
      </c>
    </row>
    <row r="100" customFormat="1" ht="22" customHeight="1" spans="1:30">
      <c r="A100" s="8" t="s">
        <v>31</v>
      </c>
      <c r="B100" s="8" t="str">
        <f>VLOOKUP(E100,[1]Sheet1!$C:$E,2,FALSE)</f>
        <v>徐从众</v>
      </c>
      <c r="C100" s="9" t="str">
        <f>VLOOKUP(E100,[1]Sheet1!$C:$E,3,FALSE)</f>
        <v>S</v>
      </c>
      <c r="D100" s="12" t="s">
        <v>129</v>
      </c>
      <c r="E100" s="13">
        <v>1343019122</v>
      </c>
      <c r="F100" s="12">
        <v>4.6</v>
      </c>
      <c r="G100" s="8">
        <v>68</v>
      </c>
      <c r="H100" s="8">
        <v>2083.65</v>
      </c>
      <c r="I100" s="8">
        <v>38.93</v>
      </c>
      <c r="J100" s="8">
        <v>30.64</v>
      </c>
      <c r="K100" s="8">
        <v>4225</v>
      </c>
      <c r="L100" s="11">
        <v>0.077</v>
      </c>
      <c r="M100" s="11">
        <v>0.208</v>
      </c>
      <c r="N100" s="11">
        <v>0.016</v>
      </c>
      <c r="O100" s="8">
        <v>3762</v>
      </c>
      <c r="P100" s="8">
        <v>463</v>
      </c>
      <c r="Q100" s="8">
        <v>28</v>
      </c>
      <c r="R100" s="11">
        <v>0.064</v>
      </c>
      <c r="S100" s="11">
        <v>0.186</v>
      </c>
      <c r="T100" s="11">
        <v>0.166</v>
      </c>
      <c r="U100" s="11">
        <v>0.326</v>
      </c>
      <c r="V100" s="11">
        <v>0.211</v>
      </c>
      <c r="W100" s="8">
        <v>1</v>
      </c>
      <c r="X100" s="8">
        <v>1</v>
      </c>
      <c r="Y100" s="8">
        <v>0</v>
      </c>
      <c r="Z100" s="8">
        <v>0</v>
      </c>
      <c r="AA100" s="11">
        <v>0.0147</v>
      </c>
      <c r="AB100" s="11">
        <v>1</v>
      </c>
      <c r="AC100" s="11">
        <v>0</v>
      </c>
      <c r="AD100" s="11">
        <v>0</v>
      </c>
    </row>
    <row r="101" customFormat="1" ht="22" customHeight="1" spans="1:30">
      <c r="A101" s="8" t="s">
        <v>31</v>
      </c>
      <c r="B101" s="8" t="str">
        <f>VLOOKUP(E101,[1]Sheet1!$C:$E,2,FALSE)</f>
        <v>徐从众</v>
      </c>
      <c r="C101" s="9" t="str">
        <f>VLOOKUP(E101,[1]Sheet1!$C:$E,3,FALSE)</f>
        <v>S</v>
      </c>
      <c r="D101" s="8" t="s">
        <v>130</v>
      </c>
      <c r="E101" s="10">
        <v>1256551797</v>
      </c>
      <c r="F101" s="8">
        <v>4.8</v>
      </c>
      <c r="G101" s="8">
        <v>37</v>
      </c>
      <c r="H101" s="8">
        <v>2071.39</v>
      </c>
      <c r="I101" s="8">
        <v>71.67</v>
      </c>
      <c r="J101" s="8">
        <v>55.98</v>
      </c>
      <c r="K101" s="8">
        <v>4100</v>
      </c>
      <c r="L101" s="11">
        <v>0.047</v>
      </c>
      <c r="M101" s="11">
        <v>0.181</v>
      </c>
      <c r="N101" s="11">
        <v>0.0085</v>
      </c>
      <c r="O101" s="8">
        <v>3442</v>
      </c>
      <c r="P101" s="8">
        <v>658</v>
      </c>
      <c r="Q101" s="8">
        <v>22</v>
      </c>
      <c r="R101" s="11">
        <v>0.037</v>
      </c>
      <c r="S101" s="11">
        <v>0.097</v>
      </c>
      <c r="T101" s="11">
        <v>0.101</v>
      </c>
      <c r="U101" s="11">
        <v>0.344</v>
      </c>
      <c r="V101" s="11">
        <v>0.171</v>
      </c>
      <c r="W101" s="8">
        <v>1</v>
      </c>
      <c r="X101" s="8">
        <v>1</v>
      </c>
      <c r="Y101" s="8">
        <v>0</v>
      </c>
      <c r="Z101" s="8">
        <v>0</v>
      </c>
      <c r="AA101" s="11">
        <v>0.027</v>
      </c>
      <c r="AB101" s="11">
        <v>1</v>
      </c>
      <c r="AC101" s="11">
        <v>0</v>
      </c>
      <c r="AD101" s="11">
        <v>0</v>
      </c>
    </row>
    <row r="102" customFormat="1" ht="22" customHeight="1" spans="1:30">
      <c r="A102" s="8" t="s">
        <v>31</v>
      </c>
      <c r="B102" s="8" t="e">
        <f>VLOOKUP(E102,[1]Sheet1!$C:$E,2,FALSE)</f>
        <v>#N/A</v>
      </c>
      <c r="C102" s="8" t="e">
        <f>VLOOKUP(E102,[1]Sheet1!$C:$E,3,FALSE)</f>
        <v>#N/A</v>
      </c>
      <c r="D102" s="8" t="s">
        <v>131</v>
      </c>
      <c r="E102" s="10">
        <v>540490167</v>
      </c>
      <c r="F102" s="8">
        <v>4.9</v>
      </c>
      <c r="G102" s="8">
        <v>109</v>
      </c>
      <c r="H102" s="8">
        <v>2046.61</v>
      </c>
      <c r="I102" s="8">
        <v>0</v>
      </c>
      <c r="J102" s="8">
        <v>18.78</v>
      </c>
      <c r="K102" s="8">
        <v>2537</v>
      </c>
      <c r="L102" s="11">
        <v>0.096</v>
      </c>
      <c r="M102" s="11">
        <v>0.434</v>
      </c>
      <c r="N102" s="11">
        <v>0.0417</v>
      </c>
      <c r="O102" s="8">
        <v>0</v>
      </c>
      <c r="P102" s="8">
        <v>0</v>
      </c>
      <c r="Q102" s="8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0.372</v>
      </c>
      <c r="W102" s="8">
        <v>4</v>
      </c>
      <c r="X102" s="8">
        <v>3</v>
      </c>
      <c r="Y102" s="8">
        <v>0</v>
      </c>
      <c r="Z102" s="8">
        <v>1</v>
      </c>
      <c r="AA102" s="11">
        <v>0.0367</v>
      </c>
      <c r="AB102" s="11">
        <v>0.75</v>
      </c>
      <c r="AC102" s="11">
        <v>0</v>
      </c>
      <c r="AD102" s="11">
        <v>0.25</v>
      </c>
    </row>
    <row r="103" customFormat="1" ht="22" customHeight="1" spans="1:30">
      <c r="A103" s="8" t="s">
        <v>31</v>
      </c>
      <c r="B103" s="8" t="e">
        <f>VLOOKUP(E103,[1]Sheet1!$C:$E,2,FALSE)</f>
        <v>#N/A</v>
      </c>
      <c r="C103" s="8" t="e">
        <f>VLOOKUP(E103,[1]Sheet1!$C:$E,3,FALSE)</f>
        <v>#N/A</v>
      </c>
      <c r="D103" s="12" t="s">
        <v>132</v>
      </c>
      <c r="E103" s="13">
        <v>2135149368</v>
      </c>
      <c r="F103" s="12">
        <v>4.2</v>
      </c>
      <c r="G103" s="8">
        <v>50</v>
      </c>
      <c r="H103" s="8">
        <v>2044.95</v>
      </c>
      <c r="I103" s="8">
        <v>0</v>
      </c>
      <c r="J103" s="8">
        <v>40.9</v>
      </c>
      <c r="K103" s="8">
        <v>3177</v>
      </c>
      <c r="L103" s="11">
        <v>0.082</v>
      </c>
      <c r="M103" s="11">
        <v>0.192</v>
      </c>
      <c r="N103" s="11">
        <v>0.0157</v>
      </c>
      <c r="O103" s="8">
        <v>0</v>
      </c>
      <c r="P103" s="8">
        <v>0</v>
      </c>
      <c r="Q103" s="8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0.145</v>
      </c>
      <c r="W103" s="8">
        <v>2</v>
      </c>
      <c r="X103" s="8">
        <v>1</v>
      </c>
      <c r="Y103" s="8">
        <v>1</v>
      </c>
      <c r="Z103" s="8">
        <v>0</v>
      </c>
      <c r="AA103" s="11">
        <v>0.04</v>
      </c>
      <c r="AB103" s="11">
        <v>0.5</v>
      </c>
      <c r="AC103" s="11">
        <v>0.5</v>
      </c>
      <c r="AD103" s="11">
        <v>0</v>
      </c>
    </row>
    <row r="104" customFormat="1" ht="22" customHeight="1" spans="1:30">
      <c r="A104" s="8" t="s">
        <v>31</v>
      </c>
      <c r="B104" s="8" t="str">
        <f>VLOOKUP(E104,[1]Sheet1!$C:$E,2,FALSE)</f>
        <v>王森</v>
      </c>
      <c r="C104" s="9" t="str">
        <f>VLOOKUP(E104,[1]Sheet1!$C:$E,3,FALSE)</f>
        <v>A</v>
      </c>
      <c r="D104" s="8" t="s">
        <v>133</v>
      </c>
      <c r="E104" s="10">
        <v>534050013</v>
      </c>
      <c r="F104" s="8">
        <v>4.9</v>
      </c>
      <c r="G104" s="8">
        <v>55</v>
      </c>
      <c r="H104" s="8">
        <v>2038.52</v>
      </c>
      <c r="I104" s="8">
        <v>0</v>
      </c>
      <c r="J104" s="8">
        <v>37.06</v>
      </c>
      <c r="K104" s="8">
        <v>4062</v>
      </c>
      <c r="L104" s="11">
        <v>0.088</v>
      </c>
      <c r="M104" s="11">
        <v>0.154</v>
      </c>
      <c r="N104" s="11">
        <v>0.0136</v>
      </c>
      <c r="O104" s="8">
        <v>0</v>
      </c>
      <c r="P104" s="8">
        <v>0</v>
      </c>
      <c r="Q104" s="8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0.2</v>
      </c>
      <c r="W104" s="8">
        <v>3</v>
      </c>
      <c r="X104" s="8">
        <v>2</v>
      </c>
      <c r="Y104" s="8">
        <v>0</v>
      </c>
      <c r="Z104" s="8">
        <v>1</v>
      </c>
      <c r="AA104" s="11">
        <v>0.0545</v>
      </c>
      <c r="AB104" s="11">
        <v>0.6667</v>
      </c>
      <c r="AC104" s="11">
        <v>0</v>
      </c>
      <c r="AD104" s="11">
        <v>0.3333</v>
      </c>
    </row>
    <row r="105" customFormat="1" ht="22" customHeight="1" spans="1:30">
      <c r="A105" s="8" t="s">
        <v>31</v>
      </c>
      <c r="B105" s="8" t="str">
        <f>VLOOKUP(E105,[1]Sheet1!$C:$E,2,FALSE)</f>
        <v>徐从众</v>
      </c>
      <c r="C105" s="9" t="str">
        <f>VLOOKUP(E105,[1]Sheet1!$C:$E,3,FALSE)</f>
        <v>S</v>
      </c>
      <c r="D105" s="12" t="s">
        <v>134</v>
      </c>
      <c r="E105" s="13">
        <v>1282686895</v>
      </c>
      <c r="F105" s="12">
        <v>4.5</v>
      </c>
      <c r="G105" s="8">
        <v>92</v>
      </c>
      <c r="H105" s="8">
        <v>2029.61</v>
      </c>
      <c r="I105" s="8">
        <v>28.07</v>
      </c>
      <c r="J105" s="8">
        <v>22.06</v>
      </c>
      <c r="K105" s="8">
        <v>2875</v>
      </c>
      <c r="L105" s="11">
        <v>0.085</v>
      </c>
      <c r="M105" s="11">
        <v>0.355</v>
      </c>
      <c r="N105" s="11">
        <v>0.0302</v>
      </c>
      <c r="O105" s="8">
        <v>2170</v>
      </c>
      <c r="P105" s="8">
        <v>705</v>
      </c>
      <c r="Q105" s="8">
        <v>61</v>
      </c>
      <c r="R105" s="11">
        <v>0.057</v>
      </c>
      <c r="S105" s="11">
        <v>0.173</v>
      </c>
      <c r="T105" s="11">
        <v>0.211</v>
      </c>
      <c r="U105" s="11">
        <v>0.5</v>
      </c>
      <c r="V105" s="11">
        <v>0.365</v>
      </c>
      <c r="W105" s="8">
        <v>4</v>
      </c>
      <c r="X105" s="8">
        <v>4</v>
      </c>
      <c r="Y105" s="8">
        <v>0</v>
      </c>
      <c r="Z105" s="8">
        <v>0</v>
      </c>
      <c r="AA105" s="11">
        <v>0.0435</v>
      </c>
      <c r="AB105" s="11">
        <v>1</v>
      </c>
      <c r="AC105" s="11">
        <v>0</v>
      </c>
      <c r="AD105" s="11">
        <v>0</v>
      </c>
    </row>
    <row r="106" customFormat="1" ht="22" customHeight="1" spans="1:30">
      <c r="A106" s="8" t="s">
        <v>31</v>
      </c>
      <c r="B106" s="8" t="str">
        <f>VLOOKUP(E106,[1]Sheet1!$C:$E,2,FALSE)</f>
        <v>徐从众</v>
      </c>
      <c r="C106" s="9" t="str">
        <f>VLOOKUP(E106,[1]Sheet1!$C:$E,3,FALSE)</f>
        <v>A</v>
      </c>
      <c r="D106" s="8" t="s">
        <v>135</v>
      </c>
      <c r="E106" s="10">
        <v>519380122</v>
      </c>
      <c r="F106" s="8">
        <v>5</v>
      </c>
      <c r="G106" s="8">
        <v>39</v>
      </c>
      <c r="H106" s="8">
        <v>2022.91</v>
      </c>
      <c r="I106" s="8">
        <v>0</v>
      </c>
      <c r="J106" s="8">
        <v>51.87</v>
      </c>
      <c r="K106" s="8">
        <v>2587</v>
      </c>
      <c r="L106" s="11">
        <v>0.081</v>
      </c>
      <c r="M106" s="11">
        <v>0.181</v>
      </c>
      <c r="N106" s="11">
        <v>0.0147</v>
      </c>
      <c r="O106" s="8">
        <v>0</v>
      </c>
      <c r="P106" s="8">
        <v>0</v>
      </c>
      <c r="Q106" s="8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0.205</v>
      </c>
      <c r="W106" s="8">
        <v>2</v>
      </c>
      <c r="X106" s="8">
        <v>2</v>
      </c>
      <c r="Y106" s="8">
        <v>0</v>
      </c>
      <c r="Z106" s="8">
        <v>0</v>
      </c>
      <c r="AA106" s="11">
        <v>0.0513</v>
      </c>
      <c r="AB106" s="11">
        <v>1</v>
      </c>
      <c r="AC106" s="11">
        <v>0</v>
      </c>
      <c r="AD106" s="11">
        <v>0</v>
      </c>
    </row>
    <row r="107" customFormat="1" ht="22" customHeight="1" spans="1:30">
      <c r="A107" s="8" t="s">
        <v>31</v>
      </c>
      <c r="B107" s="8" t="str">
        <f>VLOOKUP(E107,[1]Sheet1!$C:$E,2,FALSE)</f>
        <v>徐从众</v>
      </c>
      <c r="C107" s="9" t="str">
        <f>VLOOKUP(E107,[1]Sheet1!$C:$E,3,FALSE)</f>
        <v>S</v>
      </c>
      <c r="D107" s="12" t="s">
        <v>136</v>
      </c>
      <c r="E107" s="13">
        <v>168371816</v>
      </c>
      <c r="F107" s="12">
        <v>4.7</v>
      </c>
      <c r="G107" s="8">
        <v>51</v>
      </c>
      <c r="H107" s="8">
        <v>2021.12</v>
      </c>
      <c r="I107" s="8">
        <v>0</v>
      </c>
      <c r="J107" s="8">
        <v>39.63</v>
      </c>
      <c r="K107" s="8">
        <v>2510</v>
      </c>
      <c r="L107" s="11">
        <v>0.099</v>
      </c>
      <c r="M107" s="11">
        <v>0.205</v>
      </c>
      <c r="N107" s="11">
        <v>0.0203</v>
      </c>
      <c r="O107" s="8">
        <v>0</v>
      </c>
      <c r="P107" s="8">
        <v>0</v>
      </c>
      <c r="Q107" s="8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0.275</v>
      </c>
      <c r="W107" s="8">
        <v>2</v>
      </c>
      <c r="X107" s="8">
        <v>2</v>
      </c>
      <c r="Y107" s="8">
        <v>0</v>
      </c>
      <c r="Z107" s="8">
        <v>0</v>
      </c>
      <c r="AA107" s="11">
        <v>0.0392</v>
      </c>
      <c r="AB107" s="11">
        <v>1</v>
      </c>
      <c r="AC107" s="11">
        <v>0</v>
      </c>
      <c r="AD107" s="11">
        <v>0</v>
      </c>
    </row>
    <row r="108" customFormat="1" ht="22" customHeight="1" spans="1:30">
      <c r="A108" s="8" t="s">
        <v>31</v>
      </c>
      <c r="B108" s="8" t="str">
        <f>VLOOKUP(E108,[1]Sheet1!$C:$E,2,FALSE)</f>
        <v>徐从众</v>
      </c>
      <c r="C108" s="9" t="str">
        <f>VLOOKUP(E108,[1]Sheet1!$C:$E,3,FALSE)</f>
        <v>S</v>
      </c>
      <c r="D108" s="8" t="s">
        <v>137</v>
      </c>
      <c r="E108" s="10">
        <v>543151191</v>
      </c>
      <c r="F108" s="8">
        <v>4.8</v>
      </c>
      <c r="G108" s="8">
        <v>130</v>
      </c>
      <c r="H108" s="8">
        <v>1999.51</v>
      </c>
      <c r="I108" s="8">
        <v>21.18</v>
      </c>
      <c r="J108" s="8">
        <v>15.38</v>
      </c>
      <c r="K108" s="8">
        <v>3401</v>
      </c>
      <c r="L108" s="11">
        <v>0.087</v>
      </c>
      <c r="M108" s="11">
        <v>0.421</v>
      </c>
      <c r="N108" s="11">
        <v>0.0366</v>
      </c>
      <c r="O108" s="8">
        <v>2756</v>
      </c>
      <c r="P108" s="8">
        <v>645</v>
      </c>
      <c r="Q108" s="8">
        <v>89</v>
      </c>
      <c r="R108" s="11">
        <v>0.054</v>
      </c>
      <c r="S108" s="11">
        <v>0.228</v>
      </c>
      <c r="T108" s="11">
        <v>0.24</v>
      </c>
      <c r="U108" s="11">
        <v>0.605</v>
      </c>
      <c r="V108" s="11">
        <v>0.359</v>
      </c>
      <c r="W108" s="8">
        <v>4</v>
      </c>
      <c r="X108" s="8">
        <v>4</v>
      </c>
      <c r="Y108" s="8">
        <v>0</v>
      </c>
      <c r="Z108" s="8">
        <v>0</v>
      </c>
      <c r="AA108" s="11">
        <v>0.0308</v>
      </c>
      <c r="AB108" s="11">
        <v>1</v>
      </c>
      <c r="AC108" s="11">
        <v>0</v>
      </c>
      <c r="AD108" s="11">
        <v>0</v>
      </c>
    </row>
    <row r="109" customFormat="1" ht="22" customHeight="1" spans="1:30">
      <c r="A109" s="8" t="s">
        <v>31</v>
      </c>
      <c r="B109" s="8" t="str">
        <f>VLOOKUP(E109,[1]Sheet1!$C:$E,2,FALSE)</f>
        <v>王森</v>
      </c>
      <c r="C109" s="9" t="str">
        <f>VLOOKUP(E109,[1]Sheet1!$C:$E,3,FALSE)</f>
        <v>S</v>
      </c>
      <c r="D109" s="8" t="s">
        <v>138</v>
      </c>
      <c r="E109" s="10">
        <v>1127711584</v>
      </c>
      <c r="F109" s="8">
        <v>4.9</v>
      </c>
      <c r="G109" s="8">
        <v>39</v>
      </c>
      <c r="H109" s="8">
        <v>1943.03</v>
      </c>
      <c r="I109" s="8">
        <v>0</v>
      </c>
      <c r="J109" s="8">
        <v>49.82</v>
      </c>
      <c r="K109" s="8">
        <v>2123</v>
      </c>
      <c r="L109" s="11">
        <v>0.092</v>
      </c>
      <c r="M109" s="11">
        <v>0.19</v>
      </c>
      <c r="N109" s="11">
        <v>0.0175</v>
      </c>
      <c r="O109" s="8">
        <v>0</v>
      </c>
      <c r="P109" s="8">
        <v>0</v>
      </c>
      <c r="Q109" s="8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0.255</v>
      </c>
      <c r="W109" s="8">
        <v>2</v>
      </c>
      <c r="X109" s="8">
        <v>2</v>
      </c>
      <c r="Y109" s="8">
        <v>0</v>
      </c>
      <c r="Z109" s="8">
        <v>0</v>
      </c>
      <c r="AA109" s="11">
        <v>0.0513</v>
      </c>
      <c r="AB109" s="11">
        <v>1</v>
      </c>
      <c r="AC109" s="11">
        <v>0</v>
      </c>
      <c r="AD109" s="11">
        <v>0</v>
      </c>
    </row>
    <row r="110" customFormat="1" ht="22" customHeight="1" spans="1:30">
      <c r="A110" s="8" t="s">
        <v>31</v>
      </c>
      <c r="B110" s="8" t="str">
        <f>VLOOKUP(E110,[1]Sheet1!$C:$E,2,FALSE)</f>
        <v>王森</v>
      </c>
      <c r="C110" s="8">
        <f>VLOOKUP(E110,[1]Sheet1!$C:$E,3,FALSE)</f>
        <v>0</v>
      </c>
      <c r="D110" s="12" t="s">
        <v>139</v>
      </c>
      <c r="E110" s="13">
        <v>1190685669</v>
      </c>
      <c r="F110" s="12">
        <v>4.7</v>
      </c>
      <c r="G110" s="8">
        <v>80</v>
      </c>
      <c r="H110" s="8">
        <v>1873.64</v>
      </c>
      <c r="I110" s="8">
        <v>0</v>
      </c>
      <c r="J110" s="8">
        <v>23.42</v>
      </c>
      <c r="K110" s="8">
        <v>2686</v>
      </c>
      <c r="L110" s="11">
        <v>0.114</v>
      </c>
      <c r="M110" s="11">
        <v>0.261</v>
      </c>
      <c r="N110" s="11">
        <v>0.0298</v>
      </c>
      <c r="O110" s="8">
        <v>0</v>
      </c>
      <c r="P110" s="8">
        <v>0</v>
      </c>
      <c r="Q110" s="8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0.202</v>
      </c>
      <c r="W110" s="8">
        <v>2</v>
      </c>
      <c r="X110" s="8">
        <v>2</v>
      </c>
      <c r="Y110" s="8">
        <v>0</v>
      </c>
      <c r="Z110" s="8">
        <v>0</v>
      </c>
      <c r="AA110" s="11">
        <v>0.025</v>
      </c>
      <c r="AB110" s="11">
        <v>1</v>
      </c>
      <c r="AC110" s="11">
        <v>0</v>
      </c>
      <c r="AD110" s="11">
        <v>0</v>
      </c>
    </row>
    <row r="111" customFormat="1" ht="22" customHeight="1" spans="1:30">
      <c r="A111" s="8" t="s">
        <v>31</v>
      </c>
      <c r="B111" s="8" t="str">
        <f>VLOOKUP(E111,[1]Sheet1!$C:$E,2,FALSE)</f>
        <v>徐从众</v>
      </c>
      <c r="C111" s="9" t="str">
        <f>VLOOKUP(E111,[1]Sheet1!$C:$E,3,FALSE)</f>
        <v>S</v>
      </c>
      <c r="D111" s="8" t="s">
        <v>140</v>
      </c>
      <c r="E111" s="10">
        <v>543528891</v>
      </c>
      <c r="F111" s="8">
        <v>5</v>
      </c>
      <c r="G111" s="8">
        <v>95</v>
      </c>
      <c r="H111" s="8">
        <v>1830.22</v>
      </c>
      <c r="I111" s="8">
        <v>25.99</v>
      </c>
      <c r="J111" s="8">
        <v>19.27</v>
      </c>
      <c r="K111" s="8">
        <v>2151</v>
      </c>
      <c r="L111" s="11">
        <v>0.103</v>
      </c>
      <c r="M111" s="11">
        <v>0.423</v>
      </c>
      <c r="N111" s="11">
        <v>0.0436</v>
      </c>
      <c r="O111" s="8">
        <v>1628</v>
      </c>
      <c r="P111" s="8">
        <v>523</v>
      </c>
      <c r="Q111" s="8">
        <v>71</v>
      </c>
      <c r="R111" s="11">
        <v>0.06</v>
      </c>
      <c r="S111" s="11">
        <v>0.239</v>
      </c>
      <c r="T111" s="11">
        <v>0.237</v>
      </c>
      <c r="U111" s="11">
        <v>0.568</v>
      </c>
      <c r="V111" s="11">
        <v>0.377</v>
      </c>
      <c r="W111" s="8">
        <v>5</v>
      </c>
      <c r="X111" s="8">
        <v>3</v>
      </c>
      <c r="Y111" s="8">
        <v>0</v>
      </c>
      <c r="Z111" s="8">
        <v>2</v>
      </c>
      <c r="AA111" s="11">
        <v>0.0526</v>
      </c>
      <c r="AB111" s="11">
        <v>0.6</v>
      </c>
      <c r="AC111" s="11">
        <v>0</v>
      </c>
      <c r="AD111" s="11">
        <v>0.4</v>
      </c>
    </row>
    <row r="112" customFormat="1" ht="22" customHeight="1" spans="1:30">
      <c r="A112" s="8" t="s">
        <v>31</v>
      </c>
      <c r="B112" s="8" t="str">
        <f>VLOOKUP(E112,[1]Sheet1!$C:$E,2,FALSE)</f>
        <v>徐从众</v>
      </c>
      <c r="C112" s="9" t="str">
        <f>VLOOKUP(E112,[1]Sheet1!$C:$E,3,FALSE)</f>
        <v>S</v>
      </c>
      <c r="D112" s="12" t="s">
        <v>141</v>
      </c>
      <c r="E112" s="13">
        <v>1304940132</v>
      </c>
      <c r="F112" s="12">
        <v>4.7</v>
      </c>
      <c r="G112" s="8">
        <v>57</v>
      </c>
      <c r="H112" s="8">
        <v>1820.51</v>
      </c>
      <c r="I112" s="8">
        <v>0</v>
      </c>
      <c r="J112" s="8">
        <v>31.94</v>
      </c>
      <c r="K112" s="8">
        <v>2603</v>
      </c>
      <c r="L112" s="11">
        <v>0.09</v>
      </c>
      <c r="M112" s="11">
        <v>0.231</v>
      </c>
      <c r="N112" s="11">
        <v>0.0208</v>
      </c>
      <c r="O112" s="8">
        <v>0</v>
      </c>
      <c r="P112" s="8">
        <v>0</v>
      </c>
      <c r="Q112" s="8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0.241</v>
      </c>
      <c r="W112" s="8">
        <v>0</v>
      </c>
      <c r="X112" s="8">
        <v>0</v>
      </c>
      <c r="Y112" s="8">
        <v>0</v>
      </c>
      <c r="Z112" s="8">
        <v>0</v>
      </c>
      <c r="AA112" s="11">
        <v>0</v>
      </c>
      <c r="AB112" s="11">
        <v>0</v>
      </c>
      <c r="AC112" s="11">
        <v>0</v>
      </c>
      <c r="AD112" s="11">
        <v>0</v>
      </c>
    </row>
    <row r="113" customFormat="1" ht="22" customHeight="1" spans="1:30">
      <c r="A113" s="8" t="s">
        <v>31</v>
      </c>
      <c r="B113" s="8" t="e">
        <f>VLOOKUP(E113,[1]Sheet1!$C:$E,2,FALSE)</f>
        <v>#N/A</v>
      </c>
      <c r="C113" s="8" t="e">
        <f>VLOOKUP(E113,[1]Sheet1!$C:$E,3,FALSE)</f>
        <v>#N/A</v>
      </c>
      <c r="D113" s="12" t="s">
        <v>142</v>
      </c>
      <c r="E113" s="13">
        <v>1266245010</v>
      </c>
      <c r="F113" s="12">
        <v>4.7</v>
      </c>
      <c r="G113" s="8">
        <v>55</v>
      </c>
      <c r="H113" s="8">
        <v>1793.53</v>
      </c>
      <c r="I113" s="8">
        <v>39.63</v>
      </c>
      <c r="J113" s="8">
        <v>32.61</v>
      </c>
      <c r="K113" s="8">
        <v>2622</v>
      </c>
      <c r="L113" s="11">
        <v>0.077</v>
      </c>
      <c r="M113" s="11">
        <v>0.262</v>
      </c>
      <c r="N113" s="11">
        <v>0.0202</v>
      </c>
      <c r="O113" s="8">
        <v>2138</v>
      </c>
      <c r="P113" s="8">
        <v>484</v>
      </c>
      <c r="Q113" s="8">
        <v>24</v>
      </c>
      <c r="R113" s="11">
        <v>0.066</v>
      </c>
      <c r="S113" s="11">
        <v>0.124</v>
      </c>
      <c r="T113" s="11">
        <v>0.204</v>
      </c>
      <c r="U113" s="11">
        <v>0.4</v>
      </c>
      <c r="V113" s="11">
        <v>0.198</v>
      </c>
      <c r="W113" s="8">
        <v>1</v>
      </c>
      <c r="X113" s="8">
        <v>1</v>
      </c>
      <c r="Y113" s="8">
        <v>0</v>
      </c>
      <c r="Z113" s="8">
        <v>0</v>
      </c>
      <c r="AA113" s="11">
        <v>0.0182</v>
      </c>
      <c r="AB113" s="11">
        <v>1</v>
      </c>
      <c r="AC113" s="11">
        <v>0</v>
      </c>
      <c r="AD113" s="11">
        <v>0</v>
      </c>
    </row>
    <row r="114" customFormat="1" ht="22" customHeight="1" spans="1:30">
      <c r="A114" s="8" t="s">
        <v>31</v>
      </c>
      <c r="B114" s="8" t="str">
        <f>VLOOKUP(E114,[1]Sheet1!$C:$E,2,FALSE)</f>
        <v>刘欢</v>
      </c>
      <c r="C114" s="9" t="str">
        <f>VLOOKUP(E114,[1]Sheet1!$C:$E,3,FALSE)</f>
        <v>A</v>
      </c>
      <c r="D114" s="8" t="s">
        <v>143</v>
      </c>
      <c r="E114" s="10">
        <v>161343436</v>
      </c>
      <c r="F114" s="8">
        <v>4.9</v>
      </c>
      <c r="G114" s="8">
        <v>32</v>
      </c>
      <c r="H114" s="8">
        <v>1773</v>
      </c>
      <c r="I114" s="8">
        <v>62.43</v>
      </c>
      <c r="J114" s="8">
        <v>55.41</v>
      </c>
      <c r="K114" s="8">
        <v>1513</v>
      </c>
      <c r="L114" s="11">
        <v>0.082</v>
      </c>
      <c r="M114" s="11">
        <v>0.258</v>
      </c>
      <c r="N114" s="11">
        <v>0.0212</v>
      </c>
      <c r="O114" s="8">
        <v>990</v>
      </c>
      <c r="P114" s="8">
        <v>523</v>
      </c>
      <c r="Q114" s="8">
        <v>21</v>
      </c>
      <c r="R114" s="11">
        <v>0.064</v>
      </c>
      <c r="S114" s="11">
        <v>0.117</v>
      </c>
      <c r="T114" s="11">
        <v>0.175</v>
      </c>
      <c r="U114" s="11">
        <v>0.344</v>
      </c>
      <c r="V114" s="11">
        <v>0.233</v>
      </c>
      <c r="W114" s="8">
        <v>2</v>
      </c>
      <c r="X114" s="8">
        <v>2</v>
      </c>
      <c r="Y114" s="8">
        <v>0</v>
      </c>
      <c r="Z114" s="8">
        <v>0</v>
      </c>
      <c r="AA114" s="11">
        <v>0.0625</v>
      </c>
      <c r="AB114" s="11">
        <v>1</v>
      </c>
      <c r="AC114" s="11">
        <v>0</v>
      </c>
      <c r="AD114" s="11">
        <v>0</v>
      </c>
    </row>
    <row r="115" customFormat="1" ht="22" customHeight="1" spans="1:30">
      <c r="A115" s="8" t="s">
        <v>31</v>
      </c>
      <c r="B115" s="8" t="str">
        <f>VLOOKUP(E115,[1]Sheet1!$C:$E,2,FALSE)</f>
        <v>岳贝贝</v>
      </c>
      <c r="C115" s="9" t="str">
        <f>VLOOKUP(E115,[1]Sheet1!$C:$E,3,FALSE)</f>
        <v>A</v>
      </c>
      <c r="D115" s="8" t="s">
        <v>144</v>
      </c>
      <c r="E115" s="10">
        <v>533795303</v>
      </c>
      <c r="F115" s="8">
        <v>4.9</v>
      </c>
      <c r="G115" s="8">
        <v>106</v>
      </c>
      <c r="H115" s="8">
        <v>1764.2</v>
      </c>
      <c r="I115" s="8">
        <v>0</v>
      </c>
      <c r="J115" s="8">
        <v>16.64</v>
      </c>
      <c r="K115" s="8">
        <v>2960</v>
      </c>
      <c r="L115" s="11">
        <v>0.092</v>
      </c>
      <c r="M115" s="11">
        <v>0.388</v>
      </c>
      <c r="N115" s="11">
        <v>0.0357</v>
      </c>
      <c r="O115" s="8">
        <v>0</v>
      </c>
      <c r="P115" s="8">
        <v>0</v>
      </c>
      <c r="Q115" s="8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0.277</v>
      </c>
      <c r="W115" s="8">
        <v>0</v>
      </c>
      <c r="X115" s="8">
        <v>0</v>
      </c>
      <c r="Y115" s="8">
        <v>0</v>
      </c>
      <c r="Z115" s="8">
        <v>0</v>
      </c>
      <c r="AA115" s="11">
        <v>0</v>
      </c>
      <c r="AB115" s="11">
        <v>0</v>
      </c>
      <c r="AC115" s="11">
        <v>0</v>
      </c>
      <c r="AD115" s="11">
        <v>0</v>
      </c>
    </row>
    <row r="116" customFormat="1" ht="22" customHeight="1" spans="1:30">
      <c r="A116" s="8" t="s">
        <v>31</v>
      </c>
      <c r="B116" s="8" t="str">
        <f>VLOOKUP(E116,[1]Sheet1!$C:$E,2,FALSE)</f>
        <v>徐从众</v>
      </c>
      <c r="C116" s="9" t="str">
        <f>VLOOKUP(E116,[1]Sheet1!$C:$E,3,FALSE)</f>
        <v>A</v>
      </c>
      <c r="D116" s="12" t="s">
        <v>145</v>
      </c>
      <c r="E116" s="13">
        <v>1253986074</v>
      </c>
      <c r="F116" s="12">
        <v>4.5</v>
      </c>
      <c r="G116" s="8">
        <v>40</v>
      </c>
      <c r="H116" s="8">
        <v>1734.39</v>
      </c>
      <c r="I116" s="8">
        <v>53.11</v>
      </c>
      <c r="J116" s="8">
        <v>43.36</v>
      </c>
      <c r="K116" s="8">
        <v>2413</v>
      </c>
      <c r="L116" s="11">
        <v>0.092</v>
      </c>
      <c r="M116" s="11">
        <v>0.167</v>
      </c>
      <c r="N116" s="11">
        <v>0.0154</v>
      </c>
      <c r="O116" s="8">
        <v>1939</v>
      </c>
      <c r="P116" s="8">
        <v>474</v>
      </c>
      <c r="Q116" s="8">
        <v>20</v>
      </c>
      <c r="R116" s="11">
        <v>0.076</v>
      </c>
      <c r="S116" s="11">
        <v>0.156</v>
      </c>
      <c r="T116" s="11">
        <v>0.116</v>
      </c>
      <c r="U116" s="11">
        <v>0.27</v>
      </c>
      <c r="V116" s="11">
        <v>0.206</v>
      </c>
      <c r="W116" s="8">
        <v>2</v>
      </c>
      <c r="X116" s="8">
        <v>2</v>
      </c>
      <c r="Y116" s="8">
        <v>0</v>
      </c>
      <c r="Z116" s="8">
        <v>0</v>
      </c>
      <c r="AA116" s="11">
        <v>0.05</v>
      </c>
      <c r="AB116" s="11">
        <v>1</v>
      </c>
      <c r="AC116" s="11">
        <v>0</v>
      </c>
      <c r="AD116" s="11">
        <v>0</v>
      </c>
    </row>
    <row r="117" customFormat="1" ht="22" customHeight="1" spans="1:30">
      <c r="A117" s="8" t="s">
        <v>31</v>
      </c>
      <c r="B117" s="8" t="str">
        <f>VLOOKUP(E117,[1]Sheet1!$C:$E,2,FALSE)</f>
        <v>徐从众</v>
      </c>
      <c r="C117" s="9" t="str">
        <f>VLOOKUP(E117,[1]Sheet1!$C:$E,3,FALSE)</f>
        <v>S</v>
      </c>
      <c r="D117" s="12" t="s">
        <v>146</v>
      </c>
      <c r="E117" s="13">
        <v>511226561</v>
      </c>
      <c r="F117" s="12">
        <v>4.6</v>
      </c>
      <c r="G117" s="8">
        <v>36</v>
      </c>
      <c r="H117" s="8">
        <v>1732.4</v>
      </c>
      <c r="I117" s="8">
        <v>55.72</v>
      </c>
      <c r="J117" s="8">
        <v>48.12</v>
      </c>
      <c r="K117" s="8">
        <v>1978</v>
      </c>
      <c r="L117" s="11">
        <v>0.107</v>
      </c>
      <c r="M117" s="11">
        <v>0.17</v>
      </c>
      <c r="N117" s="11">
        <v>0.0182</v>
      </c>
      <c r="O117" s="8">
        <v>1420</v>
      </c>
      <c r="P117" s="8">
        <v>558</v>
      </c>
      <c r="Q117" s="8">
        <v>19</v>
      </c>
      <c r="R117" s="11">
        <v>0.092</v>
      </c>
      <c r="S117" s="11">
        <v>0.147</v>
      </c>
      <c r="T117" s="11">
        <v>0.131</v>
      </c>
      <c r="U117" s="11">
        <v>0.232</v>
      </c>
      <c r="V117" s="11">
        <v>0.207</v>
      </c>
      <c r="W117" s="8">
        <v>2</v>
      </c>
      <c r="X117" s="8">
        <v>2</v>
      </c>
      <c r="Y117" s="8">
        <v>0</v>
      </c>
      <c r="Z117" s="8">
        <v>0</v>
      </c>
      <c r="AA117" s="11">
        <v>0.0556</v>
      </c>
      <c r="AB117" s="11">
        <v>1</v>
      </c>
      <c r="AC117" s="11">
        <v>0</v>
      </c>
      <c r="AD117" s="11">
        <v>0</v>
      </c>
    </row>
    <row r="118" customFormat="1" ht="22" customHeight="1" spans="1:30">
      <c r="A118" s="8" t="s">
        <v>31</v>
      </c>
      <c r="B118" s="8" t="e">
        <f>VLOOKUP(E118,[1]Sheet1!$C:$E,2,FALSE)</f>
        <v>#N/A</v>
      </c>
      <c r="C118" s="8" t="e">
        <f>VLOOKUP(E118,[1]Sheet1!$C:$E,3,FALSE)</f>
        <v>#N/A</v>
      </c>
      <c r="D118" s="8" t="s">
        <v>147</v>
      </c>
      <c r="E118" s="10">
        <v>544466825</v>
      </c>
      <c r="F118" s="8">
        <v>4.9</v>
      </c>
      <c r="G118" s="8">
        <v>56</v>
      </c>
      <c r="H118" s="8">
        <v>1732.02</v>
      </c>
      <c r="I118" s="8">
        <v>38.98</v>
      </c>
      <c r="J118" s="8">
        <v>30.93</v>
      </c>
      <c r="K118" s="8">
        <v>3414</v>
      </c>
      <c r="L118" s="11">
        <v>0.067</v>
      </c>
      <c r="M118" s="11">
        <v>0.241</v>
      </c>
      <c r="N118" s="11">
        <v>0.0161</v>
      </c>
      <c r="O118" s="8">
        <v>3092</v>
      </c>
      <c r="P118" s="8">
        <v>322</v>
      </c>
      <c r="Q118" s="8">
        <v>24</v>
      </c>
      <c r="R118" s="11">
        <v>0.058</v>
      </c>
      <c r="S118" s="11">
        <v>0.152</v>
      </c>
      <c r="T118" s="11">
        <v>0.173</v>
      </c>
      <c r="U118" s="11">
        <v>0.49</v>
      </c>
      <c r="V118" s="11">
        <v>0.217</v>
      </c>
      <c r="W118" s="8">
        <v>5</v>
      </c>
      <c r="X118" s="8">
        <v>4</v>
      </c>
      <c r="Y118" s="8">
        <v>0</v>
      </c>
      <c r="Z118" s="8">
        <v>1</v>
      </c>
      <c r="AA118" s="11">
        <v>0.0893</v>
      </c>
      <c r="AB118" s="11">
        <v>0.8</v>
      </c>
      <c r="AC118" s="11">
        <v>0</v>
      </c>
      <c r="AD118" s="11">
        <v>0.2</v>
      </c>
    </row>
    <row r="119" customFormat="1" ht="22" customHeight="1" spans="1:30">
      <c r="A119" s="8" t="s">
        <v>31</v>
      </c>
      <c r="B119" s="8" t="str">
        <f>VLOOKUP(E119,[1]Sheet1!$C:$E,2,FALSE)</f>
        <v>王森</v>
      </c>
      <c r="C119" s="9" t="str">
        <f>VLOOKUP(E119,[1]Sheet1!$C:$E,3,FALSE)</f>
        <v>S</v>
      </c>
      <c r="D119" s="12" t="s">
        <v>148</v>
      </c>
      <c r="E119" s="13">
        <v>505297762</v>
      </c>
      <c r="F119" s="12">
        <v>4.6</v>
      </c>
      <c r="G119" s="8">
        <v>19</v>
      </c>
      <c r="H119" s="8">
        <v>1699.79</v>
      </c>
      <c r="I119" s="8">
        <v>105.74</v>
      </c>
      <c r="J119" s="8">
        <v>89.46</v>
      </c>
      <c r="K119" s="8">
        <v>1360</v>
      </c>
      <c r="L119" s="11">
        <v>0.105</v>
      </c>
      <c r="M119" s="11">
        <v>0.126</v>
      </c>
      <c r="N119" s="11">
        <v>0.0132</v>
      </c>
      <c r="O119" s="8">
        <v>1080</v>
      </c>
      <c r="P119" s="8">
        <v>280</v>
      </c>
      <c r="Q119" s="8">
        <v>12</v>
      </c>
      <c r="R119" s="11">
        <v>0.106</v>
      </c>
      <c r="S119" s="11">
        <v>0.104</v>
      </c>
      <c r="T119" s="11">
        <v>0.053</v>
      </c>
      <c r="U119" s="11">
        <v>0.414</v>
      </c>
      <c r="V119" s="11">
        <v>0.152</v>
      </c>
      <c r="W119" s="8">
        <v>2</v>
      </c>
      <c r="X119" s="8">
        <v>2</v>
      </c>
      <c r="Y119" s="8">
        <v>0</v>
      </c>
      <c r="Z119" s="8">
        <v>0</v>
      </c>
      <c r="AA119" s="11">
        <v>0.1053</v>
      </c>
      <c r="AB119" s="11">
        <v>1</v>
      </c>
      <c r="AC119" s="11">
        <v>0</v>
      </c>
      <c r="AD119" s="11">
        <v>0</v>
      </c>
    </row>
    <row r="120" customFormat="1" ht="22" customHeight="1" spans="1:30">
      <c r="A120" s="8" t="s">
        <v>31</v>
      </c>
      <c r="B120" s="8" t="str">
        <f>VLOOKUP(E120,[1]Sheet1!$C:$E,2,FALSE)</f>
        <v>王森</v>
      </c>
      <c r="C120" s="9" t="str">
        <f>VLOOKUP(E120,[1]Sheet1!$C:$E,3,FALSE)</f>
        <v>A</v>
      </c>
      <c r="D120" s="8" t="s">
        <v>149</v>
      </c>
      <c r="E120" s="10">
        <v>510397500</v>
      </c>
      <c r="F120" s="8">
        <v>4.8</v>
      </c>
      <c r="G120" s="8">
        <v>29</v>
      </c>
      <c r="H120" s="8">
        <v>1699.77</v>
      </c>
      <c r="I120" s="8">
        <v>74.7</v>
      </c>
      <c r="J120" s="8">
        <v>58.61</v>
      </c>
      <c r="K120" s="8">
        <v>2568</v>
      </c>
      <c r="L120" s="11">
        <v>0.072</v>
      </c>
      <c r="M120" s="11">
        <v>0.157</v>
      </c>
      <c r="N120" s="11">
        <v>0.0113</v>
      </c>
      <c r="O120" s="8">
        <v>1993</v>
      </c>
      <c r="P120" s="8">
        <v>575</v>
      </c>
      <c r="Q120" s="8">
        <v>18</v>
      </c>
      <c r="R120" s="11">
        <v>0.063</v>
      </c>
      <c r="S120" s="11">
        <v>0.104</v>
      </c>
      <c r="T120" s="11">
        <v>0.088</v>
      </c>
      <c r="U120" s="11">
        <v>0.3</v>
      </c>
      <c r="V120" s="11">
        <v>0.18</v>
      </c>
      <c r="W120" s="8">
        <v>0</v>
      </c>
      <c r="X120" s="8">
        <v>0</v>
      </c>
      <c r="Y120" s="8">
        <v>0</v>
      </c>
      <c r="Z120" s="8">
        <v>0</v>
      </c>
      <c r="AA120" s="11">
        <v>0</v>
      </c>
      <c r="AB120" s="11">
        <v>0</v>
      </c>
      <c r="AC120" s="11">
        <v>0</v>
      </c>
      <c r="AD120" s="11">
        <v>0</v>
      </c>
    </row>
    <row r="121" customFormat="1" ht="22" customHeight="1" spans="1:30">
      <c r="A121" s="8" t="s">
        <v>31</v>
      </c>
      <c r="B121" s="8" t="str">
        <f>VLOOKUP(E121,[1]Sheet1!$C:$E,2,FALSE)</f>
        <v>徐从众</v>
      </c>
      <c r="C121" s="9" t="str">
        <f>VLOOKUP(E121,[1]Sheet1!$C:$E,3,FALSE)</f>
        <v>A</v>
      </c>
      <c r="D121" s="12" t="s">
        <v>150</v>
      </c>
      <c r="E121" s="13">
        <v>2136909192</v>
      </c>
      <c r="F121" s="12">
        <v>4.6</v>
      </c>
      <c r="G121" s="8">
        <v>46</v>
      </c>
      <c r="H121" s="8">
        <v>1698.05</v>
      </c>
      <c r="I121" s="8">
        <v>0</v>
      </c>
      <c r="J121" s="8">
        <v>36.91</v>
      </c>
      <c r="K121" s="8">
        <v>2361</v>
      </c>
      <c r="L121" s="11">
        <v>0.109</v>
      </c>
      <c r="M121" s="11">
        <v>0.187</v>
      </c>
      <c r="N121" s="11">
        <v>0.0204</v>
      </c>
      <c r="O121" s="8">
        <v>0</v>
      </c>
      <c r="P121" s="8">
        <v>0</v>
      </c>
      <c r="Q121" s="8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0.248</v>
      </c>
      <c r="W121" s="8">
        <v>3</v>
      </c>
      <c r="X121" s="8">
        <v>2</v>
      </c>
      <c r="Y121" s="8">
        <v>1</v>
      </c>
      <c r="Z121" s="8">
        <v>0</v>
      </c>
      <c r="AA121" s="11">
        <v>0.0652</v>
      </c>
      <c r="AB121" s="11">
        <v>0.6667</v>
      </c>
      <c r="AC121" s="11">
        <v>0.3333</v>
      </c>
      <c r="AD121" s="11">
        <v>0</v>
      </c>
    </row>
    <row r="122" customFormat="1" ht="22" customHeight="1" spans="1:30">
      <c r="A122" s="8" t="s">
        <v>31</v>
      </c>
      <c r="B122" s="8" t="str">
        <f>VLOOKUP(E122,[1]Sheet1!$C:$E,2,FALSE)</f>
        <v>徐从众</v>
      </c>
      <c r="C122" s="9" t="str">
        <f>VLOOKUP(E122,[1]Sheet1!$C:$E,3,FALSE)</f>
        <v>S</v>
      </c>
      <c r="D122" s="12" t="s">
        <v>151</v>
      </c>
      <c r="E122" s="13">
        <v>1325642178</v>
      </c>
      <c r="F122" s="12">
        <v>4.5</v>
      </c>
      <c r="G122" s="8">
        <v>41</v>
      </c>
      <c r="H122" s="8">
        <v>1685.79</v>
      </c>
      <c r="I122" s="8">
        <v>48.07</v>
      </c>
      <c r="J122" s="8">
        <v>41.12</v>
      </c>
      <c r="K122" s="8">
        <v>2029</v>
      </c>
      <c r="L122" s="11">
        <v>0.092</v>
      </c>
      <c r="M122" s="11">
        <v>0.214</v>
      </c>
      <c r="N122" s="11">
        <v>0.0197</v>
      </c>
      <c r="O122" s="8">
        <v>1515</v>
      </c>
      <c r="P122" s="8">
        <v>514</v>
      </c>
      <c r="Q122" s="8">
        <v>23</v>
      </c>
      <c r="R122" s="11">
        <v>0.083</v>
      </c>
      <c r="S122" s="11">
        <v>0.121</v>
      </c>
      <c r="T122" s="11">
        <v>0.136</v>
      </c>
      <c r="U122" s="11">
        <v>0.371</v>
      </c>
      <c r="V122" s="11">
        <v>0.258</v>
      </c>
      <c r="W122" s="8">
        <v>2</v>
      </c>
      <c r="X122" s="8">
        <v>2</v>
      </c>
      <c r="Y122" s="8">
        <v>0</v>
      </c>
      <c r="Z122" s="8">
        <v>0</v>
      </c>
      <c r="AA122" s="11">
        <v>0.0488</v>
      </c>
      <c r="AB122" s="11">
        <v>1</v>
      </c>
      <c r="AC122" s="11">
        <v>0</v>
      </c>
      <c r="AD122" s="11">
        <v>0</v>
      </c>
    </row>
    <row r="123" customFormat="1" ht="22" customHeight="1" spans="1:30">
      <c r="A123" s="8" t="s">
        <v>31</v>
      </c>
      <c r="B123" s="8" t="str">
        <f>VLOOKUP(E123,[1]Sheet1!$C:$E,2,FALSE)</f>
        <v>徐从众</v>
      </c>
      <c r="C123" s="9" t="str">
        <f>VLOOKUP(E123,[1]Sheet1!$C:$E,3,FALSE)</f>
        <v>S</v>
      </c>
      <c r="D123" s="8" t="s">
        <v>152</v>
      </c>
      <c r="E123" s="10">
        <v>405280</v>
      </c>
      <c r="F123" s="8">
        <v>5</v>
      </c>
      <c r="G123" s="8">
        <v>41</v>
      </c>
      <c r="H123" s="8">
        <v>1658.53</v>
      </c>
      <c r="I123" s="8">
        <v>52.42</v>
      </c>
      <c r="J123" s="8">
        <v>40.45</v>
      </c>
      <c r="K123" s="8">
        <v>1625</v>
      </c>
      <c r="L123" s="11">
        <v>0.107</v>
      </c>
      <c r="M123" s="11">
        <v>0.23</v>
      </c>
      <c r="N123" s="11">
        <v>0.0246</v>
      </c>
      <c r="O123" s="8">
        <v>1164</v>
      </c>
      <c r="P123" s="8">
        <v>461</v>
      </c>
      <c r="Q123" s="8">
        <v>30</v>
      </c>
      <c r="R123" s="11">
        <v>0.077</v>
      </c>
      <c r="S123" s="11">
        <v>0.182</v>
      </c>
      <c r="T123" s="11">
        <v>0.111</v>
      </c>
      <c r="U123" s="11">
        <v>0.357</v>
      </c>
      <c r="V123" s="11">
        <v>0.313</v>
      </c>
      <c r="W123" s="8">
        <v>2</v>
      </c>
      <c r="X123" s="8">
        <v>2</v>
      </c>
      <c r="Y123" s="8">
        <v>0</v>
      </c>
      <c r="Z123" s="8">
        <v>0</v>
      </c>
      <c r="AA123" s="11">
        <v>0.0488</v>
      </c>
      <c r="AB123" s="11">
        <v>1</v>
      </c>
      <c r="AC123" s="11">
        <v>0</v>
      </c>
      <c r="AD123" s="11">
        <v>0</v>
      </c>
    </row>
    <row r="124" customFormat="1" ht="22" customHeight="1" spans="1:30">
      <c r="A124" s="8" t="s">
        <v>31</v>
      </c>
      <c r="B124" s="8" t="e">
        <f>VLOOKUP(E124,[1]Sheet1!$C:$E,2,FALSE)</f>
        <v>#N/A</v>
      </c>
      <c r="C124" s="8" t="e">
        <f>VLOOKUP(E124,[1]Sheet1!$C:$E,3,FALSE)</f>
        <v>#N/A</v>
      </c>
      <c r="D124" s="8" t="s">
        <v>153</v>
      </c>
      <c r="E124" s="10">
        <v>542598222</v>
      </c>
      <c r="F124" s="8">
        <v>5</v>
      </c>
      <c r="G124" s="8">
        <v>110</v>
      </c>
      <c r="H124" s="8">
        <v>1649.79</v>
      </c>
      <c r="I124" s="8">
        <v>0</v>
      </c>
      <c r="J124" s="8">
        <v>15</v>
      </c>
      <c r="K124" s="8">
        <v>4919</v>
      </c>
      <c r="L124" s="11">
        <v>0.073</v>
      </c>
      <c r="M124" s="11">
        <v>0.305</v>
      </c>
      <c r="N124" s="11">
        <v>0.0223</v>
      </c>
      <c r="O124" s="8">
        <v>0</v>
      </c>
      <c r="P124" s="8">
        <v>0</v>
      </c>
      <c r="Q124" s="8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0.228</v>
      </c>
      <c r="W124" s="8">
        <v>5</v>
      </c>
      <c r="X124" s="8">
        <v>5</v>
      </c>
      <c r="Y124" s="8">
        <v>0</v>
      </c>
      <c r="Z124" s="8">
        <v>0</v>
      </c>
      <c r="AA124" s="11">
        <v>0.0455</v>
      </c>
      <c r="AB124" s="11">
        <v>1</v>
      </c>
      <c r="AC124" s="11">
        <v>0</v>
      </c>
      <c r="AD124" s="11">
        <v>0</v>
      </c>
    </row>
    <row r="125" customFormat="1" ht="22" customHeight="1" spans="1:30">
      <c r="A125" s="8" t="s">
        <v>31</v>
      </c>
      <c r="B125" s="8" t="str">
        <f>VLOOKUP(E125,[1]Sheet1!$C:$E,2,FALSE)</f>
        <v>岳贝贝</v>
      </c>
      <c r="C125" s="9" t="str">
        <f>VLOOKUP(E125,[1]Sheet1!$C:$E,3,FALSE)</f>
        <v>A</v>
      </c>
      <c r="D125" s="12" t="s">
        <v>154</v>
      </c>
      <c r="E125" s="13">
        <v>1163902360</v>
      </c>
      <c r="F125" s="12">
        <v>4.5</v>
      </c>
      <c r="G125" s="8">
        <v>86</v>
      </c>
      <c r="H125" s="8">
        <v>1641.83</v>
      </c>
      <c r="I125" s="8">
        <v>26.56</v>
      </c>
      <c r="J125" s="8">
        <v>19.09</v>
      </c>
      <c r="K125" s="8">
        <v>2762</v>
      </c>
      <c r="L125" s="11">
        <v>0.089</v>
      </c>
      <c r="M125" s="11">
        <v>0.35</v>
      </c>
      <c r="N125" s="11">
        <v>0.0312</v>
      </c>
      <c r="O125" s="8">
        <v>1954</v>
      </c>
      <c r="P125" s="8">
        <v>808</v>
      </c>
      <c r="Q125" s="8">
        <v>57</v>
      </c>
      <c r="R125" s="11">
        <v>0.067</v>
      </c>
      <c r="S125" s="11">
        <v>0.142</v>
      </c>
      <c r="T125" s="11">
        <v>0.221</v>
      </c>
      <c r="U125" s="11">
        <v>0.496</v>
      </c>
      <c r="V125" s="11">
        <v>0.208</v>
      </c>
      <c r="W125" s="8">
        <v>0</v>
      </c>
      <c r="X125" s="8">
        <v>0</v>
      </c>
      <c r="Y125" s="8">
        <v>0</v>
      </c>
      <c r="Z125" s="8">
        <v>0</v>
      </c>
      <c r="AA125" s="11">
        <v>0</v>
      </c>
      <c r="AB125" s="11">
        <v>0</v>
      </c>
      <c r="AC125" s="11">
        <v>0</v>
      </c>
      <c r="AD125" s="11">
        <v>0</v>
      </c>
    </row>
    <row r="126" customFormat="1" ht="22" customHeight="1" spans="1:30">
      <c r="A126" s="8" t="s">
        <v>31</v>
      </c>
      <c r="B126" s="8" t="str">
        <f>VLOOKUP(E126,[1]Sheet1!$C:$E,2,FALSE)</f>
        <v>徐从众</v>
      </c>
      <c r="C126" s="9" t="str">
        <f>VLOOKUP(E126,[1]Sheet1!$C:$E,3,FALSE)</f>
        <v>S</v>
      </c>
      <c r="D126" s="8" t="s">
        <v>155</v>
      </c>
      <c r="E126" s="10">
        <v>538960185</v>
      </c>
      <c r="F126" s="8">
        <v>4.8</v>
      </c>
      <c r="G126" s="8">
        <v>39</v>
      </c>
      <c r="H126" s="8">
        <v>1619.16</v>
      </c>
      <c r="I126" s="8">
        <v>0</v>
      </c>
      <c r="J126" s="8">
        <v>41.52</v>
      </c>
      <c r="K126" s="8">
        <v>1878</v>
      </c>
      <c r="L126" s="11">
        <v>0.1</v>
      </c>
      <c r="M126" s="11">
        <v>0.203</v>
      </c>
      <c r="N126" s="11">
        <v>0.0203</v>
      </c>
      <c r="O126" s="8">
        <v>0</v>
      </c>
      <c r="P126" s="8">
        <v>0</v>
      </c>
      <c r="Q126" s="8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0.267</v>
      </c>
      <c r="W126" s="8">
        <v>1</v>
      </c>
      <c r="X126" s="8">
        <v>1</v>
      </c>
      <c r="Y126" s="8">
        <v>0</v>
      </c>
      <c r="Z126" s="8">
        <v>0</v>
      </c>
      <c r="AA126" s="11">
        <v>0.0256</v>
      </c>
      <c r="AB126" s="11">
        <v>1</v>
      </c>
      <c r="AC126" s="11">
        <v>0</v>
      </c>
      <c r="AD126" s="11">
        <v>0</v>
      </c>
    </row>
    <row r="127" customFormat="1" ht="22" customHeight="1" spans="1:30">
      <c r="A127" s="8" t="s">
        <v>31</v>
      </c>
      <c r="B127" s="8" t="str">
        <f>VLOOKUP(E127,[1]Sheet1!$C:$E,2,FALSE)</f>
        <v>徐从众</v>
      </c>
      <c r="C127" s="9" t="str">
        <f>VLOOKUP(E127,[1]Sheet1!$C:$E,3,FALSE)</f>
        <v>A</v>
      </c>
      <c r="D127" s="8" t="s">
        <v>156</v>
      </c>
      <c r="E127" s="10">
        <v>540194205</v>
      </c>
      <c r="F127" s="8">
        <v>4.9</v>
      </c>
      <c r="G127" s="8">
        <v>71</v>
      </c>
      <c r="H127" s="8">
        <v>1618.6</v>
      </c>
      <c r="I127" s="8">
        <v>28.31</v>
      </c>
      <c r="J127" s="8">
        <v>22.8</v>
      </c>
      <c r="K127" s="8">
        <v>3334</v>
      </c>
      <c r="L127" s="11">
        <v>0.072</v>
      </c>
      <c r="M127" s="11">
        <v>0.296</v>
      </c>
      <c r="N127" s="11">
        <v>0.0213</v>
      </c>
      <c r="O127" s="8">
        <v>2629</v>
      </c>
      <c r="P127" s="8">
        <v>705</v>
      </c>
      <c r="Q127" s="8">
        <v>37</v>
      </c>
      <c r="R127" s="11">
        <v>0.056</v>
      </c>
      <c r="S127" s="11">
        <v>0.133</v>
      </c>
      <c r="T127" s="11">
        <v>0.233</v>
      </c>
      <c r="U127" s="11">
        <v>0.394</v>
      </c>
      <c r="V127" s="11">
        <v>0.205</v>
      </c>
      <c r="W127" s="8">
        <v>1</v>
      </c>
      <c r="X127" s="8">
        <v>1</v>
      </c>
      <c r="Y127" s="8">
        <v>0</v>
      </c>
      <c r="Z127" s="8">
        <v>0</v>
      </c>
      <c r="AA127" s="11">
        <v>0.0141</v>
      </c>
      <c r="AB127" s="11">
        <v>1</v>
      </c>
      <c r="AC127" s="11">
        <v>0</v>
      </c>
      <c r="AD127" s="11">
        <v>0</v>
      </c>
    </row>
    <row r="128" customFormat="1" ht="22" customHeight="1" spans="1:30">
      <c r="A128" s="8" t="s">
        <v>31</v>
      </c>
      <c r="B128" s="8" t="e">
        <f>VLOOKUP(E128,[1]Sheet1!$C:$E,2,FALSE)</f>
        <v>#N/A</v>
      </c>
      <c r="C128" s="8" t="e">
        <f>VLOOKUP(E128,[1]Sheet1!$C:$E,3,FALSE)</f>
        <v>#N/A</v>
      </c>
      <c r="D128" s="8" t="s">
        <v>157</v>
      </c>
      <c r="E128" s="10">
        <v>545703647</v>
      </c>
      <c r="F128" s="8">
        <v>4.9</v>
      </c>
      <c r="G128" s="8">
        <v>35</v>
      </c>
      <c r="H128" s="8">
        <v>1612.77</v>
      </c>
      <c r="I128" s="8">
        <v>0</v>
      </c>
      <c r="J128" s="8">
        <v>46.08</v>
      </c>
      <c r="K128" s="8">
        <v>2454</v>
      </c>
      <c r="L128" s="11">
        <v>0.066</v>
      </c>
      <c r="M128" s="11">
        <v>0.209</v>
      </c>
      <c r="N128" s="11">
        <v>0.0138</v>
      </c>
      <c r="O128" s="8">
        <v>0</v>
      </c>
      <c r="P128" s="8">
        <v>0</v>
      </c>
      <c r="Q128" s="8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0.146</v>
      </c>
      <c r="W128" s="8">
        <v>10</v>
      </c>
      <c r="X128" s="8">
        <v>10</v>
      </c>
      <c r="Y128" s="8">
        <v>0</v>
      </c>
      <c r="Z128" s="8">
        <v>0</v>
      </c>
      <c r="AA128" s="11">
        <v>0.2857</v>
      </c>
      <c r="AB128" s="11">
        <v>1</v>
      </c>
      <c r="AC128" s="11">
        <v>0</v>
      </c>
      <c r="AD128" s="11">
        <v>0</v>
      </c>
    </row>
    <row r="129" customFormat="1" ht="22" customHeight="1" spans="1:30">
      <c r="A129" s="8" t="s">
        <v>31</v>
      </c>
      <c r="B129" s="8" t="str">
        <f>VLOOKUP(E129,[1]Sheet1!$C:$E,2,FALSE)</f>
        <v>徐从众</v>
      </c>
      <c r="C129" s="9" t="str">
        <f>VLOOKUP(E129,[1]Sheet1!$C:$E,3,FALSE)</f>
        <v>A</v>
      </c>
      <c r="D129" s="8" t="s">
        <v>158</v>
      </c>
      <c r="E129" s="10">
        <v>1164084599</v>
      </c>
      <c r="F129" s="8">
        <v>4.9</v>
      </c>
      <c r="G129" s="8">
        <v>37</v>
      </c>
      <c r="H129" s="8">
        <v>1611.6</v>
      </c>
      <c r="I129" s="8">
        <v>0</v>
      </c>
      <c r="J129" s="8">
        <v>43.56</v>
      </c>
      <c r="K129" s="8">
        <v>3095</v>
      </c>
      <c r="L129" s="11">
        <v>0.078</v>
      </c>
      <c r="M129" s="11">
        <v>0.153</v>
      </c>
      <c r="N129" s="11">
        <v>0.0119</v>
      </c>
      <c r="O129" s="8">
        <v>0</v>
      </c>
      <c r="P129" s="8">
        <v>0</v>
      </c>
      <c r="Q129" s="8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0.192</v>
      </c>
      <c r="W129" s="8">
        <v>3</v>
      </c>
      <c r="X129" s="8">
        <v>3</v>
      </c>
      <c r="Y129" s="8">
        <v>0</v>
      </c>
      <c r="Z129" s="8">
        <v>0</v>
      </c>
      <c r="AA129" s="11">
        <v>0.0811</v>
      </c>
      <c r="AB129" s="11">
        <v>1</v>
      </c>
      <c r="AC129" s="11">
        <v>0</v>
      </c>
      <c r="AD129" s="11">
        <v>0</v>
      </c>
    </row>
    <row r="130" customFormat="1" ht="22" customHeight="1" spans="1:30">
      <c r="A130" s="8" t="s">
        <v>31</v>
      </c>
      <c r="B130" s="8" t="str">
        <f>VLOOKUP(E130,[1]Sheet1!$C:$E,2,FALSE)</f>
        <v>王森</v>
      </c>
      <c r="C130" s="9" t="str">
        <f>VLOOKUP(E130,[1]Sheet1!$C:$E,3,FALSE)</f>
        <v>S</v>
      </c>
      <c r="D130" s="12" t="s">
        <v>159</v>
      </c>
      <c r="E130" s="13">
        <v>1312747909</v>
      </c>
      <c r="F130" s="12">
        <v>4.7</v>
      </c>
      <c r="G130" s="8">
        <v>57</v>
      </c>
      <c r="H130" s="8">
        <v>1610.18</v>
      </c>
      <c r="I130" s="8">
        <v>37.88</v>
      </c>
      <c r="J130" s="8">
        <v>28.25</v>
      </c>
      <c r="K130" s="8">
        <v>2959</v>
      </c>
      <c r="L130" s="11">
        <v>0.088</v>
      </c>
      <c r="M130" s="11">
        <v>0.219</v>
      </c>
      <c r="N130" s="11">
        <v>0.0193</v>
      </c>
      <c r="O130" s="8">
        <v>2298</v>
      </c>
      <c r="P130" s="8">
        <v>661</v>
      </c>
      <c r="Q130" s="8">
        <v>32</v>
      </c>
      <c r="R130" s="11">
        <v>0.069</v>
      </c>
      <c r="S130" s="11">
        <v>0.154</v>
      </c>
      <c r="T130" s="11">
        <v>0.158</v>
      </c>
      <c r="U130" s="11">
        <v>0.314</v>
      </c>
      <c r="V130" s="11">
        <v>0.238</v>
      </c>
      <c r="W130" s="8">
        <v>0</v>
      </c>
      <c r="X130" s="8">
        <v>0</v>
      </c>
      <c r="Y130" s="8">
        <v>0</v>
      </c>
      <c r="Z130" s="8">
        <v>0</v>
      </c>
      <c r="AA130" s="11">
        <v>0</v>
      </c>
      <c r="AB130" s="11">
        <v>0</v>
      </c>
      <c r="AC130" s="11">
        <v>0</v>
      </c>
      <c r="AD130" s="11">
        <v>0</v>
      </c>
    </row>
    <row r="131" customFormat="1" ht="22" customHeight="1" spans="1:30">
      <c r="A131" s="8" t="s">
        <v>31</v>
      </c>
      <c r="B131" s="8" t="e">
        <f>VLOOKUP(E131,[1]Sheet1!$C:$E,2,FALSE)</f>
        <v>#N/A</v>
      </c>
      <c r="C131" s="8" t="e">
        <f>VLOOKUP(E131,[1]Sheet1!$C:$E,3,FALSE)</f>
        <v>#N/A</v>
      </c>
      <c r="D131" s="12" t="s">
        <v>160</v>
      </c>
      <c r="E131" s="13">
        <v>1324205351</v>
      </c>
      <c r="F131" s="12">
        <v>4.4</v>
      </c>
      <c r="G131" s="8">
        <v>79</v>
      </c>
      <c r="H131" s="8">
        <v>1607.3</v>
      </c>
      <c r="I131" s="8">
        <v>29.88</v>
      </c>
      <c r="J131" s="8">
        <v>20.35</v>
      </c>
      <c r="K131" s="8">
        <v>4398</v>
      </c>
      <c r="L131" s="11">
        <v>0.077</v>
      </c>
      <c r="M131" s="11">
        <v>0.234</v>
      </c>
      <c r="N131" s="11">
        <v>0.018</v>
      </c>
      <c r="O131" s="8">
        <v>3518</v>
      </c>
      <c r="P131" s="8">
        <v>880</v>
      </c>
      <c r="Q131" s="8">
        <v>39</v>
      </c>
      <c r="R131" s="11">
        <v>0.07</v>
      </c>
      <c r="S131" s="11">
        <v>0.103</v>
      </c>
      <c r="T131" s="11">
        <v>0.163</v>
      </c>
      <c r="U131" s="11">
        <v>0.429</v>
      </c>
      <c r="V131" s="11">
        <v>0.161</v>
      </c>
      <c r="W131" s="8">
        <v>1</v>
      </c>
      <c r="X131" s="8">
        <v>0</v>
      </c>
      <c r="Y131" s="8">
        <v>0</v>
      </c>
      <c r="Z131" s="8">
        <v>1</v>
      </c>
      <c r="AA131" s="11">
        <v>0.0127</v>
      </c>
      <c r="AB131" s="11">
        <v>0</v>
      </c>
      <c r="AC131" s="11">
        <v>0</v>
      </c>
      <c r="AD131" s="11">
        <v>1</v>
      </c>
    </row>
    <row r="132" customFormat="1" ht="22" customHeight="1" spans="1:30">
      <c r="A132" s="8" t="s">
        <v>31</v>
      </c>
      <c r="B132" s="8" t="str">
        <f>VLOOKUP(E132,[1]Sheet1!$C:$E,2,FALSE)</f>
        <v>王森</v>
      </c>
      <c r="C132" s="9" t="str">
        <f>VLOOKUP(E132,[1]Sheet1!$C:$E,3,FALSE)</f>
        <v>A</v>
      </c>
      <c r="D132" s="8" t="s">
        <v>161</v>
      </c>
      <c r="E132" s="10">
        <v>1128326066</v>
      </c>
      <c r="F132" s="8">
        <v>4.9</v>
      </c>
      <c r="G132" s="8">
        <v>25</v>
      </c>
      <c r="H132" s="8">
        <v>1593.7</v>
      </c>
      <c r="I132" s="8">
        <v>0</v>
      </c>
      <c r="J132" s="8">
        <v>63.75</v>
      </c>
      <c r="K132" s="8">
        <v>1457</v>
      </c>
      <c r="L132" s="11">
        <v>0.104</v>
      </c>
      <c r="M132" s="11">
        <v>0.159</v>
      </c>
      <c r="N132" s="11">
        <v>0.0165</v>
      </c>
      <c r="O132" s="8">
        <v>0</v>
      </c>
      <c r="P132" s="8">
        <v>0</v>
      </c>
      <c r="Q132" s="8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0.177</v>
      </c>
      <c r="W132" s="8">
        <v>1</v>
      </c>
      <c r="X132" s="8">
        <v>1</v>
      </c>
      <c r="Y132" s="8">
        <v>0</v>
      </c>
      <c r="Z132" s="8">
        <v>0</v>
      </c>
      <c r="AA132" s="11">
        <v>0.04</v>
      </c>
      <c r="AB132" s="11">
        <v>1</v>
      </c>
      <c r="AC132" s="11">
        <v>0</v>
      </c>
      <c r="AD132" s="11">
        <v>0</v>
      </c>
    </row>
    <row r="133" customFormat="1" ht="22" customHeight="1" spans="1:30">
      <c r="A133" s="8" t="s">
        <v>31</v>
      </c>
      <c r="B133" s="8" t="e">
        <f>VLOOKUP(E133,[1]Sheet1!$C:$E,2,FALSE)</f>
        <v>#N/A</v>
      </c>
      <c r="C133" s="8" t="e">
        <f>VLOOKUP(E133,[1]Sheet1!$C:$E,3,FALSE)</f>
        <v>#N/A</v>
      </c>
      <c r="D133" s="8" t="s">
        <v>162</v>
      </c>
      <c r="E133" s="10">
        <v>1349795438</v>
      </c>
      <c r="F133" s="8">
        <v>4.9</v>
      </c>
      <c r="G133" s="8">
        <v>30</v>
      </c>
      <c r="H133" s="8">
        <v>1585.85</v>
      </c>
      <c r="I133" s="8">
        <v>0</v>
      </c>
      <c r="J133" s="8">
        <v>52.86</v>
      </c>
      <c r="K133" s="8">
        <v>3732</v>
      </c>
      <c r="L133" s="11">
        <v>0.078</v>
      </c>
      <c r="M133" s="11">
        <v>0.103</v>
      </c>
      <c r="N133" s="11">
        <v>0.008</v>
      </c>
      <c r="O133" s="8">
        <v>0</v>
      </c>
      <c r="P133" s="8">
        <v>0</v>
      </c>
      <c r="Q133" s="8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0.23</v>
      </c>
      <c r="W133" s="8">
        <v>1</v>
      </c>
      <c r="X133" s="8">
        <v>1</v>
      </c>
      <c r="Y133" s="8">
        <v>0</v>
      </c>
      <c r="Z133" s="8">
        <v>0</v>
      </c>
      <c r="AA133" s="11">
        <v>0.0333</v>
      </c>
      <c r="AB133" s="11">
        <v>1</v>
      </c>
      <c r="AC133" s="11">
        <v>0</v>
      </c>
      <c r="AD133" s="11">
        <v>0</v>
      </c>
    </row>
    <row r="134" customFormat="1" ht="22" customHeight="1" spans="1:30">
      <c r="A134" s="8" t="s">
        <v>31</v>
      </c>
      <c r="B134" s="8" t="str">
        <f>VLOOKUP(E134,[1]Sheet1!$C:$E,2,FALSE)</f>
        <v>王森</v>
      </c>
      <c r="C134" s="9" t="str">
        <f>VLOOKUP(E134,[1]Sheet1!$C:$E,3,FALSE)</f>
        <v>S</v>
      </c>
      <c r="D134" s="12" t="s">
        <v>163</v>
      </c>
      <c r="E134" s="13">
        <v>534915308</v>
      </c>
      <c r="F134" s="12">
        <v>4.7</v>
      </c>
      <c r="G134" s="8">
        <v>60</v>
      </c>
      <c r="H134" s="8">
        <v>1583.64</v>
      </c>
      <c r="I134" s="8">
        <v>0</v>
      </c>
      <c r="J134" s="8">
        <v>26.39</v>
      </c>
      <c r="K134" s="8">
        <v>2400</v>
      </c>
      <c r="L134" s="11">
        <v>0.076</v>
      </c>
      <c r="M134" s="11">
        <v>0.33</v>
      </c>
      <c r="N134" s="11">
        <v>0.0251</v>
      </c>
      <c r="O134" s="8">
        <v>0</v>
      </c>
      <c r="P134" s="8">
        <v>0</v>
      </c>
      <c r="Q134" s="8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0.309</v>
      </c>
      <c r="W134" s="8">
        <v>0</v>
      </c>
      <c r="X134" s="8">
        <v>0</v>
      </c>
      <c r="Y134" s="8">
        <v>0</v>
      </c>
      <c r="Z134" s="8">
        <v>0</v>
      </c>
      <c r="AA134" s="11">
        <v>0</v>
      </c>
      <c r="AB134" s="11">
        <v>0</v>
      </c>
      <c r="AC134" s="11">
        <v>0</v>
      </c>
      <c r="AD134" s="11">
        <v>0</v>
      </c>
    </row>
    <row r="135" customFormat="1" ht="22" customHeight="1" spans="1:30">
      <c r="A135" s="8" t="s">
        <v>31</v>
      </c>
      <c r="B135" s="8" t="str">
        <f>VLOOKUP(E135,[1]Sheet1!$C:$E,2,FALSE)</f>
        <v>徐从众</v>
      </c>
      <c r="C135" s="9" t="str">
        <f>VLOOKUP(E135,[1]Sheet1!$C:$E,3,FALSE)</f>
        <v>A</v>
      </c>
      <c r="D135" s="8" t="s">
        <v>164</v>
      </c>
      <c r="E135" s="10">
        <v>514350409</v>
      </c>
      <c r="F135" s="8">
        <v>4.9</v>
      </c>
      <c r="G135" s="8">
        <v>29</v>
      </c>
      <c r="H135" s="8">
        <v>1578.09</v>
      </c>
      <c r="I135" s="8">
        <v>0</v>
      </c>
      <c r="J135" s="8">
        <v>54.42</v>
      </c>
      <c r="K135" s="8">
        <v>2281</v>
      </c>
      <c r="L135" s="11">
        <v>0.104</v>
      </c>
      <c r="M135" s="11">
        <v>0.122</v>
      </c>
      <c r="N135" s="11">
        <v>0.0127</v>
      </c>
      <c r="O135" s="8">
        <v>0</v>
      </c>
      <c r="P135" s="8">
        <v>0</v>
      </c>
      <c r="Q135" s="8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0.203</v>
      </c>
      <c r="W135" s="8">
        <v>1</v>
      </c>
      <c r="X135" s="8">
        <v>1</v>
      </c>
      <c r="Y135" s="8">
        <v>0</v>
      </c>
      <c r="Z135" s="8">
        <v>0</v>
      </c>
      <c r="AA135" s="11">
        <v>0.0345</v>
      </c>
      <c r="AB135" s="11">
        <v>1</v>
      </c>
      <c r="AC135" s="11">
        <v>0</v>
      </c>
      <c r="AD135" s="11">
        <v>0</v>
      </c>
    </row>
    <row r="136" customFormat="1" ht="22" customHeight="1" spans="1:30">
      <c r="A136" s="8" t="s">
        <v>31</v>
      </c>
      <c r="B136" s="8" t="str">
        <f>VLOOKUP(E136,[1]Sheet1!$C:$E,2,FALSE)</f>
        <v>王森</v>
      </c>
      <c r="C136" s="8">
        <f>VLOOKUP(E136,[1]Sheet1!$C:$E,3,FALSE)</f>
        <v>0</v>
      </c>
      <c r="D136" s="8" t="s">
        <v>165</v>
      </c>
      <c r="E136" s="10">
        <v>1310404363</v>
      </c>
      <c r="F136" s="8">
        <v>4.8</v>
      </c>
      <c r="G136" s="8">
        <v>25</v>
      </c>
      <c r="H136" s="8">
        <v>1576.6</v>
      </c>
      <c r="I136" s="8">
        <v>76.27</v>
      </c>
      <c r="J136" s="8">
        <v>63.06</v>
      </c>
      <c r="K136" s="8">
        <v>2982</v>
      </c>
      <c r="L136" s="11">
        <v>0.071</v>
      </c>
      <c r="M136" s="11">
        <v>0.118</v>
      </c>
      <c r="N136" s="11">
        <v>0.0084</v>
      </c>
      <c r="O136" s="8">
        <v>2515</v>
      </c>
      <c r="P136" s="8">
        <v>467</v>
      </c>
      <c r="Q136" s="8">
        <v>13</v>
      </c>
      <c r="R136" s="11">
        <v>0.066</v>
      </c>
      <c r="S136" s="11">
        <v>0.099</v>
      </c>
      <c r="T136" s="11">
        <v>0.072</v>
      </c>
      <c r="U136" s="11">
        <v>0.283</v>
      </c>
      <c r="V136" s="11">
        <v>0.151</v>
      </c>
      <c r="W136" s="8">
        <v>1</v>
      </c>
      <c r="X136" s="8">
        <v>1</v>
      </c>
      <c r="Y136" s="8">
        <v>0</v>
      </c>
      <c r="Z136" s="8">
        <v>0</v>
      </c>
      <c r="AA136" s="11">
        <v>0.04</v>
      </c>
      <c r="AB136" s="11">
        <v>1</v>
      </c>
      <c r="AC136" s="11">
        <v>0</v>
      </c>
      <c r="AD136" s="11">
        <v>0</v>
      </c>
    </row>
    <row r="137" customFormat="1" ht="22" customHeight="1" spans="1:30">
      <c r="A137" s="8" t="s">
        <v>31</v>
      </c>
      <c r="B137" s="8" t="str">
        <f>VLOOKUP(E137,[1]Sheet1!$C:$E,2,FALSE)</f>
        <v>徐从众</v>
      </c>
      <c r="C137" s="9" t="str">
        <f>VLOOKUP(E137,[1]Sheet1!$C:$E,3,FALSE)</f>
        <v>A</v>
      </c>
      <c r="D137" s="12" t="s">
        <v>166</v>
      </c>
      <c r="E137" s="13">
        <v>528335964</v>
      </c>
      <c r="F137" s="12">
        <v>4.7</v>
      </c>
      <c r="G137" s="8">
        <v>49</v>
      </c>
      <c r="H137" s="8">
        <v>1569.62</v>
      </c>
      <c r="I137" s="8">
        <v>0</v>
      </c>
      <c r="J137" s="8">
        <v>32.03</v>
      </c>
      <c r="K137" s="8">
        <v>2756</v>
      </c>
      <c r="L137" s="11">
        <v>0.098</v>
      </c>
      <c r="M137" s="11">
        <v>0.177</v>
      </c>
      <c r="N137" s="11">
        <v>0.0173</v>
      </c>
      <c r="O137" s="8">
        <v>0</v>
      </c>
      <c r="P137" s="8">
        <v>0</v>
      </c>
      <c r="Q137" s="8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0.223</v>
      </c>
      <c r="W137" s="8">
        <v>3</v>
      </c>
      <c r="X137" s="8">
        <v>3</v>
      </c>
      <c r="Y137" s="8">
        <v>0</v>
      </c>
      <c r="Z137" s="8">
        <v>0</v>
      </c>
      <c r="AA137" s="11">
        <v>0.0612</v>
      </c>
      <c r="AB137" s="11">
        <v>1</v>
      </c>
      <c r="AC137" s="11">
        <v>0</v>
      </c>
      <c r="AD137" s="11">
        <v>0</v>
      </c>
    </row>
    <row r="138" customFormat="1" ht="22" customHeight="1" spans="1:30">
      <c r="A138" s="8" t="s">
        <v>31</v>
      </c>
      <c r="B138" s="8" t="str">
        <f>VLOOKUP(E138,[1]Sheet1!$C:$E,2,FALSE)</f>
        <v>徐从众</v>
      </c>
      <c r="C138" s="9" t="str">
        <f>VLOOKUP(E138,[1]Sheet1!$C:$E,3,FALSE)</f>
        <v>S</v>
      </c>
      <c r="D138" s="8" t="s">
        <v>167</v>
      </c>
      <c r="E138" s="10">
        <v>529391242</v>
      </c>
      <c r="F138" s="8">
        <v>4.9</v>
      </c>
      <c r="G138" s="8">
        <v>87</v>
      </c>
      <c r="H138" s="8">
        <v>1568.36</v>
      </c>
      <c r="I138" s="8">
        <v>0</v>
      </c>
      <c r="J138" s="8">
        <v>18.03</v>
      </c>
      <c r="K138" s="8">
        <v>1878</v>
      </c>
      <c r="L138" s="11">
        <v>0.089</v>
      </c>
      <c r="M138" s="11">
        <v>0.509</v>
      </c>
      <c r="N138" s="11">
        <v>0.0453</v>
      </c>
      <c r="O138" s="8">
        <v>0</v>
      </c>
      <c r="P138" s="8">
        <v>0</v>
      </c>
      <c r="Q138" s="8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0.352</v>
      </c>
      <c r="W138" s="8">
        <v>1</v>
      </c>
      <c r="X138" s="8">
        <v>1</v>
      </c>
      <c r="Y138" s="8">
        <v>0</v>
      </c>
      <c r="Z138" s="8">
        <v>0</v>
      </c>
      <c r="AA138" s="11">
        <v>0.0115</v>
      </c>
      <c r="AB138" s="11">
        <v>1</v>
      </c>
      <c r="AC138" s="11">
        <v>0</v>
      </c>
      <c r="AD138" s="11">
        <v>0</v>
      </c>
    </row>
    <row r="139" customFormat="1" ht="22" customHeight="1" spans="1:30">
      <c r="A139" s="8" t="s">
        <v>31</v>
      </c>
      <c r="B139" s="8" t="str">
        <f>VLOOKUP(E139,[1]Sheet1!$C:$E,2,FALSE)</f>
        <v>徐从众</v>
      </c>
      <c r="C139" s="9" t="str">
        <f>VLOOKUP(E139,[1]Sheet1!$C:$E,3,FALSE)</f>
        <v>S</v>
      </c>
      <c r="D139" s="8" t="s">
        <v>168</v>
      </c>
      <c r="E139" s="10">
        <v>529740973</v>
      </c>
      <c r="F139" s="8">
        <v>4.9</v>
      </c>
      <c r="G139" s="8">
        <v>89</v>
      </c>
      <c r="H139" s="8">
        <v>1556.74</v>
      </c>
      <c r="I139" s="8">
        <v>0</v>
      </c>
      <c r="J139" s="8">
        <v>17.49</v>
      </c>
      <c r="K139" s="8">
        <v>1975</v>
      </c>
      <c r="L139" s="11">
        <v>0.094</v>
      </c>
      <c r="M139" s="11">
        <v>0.465</v>
      </c>
      <c r="N139" s="11">
        <v>0.0437</v>
      </c>
      <c r="O139" s="8">
        <v>0</v>
      </c>
      <c r="P139" s="8">
        <v>0</v>
      </c>
      <c r="Q139" s="8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0.339</v>
      </c>
      <c r="W139" s="8">
        <v>1</v>
      </c>
      <c r="X139" s="8">
        <v>1</v>
      </c>
      <c r="Y139" s="8">
        <v>0</v>
      </c>
      <c r="Z139" s="8">
        <v>0</v>
      </c>
      <c r="AA139" s="11">
        <v>0.0112</v>
      </c>
      <c r="AB139" s="11">
        <v>1</v>
      </c>
      <c r="AC139" s="11">
        <v>0</v>
      </c>
      <c r="AD139" s="11">
        <v>0</v>
      </c>
    </row>
    <row r="140" customFormat="1" ht="22" customHeight="1" spans="1:30">
      <c r="A140" s="8" t="s">
        <v>31</v>
      </c>
      <c r="B140" s="8" t="str">
        <f>VLOOKUP(E140,[1]Sheet1!$C:$E,2,FALSE)</f>
        <v>岳贝贝</v>
      </c>
      <c r="C140" s="9" t="str">
        <f>VLOOKUP(E140,[1]Sheet1!$C:$E,3,FALSE)</f>
        <v>S</v>
      </c>
      <c r="D140" s="8" t="s">
        <v>169</v>
      </c>
      <c r="E140" s="10">
        <v>1254940906</v>
      </c>
      <c r="F140" s="8">
        <v>4.8</v>
      </c>
      <c r="G140" s="8">
        <v>54</v>
      </c>
      <c r="H140" s="8">
        <v>1546.46</v>
      </c>
      <c r="I140" s="8">
        <v>38.3</v>
      </c>
      <c r="J140" s="8">
        <v>28.64</v>
      </c>
      <c r="K140" s="8">
        <v>5751</v>
      </c>
      <c r="L140" s="11">
        <v>0.069</v>
      </c>
      <c r="M140" s="11">
        <v>0.134</v>
      </c>
      <c r="N140" s="11">
        <v>0.0092</v>
      </c>
      <c r="O140" s="8">
        <v>5158</v>
      </c>
      <c r="P140" s="8">
        <v>593</v>
      </c>
      <c r="Q140" s="8">
        <v>26</v>
      </c>
      <c r="R140" s="11">
        <v>0.061</v>
      </c>
      <c r="S140" s="11">
        <v>0.135</v>
      </c>
      <c r="T140" s="11">
        <v>0.085</v>
      </c>
      <c r="U140" s="11">
        <v>0.325</v>
      </c>
      <c r="V140" s="11">
        <v>0.164</v>
      </c>
      <c r="W140" s="8">
        <v>2</v>
      </c>
      <c r="X140" s="8">
        <v>1</v>
      </c>
      <c r="Y140" s="8">
        <v>0</v>
      </c>
      <c r="Z140" s="8">
        <v>1</v>
      </c>
      <c r="AA140" s="11">
        <v>0.037</v>
      </c>
      <c r="AB140" s="11">
        <v>0.5</v>
      </c>
      <c r="AC140" s="11">
        <v>0</v>
      </c>
      <c r="AD140" s="11">
        <v>0.5</v>
      </c>
    </row>
    <row r="141" customFormat="1" ht="22" customHeight="1" spans="1:30">
      <c r="A141" s="8" t="s">
        <v>31</v>
      </c>
      <c r="B141" s="8" t="e">
        <f>VLOOKUP(E141,[1]Sheet1!$C:$E,2,FALSE)</f>
        <v>#N/A</v>
      </c>
      <c r="C141" s="8" t="e">
        <f>VLOOKUP(E141,[1]Sheet1!$C:$E,3,FALSE)</f>
        <v>#N/A</v>
      </c>
      <c r="D141" s="12" t="s">
        <v>170</v>
      </c>
      <c r="E141" s="13">
        <v>162208501</v>
      </c>
      <c r="F141" s="12">
        <v>4.7</v>
      </c>
      <c r="G141" s="8">
        <v>12</v>
      </c>
      <c r="H141" s="8">
        <v>1539.1</v>
      </c>
      <c r="I141" s="8">
        <v>159.77</v>
      </c>
      <c r="J141" s="8">
        <v>128.26</v>
      </c>
      <c r="K141" s="8">
        <v>1222</v>
      </c>
      <c r="L141" s="11">
        <v>0.072</v>
      </c>
      <c r="M141" s="11">
        <v>0.136</v>
      </c>
      <c r="N141" s="11">
        <v>0.0098</v>
      </c>
      <c r="O141" s="8">
        <v>1047</v>
      </c>
      <c r="P141" s="8">
        <v>175</v>
      </c>
      <c r="Q141" s="8">
        <v>3</v>
      </c>
      <c r="R141" s="11">
        <v>0.067</v>
      </c>
      <c r="S141" s="11">
        <v>0.103</v>
      </c>
      <c r="T141" s="11">
        <v>0.129</v>
      </c>
      <c r="U141" s="11">
        <v>0.167</v>
      </c>
      <c r="V141" s="11">
        <v>0.137</v>
      </c>
      <c r="W141" s="8">
        <v>0</v>
      </c>
      <c r="X141" s="8">
        <v>0</v>
      </c>
      <c r="Y141" s="8">
        <v>0</v>
      </c>
      <c r="Z141" s="8">
        <v>0</v>
      </c>
      <c r="AA141" s="11">
        <v>0</v>
      </c>
      <c r="AB141" s="11">
        <v>0</v>
      </c>
      <c r="AC141" s="11">
        <v>0</v>
      </c>
      <c r="AD141" s="11">
        <v>0</v>
      </c>
    </row>
    <row r="142" customFormat="1" ht="22" customHeight="1" spans="1:30">
      <c r="A142" s="8" t="s">
        <v>31</v>
      </c>
      <c r="B142" s="8" t="str">
        <f>VLOOKUP(E142,[1]Sheet1!$C:$E,2,FALSE)</f>
        <v>徐从众</v>
      </c>
      <c r="C142" s="9" t="str">
        <f>VLOOKUP(E142,[1]Sheet1!$C:$E,3,FALSE)</f>
        <v>S</v>
      </c>
      <c r="D142" s="8" t="s">
        <v>171</v>
      </c>
      <c r="E142" s="10">
        <v>525138508</v>
      </c>
      <c r="F142" s="8">
        <v>5</v>
      </c>
      <c r="G142" s="8">
        <v>98</v>
      </c>
      <c r="H142" s="8">
        <v>1511.96</v>
      </c>
      <c r="I142" s="8">
        <v>0</v>
      </c>
      <c r="J142" s="8">
        <v>15.43</v>
      </c>
      <c r="K142" s="8">
        <v>2286</v>
      </c>
      <c r="L142" s="11">
        <v>0.093</v>
      </c>
      <c r="M142" s="11">
        <v>0.443</v>
      </c>
      <c r="N142" s="11">
        <v>0.0412</v>
      </c>
      <c r="O142" s="8">
        <v>0</v>
      </c>
      <c r="P142" s="8">
        <v>0</v>
      </c>
      <c r="Q142" s="8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0.343</v>
      </c>
      <c r="W142" s="8">
        <v>3</v>
      </c>
      <c r="X142" s="8">
        <v>3</v>
      </c>
      <c r="Y142" s="8">
        <v>0</v>
      </c>
      <c r="Z142" s="8">
        <v>0</v>
      </c>
      <c r="AA142" s="11">
        <v>0.0306</v>
      </c>
      <c r="AB142" s="11">
        <v>1</v>
      </c>
      <c r="AC142" s="11">
        <v>0</v>
      </c>
      <c r="AD142" s="11">
        <v>0</v>
      </c>
    </row>
    <row r="143" customFormat="1" ht="22" customHeight="1" spans="1:30">
      <c r="A143" s="8" t="s">
        <v>31</v>
      </c>
      <c r="B143" s="8" t="str">
        <f>VLOOKUP(E143,[1]Sheet1!$C:$E,2,FALSE)</f>
        <v>刘欢</v>
      </c>
      <c r="C143" s="9" t="str">
        <f>VLOOKUP(E143,[1]Sheet1!$C:$E,3,FALSE)</f>
        <v>A</v>
      </c>
      <c r="D143" s="12" t="s">
        <v>172</v>
      </c>
      <c r="E143" s="13">
        <v>2042444556</v>
      </c>
      <c r="F143" s="12">
        <v>4.7</v>
      </c>
      <c r="G143" s="8">
        <v>26</v>
      </c>
      <c r="H143" s="8">
        <v>1493.12</v>
      </c>
      <c r="I143" s="8">
        <v>65.21</v>
      </c>
      <c r="J143" s="8">
        <v>57.43</v>
      </c>
      <c r="K143" s="8">
        <v>1111</v>
      </c>
      <c r="L143" s="11">
        <v>0.088</v>
      </c>
      <c r="M143" s="11">
        <v>0.265</v>
      </c>
      <c r="N143" s="11">
        <v>0.0233</v>
      </c>
      <c r="O143" s="8">
        <v>628</v>
      </c>
      <c r="P143" s="8">
        <v>483</v>
      </c>
      <c r="Q143" s="8">
        <v>22</v>
      </c>
      <c r="R143" s="11">
        <v>0.059</v>
      </c>
      <c r="S143" s="11">
        <v>0.126</v>
      </c>
      <c r="T143" s="11">
        <v>0.108</v>
      </c>
      <c r="U143" s="11">
        <v>0.361</v>
      </c>
      <c r="V143" s="11">
        <v>0.216</v>
      </c>
      <c r="W143" s="8">
        <v>0</v>
      </c>
      <c r="X143" s="8">
        <v>0</v>
      </c>
      <c r="Y143" s="8">
        <v>0</v>
      </c>
      <c r="Z143" s="8">
        <v>0</v>
      </c>
      <c r="AA143" s="11">
        <v>0</v>
      </c>
      <c r="AB143" s="11">
        <v>0</v>
      </c>
      <c r="AC143" s="11">
        <v>0</v>
      </c>
      <c r="AD143" s="11">
        <v>0</v>
      </c>
    </row>
    <row r="144" customFormat="1" ht="22" customHeight="1" spans="1:30">
      <c r="A144" s="8" t="s">
        <v>31</v>
      </c>
      <c r="B144" s="8" t="str">
        <f>VLOOKUP(E144,[1]Sheet1!$C:$E,2,FALSE)</f>
        <v>徐从众</v>
      </c>
      <c r="C144" s="9" t="str">
        <f>VLOOKUP(E144,[1]Sheet1!$C:$E,3,FALSE)</f>
        <v>A</v>
      </c>
      <c r="D144" s="12" t="s">
        <v>173</v>
      </c>
      <c r="E144" s="13">
        <v>1316164624</v>
      </c>
      <c r="F144" s="12">
        <v>4.4</v>
      </c>
      <c r="G144" s="8">
        <v>49</v>
      </c>
      <c r="H144" s="8">
        <v>1491.12</v>
      </c>
      <c r="I144" s="8">
        <v>36.06</v>
      </c>
      <c r="J144" s="8">
        <v>30.43</v>
      </c>
      <c r="K144" s="8">
        <v>2312</v>
      </c>
      <c r="L144" s="11">
        <v>0.088</v>
      </c>
      <c r="M144" s="11">
        <v>0.235</v>
      </c>
      <c r="N144" s="11">
        <v>0.0207</v>
      </c>
      <c r="O144" s="8">
        <v>1688</v>
      </c>
      <c r="P144" s="8">
        <v>624</v>
      </c>
      <c r="Q144" s="8">
        <v>35</v>
      </c>
      <c r="R144" s="11">
        <v>0.061</v>
      </c>
      <c r="S144" s="11">
        <v>0.162</v>
      </c>
      <c r="T144" s="11">
        <v>0.126</v>
      </c>
      <c r="U144" s="11">
        <v>0.347</v>
      </c>
      <c r="V144" s="11">
        <v>0.291</v>
      </c>
      <c r="W144" s="8">
        <v>0</v>
      </c>
      <c r="X144" s="8">
        <v>0</v>
      </c>
      <c r="Y144" s="8">
        <v>0</v>
      </c>
      <c r="Z144" s="8">
        <v>0</v>
      </c>
      <c r="AA144" s="11">
        <v>0</v>
      </c>
      <c r="AB144" s="11">
        <v>0</v>
      </c>
      <c r="AC144" s="11">
        <v>0</v>
      </c>
      <c r="AD144" s="11">
        <v>0</v>
      </c>
    </row>
    <row r="145" customFormat="1" ht="22" customHeight="1" spans="1:30">
      <c r="A145" s="8" t="s">
        <v>31</v>
      </c>
      <c r="B145" s="8" t="str">
        <f>VLOOKUP(E145,[1]Sheet1!$C:$E,2,FALSE)</f>
        <v>徐从众</v>
      </c>
      <c r="C145" s="9" t="str">
        <f>VLOOKUP(E145,[1]Sheet1!$C:$E,3,FALSE)</f>
        <v>A</v>
      </c>
      <c r="D145" s="12" t="s">
        <v>174</v>
      </c>
      <c r="E145" s="13">
        <v>151686083</v>
      </c>
      <c r="F145" s="12">
        <v>4.7</v>
      </c>
      <c r="G145" s="8">
        <v>25</v>
      </c>
      <c r="H145" s="8">
        <v>1469.56</v>
      </c>
      <c r="I145" s="8">
        <v>74.64</v>
      </c>
      <c r="J145" s="8">
        <v>58.78</v>
      </c>
      <c r="K145" s="8">
        <v>1718</v>
      </c>
      <c r="L145" s="11">
        <v>0.077</v>
      </c>
      <c r="M145" s="11">
        <v>0.189</v>
      </c>
      <c r="N145" s="11">
        <v>0.0146</v>
      </c>
      <c r="O145" s="8">
        <v>1396</v>
      </c>
      <c r="P145" s="8">
        <v>322</v>
      </c>
      <c r="Q145" s="8">
        <v>15</v>
      </c>
      <c r="R145" s="11">
        <v>0.069</v>
      </c>
      <c r="S145" s="11">
        <v>0.112</v>
      </c>
      <c r="T145" s="11">
        <v>0.104</v>
      </c>
      <c r="U145" s="11">
        <v>0.417</v>
      </c>
      <c r="V145" s="11">
        <v>0.189</v>
      </c>
      <c r="W145" s="8">
        <v>1</v>
      </c>
      <c r="X145" s="8">
        <v>0</v>
      </c>
      <c r="Y145" s="8">
        <v>0</v>
      </c>
      <c r="Z145" s="8">
        <v>1</v>
      </c>
      <c r="AA145" s="11">
        <v>0.04</v>
      </c>
      <c r="AB145" s="11">
        <v>0</v>
      </c>
      <c r="AC145" s="11">
        <v>0</v>
      </c>
      <c r="AD145" s="11">
        <v>1</v>
      </c>
    </row>
    <row r="146" customFormat="1" ht="22" customHeight="1" spans="1:30">
      <c r="A146" s="8" t="s">
        <v>31</v>
      </c>
      <c r="B146" s="8" t="str">
        <f>VLOOKUP(E146,[1]Sheet1!$C:$E,2,FALSE)</f>
        <v>徐从众</v>
      </c>
      <c r="C146" s="9" t="str">
        <f>VLOOKUP(E146,[1]Sheet1!$C:$E,3,FALSE)</f>
        <v>S</v>
      </c>
      <c r="D146" s="8" t="s">
        <v>175</v>
      </c>
      <c r="E146" s="10">
        <v>1979109</v>
      </c>
      <c r="F146" s="8">
        <v>4.8</v>
      </c>
      <c r="G146" s="8">
        <v>27</v>
      </c>
      <c r="H146" s="8">
        <v>1456.84</v>
      </c>
      <c r="I146" s="8">
        <v>0</v>
      </c>
      <c r="J146" s="8">
        <v>53.96</v>
      </c>
      <c r="K146" s="8">
        <v>1982</v>
      </c>
      <c r="L146" s="11">
        <v>0.09</v>
      </c>
      <c r="M146" s="11">
        <v>0.146</v>
      </c>
      <c r="N146" s="11">
        <v>0.0131</v>
      </c>
      <c r="O146" s="8">
        <v>0</v>
      </c>
      <c r="P146" s="8">
        <v>0</v>
      </c>
      <c r="Q146" s="8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0.195</v>
      </c>
      <c r="W146" s="8">
        <v>1</v>
      </c>
      <c r="X146" s="8">
        <v>1</v>
      </c>
      <c r="Y146" s="8">
        <v>0</v>
      </c>
      <c r="Z146" s="8">
        <v>0</v>
      </c>
      <c r="AA146" s="11">
        <v>0.037</v>
      </c>
      <c r="AB146" s="11">
        <v>1</v>
      </c>
      <c r="AC146" s="11">
        <v>0</v>
      </c>
      <c r="AD146" s="11">
        <v>0</v>
      </c>
    </row>
    <row r="147" customFormat="1" ht="22" customHeight="1" spans="1:30">
      <c r="A147" s="8" t="s">
        <v>31</v>
      </c>
      <c r="B147" s="8" t="str">
        <f>VLOOKUP(E147,[1]Sheet1!$C:$E,2,FALSE)</f>
        <v>徐从众</v>
      </c>
      <c r="C147" s="9" t="str">
        <f>VLOOKUP(E147,[1]Sheet1!$C:$E,3,FALSE)</f>
        <v>S</v>
      </c>
      <c r="D147" s="8" t="s">
        <v>176</v>
      </c>
      <c r="E147" s="10">
        <v>540956963</v>
      </c>
      <c r="F147" s="8">
        <v>4.9</v>
      </c>
      <c r="G147" s="8">
        <v>84</v>
      </c>
      <c r="H147" s="8">
        <v>1455.53</v>
      </c>
      <c r="I147" s="8">
        <v>0</v>
      </c>
      <c r="J147" s="8">
        <v>17.33</v>
      </c>
      <c r="K147" s="8">
        <v>2197</v>
      </c>
      <c r="L147" s="11">
        <v>0.089</v>
      </c>
      <c r="M147" s="11">
        <v>0.408</v>
      </c>
      <c r="N147" s="11">
        <v>0.0363</v>
      </c>
      <c r="O147" s="8">
        <v>0</v>
      </c>
      <c r="P147" s="8">
        <v>0</v>
      </c>
      <c r="Q147" s="8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0.314</v>
      </c>
      <c r="W147" s="8">
        <v>2</v>
      </c>
      <c r="X147" s="8">
        <v>2</v>
      </c>
      <c r="Y147" s="8">
        <v>0</v>
      </c>
      <c r="Z147" s="8">
        <v>0</v>
      </c>
      <c r="AA147" s="11">
        <v>0.0238</v>
      </c>
      <c r="AB147" s="11">
        <v>1</v>
      </c>
      <c r="AC147" s="11">
        <v>0</v>
      </c>
      <c r="AD147" s="11">
        <v>0</v>
      </c>
    </row>
    <row r="148" customFormat="1" ht="22" customHeight="1" spans="1:30">
      <c r="A148" s="8" t="s">
        <v>31</v>
      </c>
      <c r="B148" s="8" t="str">
        <f>VLOOKUP(E148,[1]Sheet1!$C:$E,2,FALSE)</f>
        <v>徐从众</v>
      </c>
      <c r="C148" s="9" t="str">
        <f>VLOOKUP(E148,[1]Sheet1!$C:$E,3,FALSE)</f>
        <v>S</v>
      </c>
      <c r="D148" s="8" t="s">
        <v>177</v>
      </c>
      <c r="E148" s="10">
        <v>1271448048</v>
      </c>
      <c r="F148" s="8">
        <v>4.9</v>
      </c>
      <c r="G148" s="8">
        <v>73</v>
      </c>
      <c r="H148" s="8">
        <v>1444.11</v>
      </c>
      <c r="I148" s="8">
        <v>0</v>
      </c>
      <c r="J148" s="8">
        <v>19.78</v>
      </c>
      <c r="K148" s="8">
        <v>1408</v>
      </c>
      <c r="L148" s="11">
        <v>0.115</v>
      </c>
      <c r="M148" s="11">
        <v>0.444</v>
      </c>
      <c r="N148" s="11">
        <v>0.0511</v>
      </c>
      <c r="O148" s="8">
        <v>0</v>
      </c>
      <c r="P148" s="8">
        <v>0</v>
      </c>
      <c r="Q148" s="8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0.345</v>
      </c>
      <c r="W148" s="8">
        <v>3</v>
      </c>
      <c r="X148" s="8">
        <v>3</v>
      </c>
      <c r="Y148" s="8">
        <v>0</v>
      </c>
      <c r="Z148" s="8">
        <v>0</v>
      </c>
      <c r="AA148" s="11">
        <v>0.0411</v>
      </c>
      <c r="AB148" s="11">
        <v>1</v>
      </c>
      <c r="AC148" s="11">
        <v>0</v>
      </c>
      <c r="AD148" s="11">
        <v>0</v>
      </c>
    </row>
    <row r="149" customFormat="1" ht="22" customHeight="1" spans="1:30">
      <c r="A149" s="8" t="s">
        <v>31</v>
      </c>
      <c r="B149" s="8" t="str">
        <f>VLOOKUP(E149,[1]Sheet1!$C:$E,2,FALSE)</f>
        <v>岳贝贝</v>
      </c>
      <c r="C149" s="9" t="str">
        <f>VLOOKUP(E149,[1]Sheet1!$C:$E,3,FALSE)</f>
        <v>A</v>
      </c>
      <c r="D149" s="8" t="s">
        <v>178</v>
      </c>
      <c r="E149" s="10">
        <v>1236752136</v>
      </c>
      <c r="F149" s="8">
        <v>4.8</v>
      </c>
      <c r="G149" s="8">
        <v>64</v>
      </c>
      <c r="H149" s="8">
        <v>1436.59</v>
      </c>
      <c r="I149" s="8">
        <v>0</v>
      </c>
      <c r="J149" s="8">
        <v>22.45</v>
      </c>
      <c r="K149" s="8">
        <v>1905</v>
      </c>
      <c r="L149" s="11">
        <v>0.09</v>
      </c>
      <c r="M149" s="11">
        <v>0.372</v>
      </c>
      <c r="N149" s="11">
        <v>0.0335</v>
      </c>
      <c r="O149" s="8">
        <v>0</v>
      </c>
      <c r="P149" s="8">
        <v>0</v>
      </c>
      <c r="Q149" s="8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0.118</v>
      </c>
      <c r="W149" s="8">
        <v>0</v>
      </c>
      <c r="X149" s="8">
        <v>0</v>
      </c>
      <c r="Y149" s="8">
        <v>0</v>
      </c>
      <c r="Z149" s="8">
        <v>0</v>
      </c>
      <c r="AA149" s="11">
        <v>0</v>
      </c>
      <c r="AB149" s="11">
        <v>0</v>
      </c>
      <c r="AC149" s="11">
        <v>0</v>
      </c>
      <c r="AD149" s="11">
        <v>0</v>
      </c>
    </row>
    <row r="150" customFormat="1" ht="22" customHeight="1" spans="1:30">
      <c r="A150" s="8" t="s">
        <v>31</v>
      </c>
      <c r="B150" s="8" t="str">
        <f>VLOOKUP(E150,[1]Sheet1!$C:$E,2,FALSE)</f>
        <v>岳贝贝</v>
      </c>
      <c r="C150" s="8" t="str">
        <f>VLOOKUP(E150,[1]Sheet1!$C:$E,3,FALSE)</f>
        <v>B</v>
      </c>
      <c r="D150" s="12" t="s">
        <v>179</v>
      </c>
      <c r="E150" s="13">
        <v>543442971</v>
      </c>
      <c r="F150" s="12">
        <v>4.5</v>
      </c>
      <c r="G150" s="8">
        <v>65</v>
      </c>
      <c r="H150" s="8">
        <v>1433.35</v>
      </c>
      <c r="I150" s="8">
        <v>28.31</v>
      </c>
      <c r="J150" s="8">
        <v>22.05</v>
      </c>
      <c r="K150" s="8">
        <v>4552</v>
      </c>
      <c r="L150" s="11">
        <v>0.079</v>
      </c>
      <c r="M150" s="11">
        <v>0.175</v>
      </c>
      <c r="N150" s="11">
        <v>0.0138</v>
      </c>
      <c r="O150" s="8">
        <v>3890</v>
      </c>
      <c r="P150" s="8">
        <v>662</v>
      </c>
      <c r="Q150" s="8">
        <v>25</v>
      </c>
      <c r="R150" s="11">
        <v>0.074</v>
      </c>
      <c r="S150" s="11">
        <v>0.112</v>
      </c>
      <c r="T150" s="11">
        <v>0.132</v>
      </c>
      <c r="U150" s="11">
        <v>0.338</v>
      </c>
      <c r="V150" s="11">
        <v>0.177</v>
      </c>
      <c r="W150" s="8">
        <v>0</v>
      </c>
      <c r="X150" s="8">
        <v>0</v>
      </c>
      <c r="Y150" s="8">
        <v>0</v>
      </c>
      <c r="Z150" s="8">
        <v>0</v>
      </c>
      <c r="AA150" s="11">
        <v>0</v>
      </c>
      <c r="AB150" s="11">
        <v>0</v>
      </c>
      <c r="AC150" s="11">
        <v>0</v>
      </c>
      <c r="AD150" s="11">
        <v>0</v>
      </c>
    </row>
    <row r="151" customFormat="1" ht="22" customHeight="1" spans="1:30">
      <c r="A151" s="8" t="s">
        <v>31</v>
      </c>
      <c r="B151" s="8" t="str">
        <f>VLOOKUP(E151,[1]Sheet1!$C:$E,2,FALSE)</f>
        <v>徐从众</v>
      </c>
      <c r="C151" s="9" t="str">
        <f>VLOOKUP(E151,[1]Sheet1!$C:$E,3,FALSE)</f>
        <v>S</v>
      </c>
      <c r="D151" s="12" t="s">
        <v>180</v>
      </c>
      <c r="E151" s="13">
        <v>544795388</v>
      </c>
      <c r="F151" s="12">
        <v>4.7</v>
      </c>
      <c r="G151" s="8">
        <v>69</v>
      </c>
      <c r="H151" s="8">
        <v>1427.53</v>
      </c>
      <c r="I151" s="8">
        <v>26.58</v>
      </c>
      <c r="J151" s="8">
        <v>20.69</v>
      </c>
      <c r="K151" s="8">
        <v>2936</v>
      </c>
      <c r="L151" s="11">
        <v>0.069</v>
      </c>
      <c r="M151" s="11">
        <v>0.328</v>
      </c>
      <c r="N151" s="11">
        <v>0.0226</v>
      </c>
      <c r="O151" s="8">
        <v>2601</v>
      </c>
      <c r="P151" s="8">
        <v>335</v>
      </c>
      <c r="Q151" s="8">
        <v>39</v>
      </c>
      <c r="R151" s="11">
        <v>0.05</v>
      </c>
      <c r="S151" s="11">
        <v>0.221</v>
      </c>
      <c r="T151" s="11">
        <v>0.215</v>
      </c>
      <c r="U151" s="11">
        <v>0.527</v>
      </c>
      <c r="V151" s="11">
        <v>0.336</v>
      </c>
      <c r="W151" s="8">
        <v>1</v>
      </c>
      <c r="X151" s="8">
        <v>1</v>
      </c>
      <c r="Y151" s="8">
        <v>0</v>
      </c>
      <c r="Z151" s="8">
        <v>0</v>
      </c>
      <c r="AA151" s="11">
        <v>0.0145</v>
      </c>
      <c r="AB151" s="11">
        <v>1</v>
      </c>
      <c r="AC151" s="11">
        <v>0</v>
      </c>
      <c r="AD151" s="11">
        <v>0</v>
      </c>
    </row>
    <row r="152" customFormat="1" ht="22" customHeight="1" spans="1:30">
      <c r="A152" s="8" t="s">
        <v>31</v>
      </c>
      <c r="B152" s="8" t="e">
        <f>VLOOKUP(E152,[1]Sheet1!$C:$E,2,FALSE)</f>
        <v>#N/A</v>
      </c>
      <c r="C152" s="8" t="e">
        <f>VLOOKUP(E152,[1]Sheet1!$C:$E,3,FALSE)</f>
        <v>#N/A</v>
      </c>
      <c r="D152" s="8" t="s">
        <v>181</v>
      </c>
      <c r="E152" s="10">
        <v>1246890078</v>
      </c>
      <c r="F152" s="8">
        <v>5</v>
      </c>
      <c r="G152" s="8">
        <v>47</v>
      </c>
      <c r="H152" s="8">
        <v>1425.63</v>
      </c>
      <c r="I152" s="8">
        <v>0</v>
      </c>
      <c r="J152" s="8">
        <v>30.33</v>
      </c>
      <c r="K152" s="8">
        <v>7807</v>
      </c>
      <c r="L152" s="11">
        <v>0.07</v>
      </c>
      <c r="M152" s="11">
        <v>0.086</v>
      </c>
      <c r="N152" s="11">
        <v>0.006</v>
      </c>
      <c r="O152" s="8">
        <v>0</v>
      </c>
      <c r="P152" s="8">
        <v>0</v>
      </c>
      <c r="Q152" s="8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0.12</v>
      </c>
      <c r="W152" s="8">
        <v>1</v>
      </c>
      <c r="X152" s="8">
        <v>1</v>
      </c>
      <c r="Y152" s="8">
        <v>0</v>
      </c>
      <c r="Z152" s="8">
        <v>0</v>
      </c>
      <c r="AA152" s="11">
        <v>0.0213</v>
      </c>
      <c r="AB152" s="11">
        <v>1</v>
      </c>
      <c r="AC152" s="11">
        <v>0</v>
      </c>
      <c r="AD152" s="11">
        <v>0</v>
      </c>
    </row>
    <row r="153" customFormat="1" ht="22" customHeight="1" spans="1:30">
      <c r="A153" s="8" t="s">
        <v>31</v>
      </c>
      <c r="B153" s="8" t="str">
        <f>VLOOKUP(E153,[1]Sheet1!$C:$E,2,FALSE)</f>
        <v>王森</v>
      </c>
      <c r="C153" s="9" t="str">
        <f>VLOOKUP(E153,[1]Sheet1!$C:$E,3,FALSE)</f>
        <v>A</v>
      </c>
      <c r="D153" s="8" t="s">
        <v>182</v>
      </c>
      <c r="E153" s="10">
        <v>532403363</v>
      </c>
      <c r="F153" s="8">
        <v>4.8</v>
      </c>
      <c r="G153" s="8">
        <v>77</v>
      </c>
      <c r="H153" s="8">
        <v>1414.72</v>
      </c>
      <c r="I153" s="8">
        <v>0</v>
      </c>
      <c r="J153" s="8">
        <v>18.37</v>
      </c>
      <c r="K153" s="8">
        <v>4822</v>
      </c>
      <c r="L153" s="11">
        <v>0.09</v>
      </c>
      <c r="M153" s="11">
        <v>0.173</v>
      </c>
      <c r="N153" s="11">
        <v>0.0156</v>
      </c>
      <c r="O153" s="8">
        <v>0</v>
      </c>
      <c r="P153" s="8">
        <v>0</v>
      </c>
      <c r="Q153" s="8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0.212</v>
      </c>
      <c r="W153" s="8">
        <v>3</v>
      </c>
      <c r="X153" s="8">
        <v>3</v>
      </c>
      <c r="Y153" s="8">
        <v>0</v>
      </c>
      <c r="Z153" s="8">
        <v>0</v>
      </c>
      <c r="AA153" s="11">
        <v>0.039</v>
      </c>
      <c r="AB153" s="11">
        <v>1</v>
      </c>
      <c r="AC153" s="11">
        <v>0</v>
      </c>
      <c r="AD153" s="11">
        <v>0</v>
      </c>
    </row>
    <row r="154" customFormat="1" ht="22" customHeight="1" spans="1:30">
      <c r="A154" s="8" t="s">
        <v>31</v>
      </c>
      <c r="B154" s="8" t="str">
        <f>VLOOKUP(E154,[1]Sheet1!$C:$E,2,FALSE)</f>
        <v>刘欢</v>
      </c>
      <c r="C154" s="9" t="str">
        <f>VLOOKUP(E154,[1]Sheet1!$C:$E,3,FALSE)</f>
        <v>A</v>
      </c>
      <c r="D154" s="12" t="s">
        <v>183</v>
      </c>
      <c r="E154" s="13">
        <v>2260213</v>
      </c>
      <c r="F154" s="12">
        <v>4.7</v>
      </c>
      <c r="G154" s="8">
        <v>48</v>
      </c>
      <c r="H154" s="8">
        <v>1392.42</v>
      </c>
      <c r="I154" s="8">
        <v>38.14</v>
      </c>
      <c r="J154" s="8">
        <v>29.01</v>
      </c>
      <c r="K154" s="8">
        <v>1124</v>
      </c>
      <c r="L154" s="11">
        <v>0.128</v>
      </c>
      <c r="M154" s="11">
        <v>0.319</v>
      </c>
      <c r="N154" s="11">
        <v>0.0408</v>
      </c>
      <c r="O154" s="8">
        <v>802</v>
      </c>
      <c r="P154" s="8">
        <v>322</v>
      </c>
      <c r="Q154" s="8">
        <v>31</v>
      </c>
      <c r="R154" s="11">
        <v>0.066</v>
      </c>
      <c r="S154" s="11">
        <v>0.283</v>
      </c>
      <c r="T154" s="11">
        <v>0.283</v>
      </c>
      <c r="U154" s="11">
        <v>0.341</v>
      </c>
      <c r="V154" s="11">
        <v>0.372</v>
      </c>
      <c r="W154" s="8">
        <v>1</v>
      </c>
      <c r="X154" s="8">
        <v>1</v>
      </c>
      <c r="Y154" s="8">
        <v>0</v>
      </c>
      <c r="Z154" s="8">
        <v>0</v>
      </c>
      <c r="AA154" s="11">
        <v>0.0208</v>
      </c>
      <c r="AB154" s="11">
        <v>1</v>
      </c>
      <c r="AC154" s="11">
        <v>0</v>
      </c>
      <c r="AD154" s="11">
        <v>0</v>
      </c>
    </row>
    <row r="155" customFormat="1" ht="22" customHeight="1" spans="1:30">
      <c r="A155" s="8" t="s">
        <v>31</v>
      </c>
      <c r="B155" s="8" t="str">
        <f>VLOOKUP(E155,[1]Sheet1!$C:$E,2,FALSE)</f>
        <v>王森</v>
      </c>
      <c r="C155" s="9" t="str">
        <f>VLOOKUP(E155,[1]Sheet1!$C:$E,3,FALSE)</f>
        <v>A</v>
      </c>
      <c r="D155" s="12" t="s">
        <v>184</v>
      </c>
      <c r="E155" s="13">
        <v>535663523</v>
      </c>
      <c r="F155" s="12">
        <v>4.4</v>
      </c>
      <c r="G155" s="8">
        <v>53</v>
      </c>
      <c r="H155" s="8">
        <v>1392.24</v>
      </c>
      <c r="I155" s="8">
        <v>32.3</v>
      </c>
      <c r="J155" s="8">
        <v>26.27</v>
      </c>
      <c r="K155" s="8">
        <v>5202</v>
      </c>
      <c r="L155" s="11">
        <v>0.082</v>
      </c>
      <c r="M155" s="11">
        <v>0.126</v>
      </c>
      <c r="N155" s="11">
        <v>0.0103</v>
      </c>
      <c r="O155" s="8">
        <v>4074</v>
      </c>
      <c r="P155" s="8">
        <v>1128</v>
      </c>
      <c r="Q155" s="8">
        <v>20</v>
      </c>
      <c r="R155" s="11">
        <v>0.076</v>
      </c>
      <c r="S155" s="11">
        <v>0.105</v>
      </c>
      <c r="T155" s="11">
        <v>0.11</v>
      </c>
      <c r="U155" s="11">
        <v>0.168</v>
      </c>
      <c r="V155" s="11">
        <v>0.168</v>
      </c>
      <c r="W155" s="8">
        <v>4</v>
      </c>
      <c r="X155" s="8">
        <v>3</v>
      </c>
      <c r="Y155" s="8">
        <v>1</v>
      </c>
      <c r="Z155" s="8">
        <v>0</v>
      </c>
      <c r="AA155" s="11">
        <v>0.0755</v>
      </c>
      <c r="AB155" s="11">
        <v>0.75</v>
      </c>
      <c r="AC155" s="11">
        <v>0.25</v>
      </c>
      <c r="AD155" s="11">
        <v>0</v>
      </c>
    </row>
    <row r="156" customFormat="1" ht="22" customHeight="1" spans="1:30">
      <c r="A156" s="8" t="s">
        <v>31</v>
      </c>
      <c r="B156" s="8" t="e">
        <f>VLOOKUP(E156,[1]Sheet1!$C:$E,2,FALSE)</f>
        <v>#N/A</v>
      </c>
      <c r="C156" s="8" t="e">
        <f>VLOOKUP(E156,[1]Sheet1!$C:$E,3,FALSE)</f>
        <v>#N/A</v>
      </c>
      <c r="D156" s="8" t="s">
        <v>185</v>
      </c>
      <c r="E156" s="10">
        <v>545640300</v>
      </c>
      <c r="F156" s="8">
        <v>4.9</v>
      </c>
      <c r="G156" s="8">
        <v>32</v>
      </c>
      <c r="H156" s="8">
        <v>1388.84</v>
      </c>
      <c r="I156" s="8">
        <v>53.8</v>
      </c>
      <c r="J156" s="8">
        <v>43.4</v>
      </c>
      <c r="K156" s="8">
        <v>2544</v>
      </c>
      <c r="L156" s="11">
        <v>0.085</v>
      </c>
      <c r="M156" s="11">
        <v>0.13</v>
      </c>
      <c r="N156" s="11">
        <v>0.0111</v>
      </c>
      <c r="O156" s="8">
        <v>2505</v>
      </c>
      <c r="P156" s="8">
        <v>39</v>
      </c>
      <c r="Q156" s="8">
        <v>3</v>
      </c>
      <c r="R156" s="11">
        <v>0.083</v>
      </c>
      <c r="S156" s="11">
        <v>0.179</v>
      </c>
      <c r="T156" s="11">
        <v>0.12</v>
      </c>
      <c r="U156" s="11">
        <v>0.429</v>
      </c>
      <c r="V156" s="11">
        <v>0.102</v>
      </c>
      <c r="W156" s="8">
        <v>3</v>
      </c>
      <c r="X156" s="8">
        <v>3</v>
      </c>
      <c r="Y156" s="8">
        <v>0</v>
      </c>
      <c r="Z156" s="8">
        <v>0</v>
      </c>
      <c r="AA156" s="11">
        <v>0.0938</v>
      </c>
      <c r="AB156" s="11">
        <v>1</v>
      </c>
      <c r="AC156" s="11">
        <v>0</v>
      </c>
      <c r="AD156" s="11">
        <v>0</v>
      </c>
    </row>
    <row r="157" customFormat="1" ht="22" customHeight="1" spans="1:30">
      <c r="A157" s="8" t="s">
        <v>31</v>
      </c>
      <c r="B157" s="8" t="str">
        <f>VLOOKUP(E157,[1]Sheet1!$C:$E,2,FALSE)</f>
        <v>徐从众</v>
      </c>
      <c r="C157" s="9" t="str">
        <f>VLOOKUP(E157,[1]Sheet1!$C:$E,3,FALSE)</f>
        <v>A</v>
      </c>
      <c r="D157" s="8" t="s">
        <v>186</v>
      </c>
      <c r="E157" s="10">
        <v>510049524</v>
      </c>
      <c r="F157" s="8">
        <v>4.8</v>
      </c>
      <c r="G157" s="8">
        <v>36</v>
      </c>
      <c r="H157" s="8">
        <v>1379.31</v>
      </c>
      <c r="I157" s="8">
        <v>0</v>
      </c>
      <c r="J157" s="8">
        <v>38.31</v>
      </c>
      <c r="K157" s="8">
        <v>1985</v>
      </c>
      <c r="L157" s="11">
        <v>0.068</v>
      </c>
      <c r="M157" s="11">
        <v>0.259</v>
      </c>
      <c r="N157" s="11">
        <v>0.0176</v>
      </c>
      <c r="O157" s="8">
        <v>0</v>
      </c>
      <c r="P157" s="8">
        <v>0</v>
      </c>
      <c r="Q157" s="8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0.173</v>
      </c>
      <c r="W157" s="8">
        <v>4</v>
      </c>
      <c r="X157" s="8">
        <v>4</v>
      </c>
      <c r="Y157" s="8">
        <v>0</v>
      </c>
      <c r="Z157" s="8">
        <v>0</v>
      </c>
      <c r="AA157" s="11">
        <v>0.1111</v>
      </c>
      <c r="AB157" s="11">
        <v>1</v>
      </c>
      <c r="AC157" s="11">
        <v>0</v>
      </c>
      <c r="AD157" s="11">
        <v>0</v>
      </c>
    </row>
    <row r="158" customFormat="1" ht="22" customHeight="1" spans="1:30">
      <c r="A158" s="8" t="s">
        <v>31</v>
      </c>
      <c r="B158" s="8" t="str">
        <f>VLOOKUP(E158,[1]Sheet1!$C:$E,2,FALSE)</f>
        <v>徐从众</v>
      </c>
      <c r="C158" s="9" t="str">
        <f>VLOOKUP(E158,[1]Sheet1!$C:$E,3,FALSE)</f>
        <v>A</v>
      </c>
      <c r="D158" s="12" t="s">
        <v>187</v>
      </c>
      <c r="E158" s="13">
        <v>1334891154</v>
      </c>
      <c r="F158" s="12">
        <v>4.5</v>
      </c>
      <c r="G158" s="8">
        <v>55</v>
      </c>
      <c r="H158" s="8">
        <v>1377.83</v>
      </c>
      <c r="I158" s="8">
        <v>32.62</v>
      </c>
      <c r="J158" s="8">
        <v>25.05</v>
      </c>
      <c r="K158" s="8">
        <v>2624</v>
      </c>
      <c r="L158" s="11">
        <v>0.082</v>
      </c>
      <c r="M158" s="11">
        <v>0.251</v>
      </c>
      <c r="N158" s="11">
        <v>0.0206</v>
      </c>
      <c r="O158" s="8">
        <v>2337</v>
      </c>
      <c r="P158" s="8">
        <v>287</v>
      </c>
      <c r="Q158" s="8">
        <v>23</v>
      </c>
      <c r="R158" s="11">
        <v>0.069</v>
      </c>
      <c r="S158" s="11">
        <v>0.185</v>
      </c>
      <c r="T158" s="11">
        <v>0.191</v>
      </c>
      <c r="U158" s="11">
        <v>0.434</v>
      </c>
      <c r="V158" s="11">
        <v>0.235</v>
      </c>
      <c r="W158" s="8">
        <v>3</v>
      </c>
      <c r="X158" s="8">
        <v>2</v>
      </c>
      <c r="Y158" s="8">
        <v>1</v>
      </c>
      <c r="Z158" s="8">
        <v>0</v>
      </c>
      <c r="AA158" s="11">
        <v>0.0545</v>
      </c>
      <c r="AB158" s="11">
        <v>0.6667</v>
      </c>
      <c r="AC158" s="11">
        <v>0.3333</v>
      </c>
      <c r="AD158" s="11">
        <v>0</v>
      </c>
    </row>
    <row r="159" customFormat="1" ht="22" customHeight="1" spans="1:30">
      <c r="A159" s="8" t="s">
        <v>31</v>
      </c>
      <c r="B159" s="8" t="str">
        <f>VLOOKUP(E159,[1]Sheet1!$C:$E,2,FALSE)</f>
        <v>徐从众</v>
      </c>
      <c r="C159" s="9" t="str">
        <f>VLOOKUP(E159,[1]Sheet1!$C:$E,3,FALSE)</f>
        <v>A</v>
      </c>
      <c r="D159" s="8" t="s">
        <v>188</v>
      </c>
      <c r="E159" s="10">
        <v>526052538</v>
      </c>
      <c r="F159" s="8">
        <v>4.9</v>
      </c>
      <c r="G159" s="8">
        <v>29</v>
      </c>
      <c r="H159" s="8">
        <v>1367.19</v>
      </c>
      <c r="I159" s="8">
        <v>0</v>
      </c>
      <c r="J159" s="8">
        <v>47.14</v>
      </c>
      <c r="K159" s="8">
        <v>1799</v>
      </c>
      <c r="L159" s="11">
        <v>0.091</v>
      </c>
      <c r="M159" s="11">
        <v>0.178</v>
      </c>
      <c r="N159" s="11">
        <v>0.0162</v>
      </c>
      <c r="O159" s="8">
        <v>0</v>
      </c>
      <c r="P159" s="8">
        <v>0</v>
      </c>
      <c r="Q159" s="8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0.191</v>
      </c>
      <c r="W159" s="8">
        <v>1</v>
      </c>
      <c r="X159" s="8">
        <v>1</v>
      </c>
      <c r="Y159" s="8">
        <v>0</v>
      </c>
      <c r="Z159" s="8">
        <v>0</v>
      </c>
      <c r="AA159" s="11">
        <v>0.0345</v>
      </c>
      <c r="AB159" s="11">
        <v>1</v>
      </c>
      <c r="AC159" s="11">
        <v>0</v>
      </c>
      <c r="AD159" s="11">
        <v>0</v>
      </c>
    </row>
    <row r="160" customFormat="1" ht="22" customHeight="1" spans="1:30">
      <c r="A160" s="8" t="s">
        <v>31</v>
      </c>
      <c r="B160" s="8" t="str">
        <f>VLOOKUP(E160,[1]Sheet1!$C:$E,2,FALSE)</f>
        <v>徐从众</v>
      </c>
      <c r="C160" s="9" t="str">
        <f>VLOOKUP(E160,[1]Sheet1!$C:$E,3,FALSE)</f>
        <v>S</v>
      </c>
      <c r="D160" s="8" t="s">
        <v>189</v>
      </c>
      <c r="E160" s="10">
        <v>528771670</v>
      </c>
      <c r="F160" s="8">
        <v>4.9</v>
      </c>
      <c r="G160" s="8">
        <v>81</v>
      </c>
      <c r="H160" s="8">
        <v>1352.58</v>
      </c>
      <c r="I160" s="8">
        <v>0</v>
      </c>
      <c r="J160" s="8">
        <v>16.7</v>
      </c>
      <c r="K160" s="8">
        <v>2155</v>
      </c>
      <c r="L160" s="11">
        <v>0.09</v>
      </c>
      <c r="M160" s="11">
        <v>0.399</v>
      </c>
      <c r="N160" s="11">
        <v>0.0359</v>
      </c>
      <c r="O160" s="8">
        <v>0</v>
      </c>
      <c r="P160" s="8">
        <v>0</v>
      </c>
      <c r="Q160" s="8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0.359</v>
      </c>
      <c r="W160" s="8">
        <v>0</v>
      </c>
      <c r="X160" s="8">
        <v>0</v>
      </c>
      <c r="Y160" s="8">
        <v>0</v>
      </c>
      <c r="Z160" s="8">
        <v>0</v>
      </c>
      <c r="AA160" s="11">
        <v>0</v>
      </c>
      <c r="AB160" s="11">
        <v>0</v>
      </c>
      <c r="AC160" s="11">
        <v>0</v>
      </c>
      <c r="AD160" s="11">
        <v>0</v>
      </c>
    </row>
    <row r="161" customFormat="1" ht="22" customHeight="1" spans="1:30">
      <c r="A161" s="8" t="s">
        <v>31</v>
      </c>
      <c r="B161" s="8" t="str">
        <f>VLOOKUP(E161,[1]Sheet1!$C:$E,2,FALSE)</f>
        <v>王森</v>
      </c>
      <c r="C161" s="9" t="str">
        <f>VLOOKUP(E161,[1]Sheet1!$C:$E,3,FALSE)</f>
        <v>A</v>
      </c>
      <c r="D161" s="8" t="s">
        <v>190</v>
      </c>
      <c r="E161" s="10">
        <v>2062938618</v>
      </c>
      <c r="F161" s="8">
        <v>4.9</v>
      </c>
      <c r="G161" s="8">
        <v>17</v>
      </c>
      <c r="H161" s="8">
        <v>1350.59</v>
      </c>
      <c r="I161" s="8">
        <v>98.1</v>
      </c>
      <c r="J161" s="8">
        <v>79.45</v>
      </c>
      <c r="K161" s="8">
        <v>936</v>
      </c>
      <c r="L161" s="11">
        <v>0.09</v>
      </c>
      <c r="M161" s="11">
        <v>0.202</v>
      </c>
      <c r="N161" s="11">
        <v>0.0182</v>
      </c>
      <c r="O161" s="8">
        <v>709</v>
      </c>
      <c r="P161" s="8">
        <v>227</v>
      </c>
      <c r="Q161" s="8">
        <v>9</v>
      </c>
      <c r="R161" s="11">
        <v>0.075</v>
      </c>
      <c r="S161" s="11">
        <v>0.137</v>
      </c>
      <c r="T161" s="11">
        <v>0.151</v>
      </c>
      <c r="U161" s="11">
        <v>0.29</v>
      </c>
      <c r="V161" s="11">
        <v>0.252</v>
      </c>
      <c r="W161" s="8">
        <v>0</v>
      </c>
      <c r="X161" s="8">
        <v>0</v>
      </c>
      <c r="Y161" s="8">
        <v>0</v>
      </c>
      <c r="Z161" s="8">
        <v>0</v>
      </c>
      <c r="AA161" s="11">
        <v>0</v>
      </c>
      <c r="AB161" s="11">
        <v>0</v>
      </c>
      <c r="AC161" s="11">
        <v>0</v>
      </c>
      <c r="AD161" s="11">
        <v>0</v>
      </c>
    </row>
    <row r="162" customFormat="1" ht="22" customHeight="1" spans="1:30">
      <c r="A162" s="8" t="s">
        <v>31</v>
      </c>
      <c r="B162" s="8" t="str">
        <f>VLOOKUP(E162,[1]Sheet1!$C:$E,2,FALSE)</f>
        <v>刘欢</v>
      </c>
      <c r="C162" s="9" t="str">
        <f>VLOOKUP(E162,[1]Sheet1!$C:$E,3,FALSE)</f>
        <v>A</v>
      </c>
      <c r="D162" s="8" t="s">
        <v>191</v>
      </c>
      <c r="E162" s="10">
        <v>156937275</v>
      </c>
      <c r="F162" s="8">
        <v>4.9</v>
      </c>
      <c r="G162" s="8">
        <v>35</v>
      </c>
      <c r="H162" s="8">
        <v>1346.69</v>
      </c>
      <c r="I162" s="8">
        <v>0</v>
      </c>
      <c r="J162" s="8">
        <v>38.48</v>
      </c>
      <c r="K162" s="8">
        <v>1490</v>
      </c>
      <c r="L162" s="11">
        <v>0.087</v>
      </c>
      <c r="M162" s="11">
        <v>0.271</v>
      </c>
      <c r="N162" s="11">
        <v>0.0236</v>
      </c>
      <c r="O162" s="8">
        <v>0</v>
      </c>
      <c r="P162" s="8">
        <v>0</v>
      </c>
      <c r="Q162" s="8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0.167</v>
      </c>
      <c r="W162" s="8">
        <v>1</v>
      </c>
      <c r="X162" s="8">
        <v>1</v>
      </c>
      <c r="Y162" s="8">
        <v>0</v>
      </c>
      <c r="Z162" s="8">
        <v>0</v>
      </c>
      <c r="AA162" s="11">
        <v>0.0286</v>
      </c>
      <c r="AB162" s="11">
        <v>1</v>
      </c>
      <c r="AC162" s="11">
        <v>0</v>
      </c>
      <c r="AD162" s="11">
        <v>0</v>
      </c>
    </row>
    <row r="163" customFormat="1" ht="22" customHeight="1" spans="1:30">
      <c r="A163" s="8" t="s">
        <v>31</v>
      </c>
      <c r="B163" s="8" t="str">
        <f>VLOOKUP(E163,[1]Sheet1!$C:$E,2,FALSE)</f>
        <v>岳贝贝</v>
      </c>
      <c r="C163" s="9" t="str">
        <f>VLOOKUP(E163,[1]Sheet1!$C:$E,3,FALSE)</f>
        <v>A</v>
      </c>
      <c r="D163" s="12" t="s">
        <v>192</v>
      </c>
      <c r="E163" s="13">
        <v>161874716</v>
      </c>
      <c r="F163" s="12">
        <v>4.6</v>
      </c>
      <c r="G163" s="8">
        <v>58</v>
      </c>
      <c r="H163" s="8">
        <v>1342.87</v>
      </c>
      <c r="I163" s="8">
        <v>0</v>
      </c>
      <c r="J163" s="8">
        <v>23.15</v>
      </c>
      <c r="K163" s="8">
        <v>1986</v>
      </c>
      <c r="L163" s="11">
        <v>0.071</v>
      </c>
      <c r="M163" s="11">
        <v>0.397</v>
      </c>
      <c r="N163" s="11">
        <v>0.0282</v>
      </c>
      <c r="O163" s="8">
        <v>0</v>
      </c>
      <c r="P163" s="8">
        <v>0</v>
      </c>
      <c r="Q163" s="8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0.138</v>
      </c>
      <c r="W163" s="8">
        <v>2</v>
      </c>
      <c r="X163" s="8">
        <v>2</v>
      </c>
      <c r="Y163" s="8">
        <v>0</v>
      </c>
      <c r="Z163" s="8">
        <v>0</v>
      </c>
      <c r="AA163" s="11">
        <v>0.0345</v>
      </c>
      <c r="AB163" s="11">
        <v>1</v>
      </c>
      <c r="AC163" s="11">
        <v>0</v>
      </c>
      <c r="AD163" s="11">
        <v>0</v>
      </c>
    </row>
    <row r="164" customFormat="1" ht="22" customHeight="1" spans="1:30">
      <c r="A164" s="8" t="s">
        <v>31</v>
      </c>
      <c r="B164" s="8" t="str">
        <f>VLOOKUP(E164,[1]Sheet1!$C:$E,2,FALSE)</f>
        <v>徐从众</v>
      </c>
      <c r="C164" s="9" t="str">
        <f>VLOOKUP(E164,[1]Sheet1!$C:$E,3,FALSE)</f>
        <v>S</v>
      </c>
      <c r="D164" s="8" t="s">
        <v>193</v>
      </c>
      <c r="E164" s="10">
        <v>1284394720</v>
      </c>
      <c r="F164" s="8">
        <v>4.9</v>
      </c>
      <c r="G164" s="8">
        <v>76</v>
      </c>
      <c r="H164" s="8">
        <v>1340.67</v>
      </c>
      <c r="I164" s="8">
        <v>0</v>
      </c>
      <c r="J164" s="8">
        <v>17.64</v>
      </c>
      <c r="K164" s="8">
        <v>2177</v>
      </c>
      <c r="L164" s="11">
        <v>0.091</v>
      </c>
      <c r="M164" s="11">
        <v>0.377</v>
      </c>
      <c r="N164" s="11">
        <v>0.0343</v>
      </c>
      <c r="O164" s="8">
        <v>0</v>
      </c>
      <c r="P164" s="8">
        <v>0</v>
      </c>
      <c r="Q164" s="8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0.382</v>
      </c>
      <c r="W164" s="8">
        <v>2</v>
      </c>
      <c r="X164" s="8">
        <v>2</v>
      </c>
      <c r="Y164" s="8">
        <v>0</v>
      </c>
      <c r="Z164" s="8">
        <v>0</v>
      </c>
      <c r="AA164" s="11">
        <v>0.0263</v>
      </c>
      <c r="AB164" s="11">
        <v>1</v>
      </c>
      <c r="AC164" s="11">
        <v>0</v>
      </c>
      <c r="AD164" s="11">
        <v>0</v>
      </c>
    </row>
    <row r="165" customFormat="1" ht="22" customHeight="1" spans="1:30">
      <c r="A165" s="8" t="s">
        <v>31</v>
      </c>
      <c r="B165" s="8" t="str">
        <f>VLOOKUP(E165,[1]Sheet1!$C:$E,2,FALSE)</f>
        <v>岳贝贝</v>
      </c>
      <c r="C165" s="9" t="str">
        <f>VLOOKUP(E165,[1]Sheet1!$C:$E,3,FALSE)</f>
        <v>A</v>
      </c>
      <c r="D165" s="8" t="s">
        <v>194</v>
      </c>
      <c r="E165" s="10">
        <v>1206081535</v>
      </c>
      <c r="F165" s="8">
        <v>4.8</v>
      </c>
      <c r="G165" s="8">
        <v>19</v>
      </c>
      <c r="H165" s="8">
        <v>1329.46</v>
      </c>
      <c r="I165" s="8">
        <v>82.91</v>
      </c>
      <c r="J165" s="8">
        <v>69.97</v>
      </c>
      <c r="K165" s="8">
        <v>1825</v>
      </c>
      <c r="L165" s="11">
        <v>0.062</v>
      </c>
      <c r="M165" s="11">
        <v>0.167</v>
      </c>
      <c r="N165" s="11">
        <v>0.0104</v>
      </c>
      <c r="O165" s="8">
        <v>1384</v>
      </c>
      <c r="P165" s="8">
        <v>441</v>
      </c>
      <c r="Q165" s="8">
        <v>9</v>
      </c>
      <c r="R165" s="11">
        <v>0.056</v>
      </c>
      <c r="S165" s="11">
        <v>0.082</v>
      </c>
      <c r="T165" s="11">
        <v>0.128</v>
      </c>
      <c r="U165" s="11">
        <v>0.25</v>
      </c>
      <c r="V165" s="11">
        <v>0.192</v>
      </c>
      <c r="W165" s="8">
        <v>0</v>
      </c>
      <c r="X165" s="8">
        <v>0</v>
      </c>
      <c r="Y165" s="8">
        <v>0</v>
      </c>
      <c r="Z165" s="8">
        <v>0</v>
      </c>
      <c r="AA165" s="11">
        <v>0</v>
      </c>
      <c r="AB165" s="11">
        <v>0</v>
      </c>
      <c r="AC165" s="11">
        <v>0</v>
      </c>
      <c r="AD165" s="11">
        <v>0</v>
      </c>
    </row>
    <row r="166" customFormat="1" ht="22" customHeight="1" spans="1:30">
      <c r="A166" s="8" t="s">
        <v>31</v>
      </c>
      <c r="B166" s="8" t="e">
        <f>VLOOKUP(E166,[1]Sheet1!$C:$E,2,FALSE)</f>
        <v>#N/A</v>
      </c>
      <c r="C166" s="8" t="e">
        <f>VLOOKUP(E166,[1]Sheet1!$C:$E,3,FALSE)</f>
        <v>#N/A</v>
      </c>
      <c r="D166" s="12" t="s">
        <v>195</v>
      </c>
      <c r="E166" s="13">
        <v>543267635</v>
      </c>
      <c r="F166" s="12">
        <v>4.4</v>
      </c>
      <c r="G166" s="8">
        <v>64</v>
      </c>
      <c r="H166" s="8">
        <v>1321.32</v>
      </c>
      <c r="I166" s="8">
        <v>28.53</v>
      </c>
      <c r="J166" s="8">
        <v>20.65</v>
      </c>
      <c r="K166" s="8">
        <v>5361</v>
      </c>
      <c r="L166" s="11">
        <v>0.055</v>
      </c>
      <c r="M166" s="11">
        <v>0.219</v>
      </c>
      <c r="N166" s="11">
        <v>0.012</v>
      </c>
      <c r="O166" s="8">
        <v>5071</v>
      </c>
      <c r="P166" s="8">
        <v>290</v>
      </c>
      <c r="Q166" s="8">
        <v>9</v>
      </c>
      <c r="R166" s="11">
        <v>0.053</v>
      </c>
      <c r="S166" s="11">
        <v>0.09</v>
      </c>
      <c r="T166" s="11">
        <v>0.207</v>
      </c>
      <c r="U166" s="11">
        <v>0.346</v>
      </c>
      <c r="V166" s="11">
        <v>0.069</v>
      </c>
      <c r="W166" s="8">
        <v>7</v>
      </c>
      <c r="X166" s="8">
        <v>7</v>
      </c>
      <c r="Y166" s="8">
        <v>0</v>
      </c>
      <c r="Z166" s="8">
        <v>0</v>
      </c>
      <c r="AA166" s="11">
        <v>0.1094</v>
      </c>
      <c r="AB166" s="11">
        <v>1</v>
      </c>
      <c r="AC166" s="11">
        <v>0</v>
      </c>
      <c r="AD166" s="11">
        <v>0</v>
      </c>
    </row>
    <row r="167" customFormat="1" ht="22" customHeight="1" spans="1:30">
      <c r="A167" s="8" t="s">
        <v>31</v>
      </c>
      <c r="B167" s="8" t="str">
        <f>VLOOKUP(E167,[1]Sheet1!$C:$E,2,FALSE)</f>
        <v>岳贝贝</v>
      </c>
      <c r="C167" s="8" t="str">
        <f>VLOOKUP(E167,[1]Sheet1!$C:$E,3,FALSE)</f>
        <v>B</v>
      </c>
      <c r="D167" s="8" t="s">
        <v>196</v>
      </c>
      <c r="E167" s="10">
        <v>1297201658</v>
      </c>
      <c r="F167" s="8">
        <v>4.9</v>
      </c>
      <c r="G167" s="8">
        <v>44</v>
      </c>
      <c r="H167" s="8">
        <v>1320.2</v>
      </c>
      <c r="I167" s="8">
        <v>35.56</v>
      </c>
      <c r="J167" s="8">
        <v>30</v>
      </c>
      <c r="K167" s="8">
        <v>1563</v>
      </c>
      <c r="L167" s="11">
        <v>0.084</v>
      </c>
      <c r="M167" s="11">
        <v>0.336</v>
      </c>
      <c r="N167" s="11">
        <v>0.0282</v>
      </c>
      <c r="O167" s="8">
        <v>1216</v>
      </c>
      <c r="P167" s="8">
        <v>347</v>
      </c>
      <c r="Q167" s="8">
        <v>24</v>
      </c>
      <c r="R167" s="11">
        <v>0.067</v>
      </c>
      <c r="S167" s="11">
        <v>0.144</v>
      </c>
      <c r="T167" s="11">
        <v>0.247</v>
      </c>
      <c r="U167" s="11">
        <v>0.48</v>
      </c>
      <c r="V167" s="11">
        <v>0.274</v>
      </c>
      <c r="W167" s="8">
        <v>3</v>
      </c>
      <c r="X167" s="8">
        <v>2</v>
      </c>
      <c r="Y167" s="8">
        <v>0</v>
      </c>
      <c r="Z167" s="8">
        <v>1</v>
      </c>
      <c r="AA167" s="11">
        <v>0.0682</v>
      </c>
      <c r="AB167" s="11">
        <v>0.6667</v>
      </c>
      <c r="AC167" s="11">
        <v>0</v>
      </c>
      <c r="AD167" s="11">
        <v>0.3333</v>
      </c>
    </row>
    <row r="168" customFormat="1" ht="22" customHeight="1" spans="1:30">
      <c r="A168" s="8" t="s">
        <v>31</v>
      </c>
      <c r="B168" s="8" t="str">
        <f>VLOOKUP(E168,[1]Sheet1!$C:$E,2,FALSE)</f>
        <v>刘欢</v>
      </c>
      <c r="C168" s="8" t="str">
        <f>VLOOKUP(E168,[1]Sheet1!$C:$E,3,FALSE)</f>
        <v>C</v>
      </c>
      <c r="D168" s="8" t="s">
        <v>197</v>
      </c>
      <c r="E168" s="10">
        <v>519415529</v>
      </c>
      <c r="F168" s="8">
        <v>4.9</v>
      </c>
      <c r="G168" s="8">
        <v>99</v>
      </c>
      <c r="H168" s="8">
        <v>1312.36</v>
      </c>
      <c r="I168" s="8">
        <v>19.25</v>
      </c>
      <c r="J168" s="8">
        <v>13.26</v>
      </c>
      <c r="K168" s="8">
        <v>1830</v>
      </c>
      <c r="L168" s="11">
        <v>0.112</v>
      </c>
      <c r="M168" s="11">
        <v>0.468</v>
      </c>
      <c r="N168" s="11">
        <v>0.0524</v>
      </c>
      <c r="O168" s="8">
        <v>1358</v>
      </c>
      <c r="P168" s="8">
        <v>472</v>
      </c>
      <c r="Q168" s="8">
        <v>68</v>
      </c>
      <c r="R168" s="11">
        <v>0.079</v>
      </c>
      <c r="S168" s="11">
        <v>0.208</v>
      </c>
      <c r="T168" s="11">
        <v>0.262</v>
      </c>
      <c r="U168" s="11">
        <v>0.694</v>
      </c>
      <c r="V168" s="11">
        <v>0.342</v>
      </c>
      <c r="W168" s="8">
        <v>1</v>
      </c>
      <c r="X168" s="8">
        <v>1</v>
      </c>
      <c r="Y168" s="8">
        <v>0</v>
      </c>
      <c r="Z168" s="8">
        <v>0</v>
      </c>
      <c r="AA168" s="11">
        <v>0.0101</v>
      </c>
      <c r="AB168" s="11">
        <v>1</v>
      </c>
      <c r="AC168" s="11">
        <v>0</v>
      </c>
      <c r="AD168" s="11">
        <v>0</v>
      </c>
    </row>
    <row r="169" customFormat="1" ht="22" customHeight="1" spans="1:30">
      <c r="A169" s="8" t="s">
        <v>31</v>
      </c>
      <c r="B169" s="8" t="str">
        <f>VLOOKUP(E169,[1]Sheet1!$C:$E,2,FALSE)</f>
        <v>徐从众</v>
      </c>
      <c r="C169" s="9" t="str">
        <f>VLOOKUP(E169,[1]Sheet1!$C:$E,3,FALSE)</f>
        <v>A</v>
      </c>
      <c r="D169" s="8" t="s">
        <v>198</v>
      </c>
      <c r="E169" s="10">
        <v>529435065</v>
      </c>
      <c r="F169" s="8">
        <v>4.8</v>
      </c>
      <c r="G169" s="8">
        <v>35</v>
      </c>
      <c r="H169" s="8">
        <v>1294.25</v>
      </c>
      <c r="I169" s="8">
        <v>0</v>
      </c>
      <c r="J169" s="8">
        <v>36.98</v>
      </c>
      <c r="K169" s="8">
        <v>2080</v>
      </c>
      <c r="L169" s="11">
        <v>0.107</v>
      </c>
      <c r="M169" s="11">
        <v>0.153</v>
      </c>
      <c r="N169" s="11">
        <v>0.0164</v>
      </c>
      <c r="O169" s="8">
        <v>0</v>
      </c>
      <c r="P169" s="8">
        <v>0</v>
      </c>
      <c r="Q169" s="8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0.176</v>
      </c>
      <c r="W169" s="8">
        <v>2</v>
      </c>
      <c r="X169" s="8">
        <v>2</v>
      </c>
      <c r="Y169" s="8">
        <v>0</v>
      </c>
      <c r="Z169" s="8">
        <v>0</v>
      </c>
      <c r="AA169" s="11">
        <v>0.0571</v>
      </c>
      <c r="AB169" s="11">
        <v>1</v>
      </c>
      <c r="AC169" s="11">
        <v>0</v>
      </c>
      <c r="AD169" s="11">
        <v>0</v>
      </c>
    </row>
    <row r="170" customFormat="1" ht="22" customHeight="1" spans="1:30">
      <c r="A170" s="8" t="s">
        <v>31</v>
      </c>
      <c r="B170" s="8" t="str">
        <f>VLOOKUP(E170,[1]Sheet1!$C:$E,2,FALSE)</f>
        <v>岳贝贝</v>
      </c>
      <c r="C170" s="9" t="str">
        <f>VLOOKUP(E170,[1]Sheet1!$C:$E,3,FALSE)</f>
        <v>A</v>
      </c>
      <c r="D170" s="12" t="s">
        <v>199</v>
      </c>
      <c r="E170" s="13">
        <v>544750002</v>
      </c>
      <c r="F170" s="12">
        <v>4.5</v>
      </c>
      <c r="G170" s="8">
        <v>35</v>
      </c>
      <c r="H170" s="8">
        <v>1281.6</v>
      </c>
      <c r="I170" s="8">
        <v>47.23</v>
      </c>
      <c r="J170" s="8">
        <v>36.62</v>
      </c>
      <c r="K170" s="8">
        <v>3802</v>
      </c>
      <c r="L170" s="11">
        <v>0.057</v>
      </c>
      <c r="M170" s="11">
        <v>0.162</v>
      </c>
      <c r="N170" s="11">
        <v>0.0092</v>
      </c>
      <c r="O170" s="8">
        <v>3411</v>
      </c>
      <c r="P170" s="8">
        <v>391</v>
      </c>
      <c r="Q170" s="8">
        <v>14</v>
      </c>
      <c r="R170" s="11">
        <v>0.052</v>
      </c>
      <c r="S170" s="11">
        <v>0.095</v>
      </c>
      <c r="T170" s="11">
        <v>0.117</v>
      </c>
      <c r="U170" s="11">
        <v>0.378</v>
      </c>
      <c r="V170" s="11">
        <v>0.202</v>
      </c>
      <c r="W170" s="8">
        <v>0</v>
      </c>
      <c r="X170" s="8">
        <v>0</v>
      </c>
      <c r="Y170" s="8">
        <v>0</v>
      </c>
      <c r="Z170" s="8">
        <v>0</v>
      </c>
      <c r="AA170" s="11">
        <v>0</v>
      </c>
      <c r="AB170" s="11">
        <v>0</v>
      </c>
      <c r="AC170" s="11">
        <v>0</v>
      </c>
      <c r="AD170" s="11">
        <v>0</v>
      </c>
    </row>
    <row r="171" customFormat="1" ht="22" customHeight="1" spans="1:30">
      <c r="A171" s="8" t="s">
        <v>31</v>
      </c>
      <c r="B171" s="8" t="str">
        <f>VLOOKUP(E171,[1]Sheet1!$C:$E,2,FALSE)</f>
        <v>徐从众</v>
      </c>
      <c r="C171" s="9" t="str">
        <f>VLOOKUP(E171,[1]Sheet1!$C:$E,3,FALSE)</f>
        <v>S</v>
      </c>
      <c r="D171" s="8" t="s">
        <v>200</v>
      </c>
      <c r="E171" s="10">
        <v>536070662</v>
      </c>
      <c r="F171" s="8">
        <v>4.9</v>
      </c>
      <c r="G171" s="8">
        <v>59</v>
      </c>
      <c r="H171" s="8">
        <v>1271.13</v>
      </c>
      <c r="I171" s="8">
        <v>0</v>
      </c>
      <c r="J171" s="8">
        <v>21.54</v>
      </c>
      <c r="K171" s="8">
        <v>2299</v>
      </c>
      <c r="L171" s="11">
        <v>0.073</v>
      </c>
      <c r="M171" s="11">
        <v>0.327</v>
      </c>
      <c r="N171" s="11">
        <v>0.0239</v>
      </c>
      <c r="O171" s="8">
        <v>0</v>
      </c>
      <c r="P171" s="8">
        <v>0</v>
      </c>
      <c r="Q171" s="8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0.369</v>
      </c>
      <c r="W171" s="8">
        <v>2</v>
      </c>
      <c r="X171" s="8">
        <v>2</v>
      </c>
      <c r="Y171" s="8">
        <v>0</v>
      </c>
      <c r="Z171" s="8">
        <v>0</v>
      </c>
      <c r="AA171" s="11">
        <v>0.0339</v>
      </c>
      <c r="AB171" s="11">
        <v>1</v>
      </c>
      <c r="AC171" s="11">
        <v>0</v>
      </c>
      <c r="AD171" s="11">
        <v>0</v>
      </c>
    </row>
    <row r="172" customFormat="1" ht="22" customHeight="1" spans="1:30">
      <c r="A172" s="8" t="s">
        <v>31</v>
      </c>
      <c r="B172" s="8" t="str">
        <f>VLOOKUP(E172,[1]Sheet1!$C:$E,2,FALSE)</f>
        <v>徐从众</v>
      </c>
      <c r="C172" s="9" t="str">
        <f>VLOOKUP(E172,[1]Sheet1!$C:$E,3,FALSE)</f>
        <v>S</v>
      </c>
      <c r="D172" s="8" t="s">
        <v>201</v>
      </c>
      <c r="E172" s="10">
        <v>1174811920</v>
      </c>
      <c r="F172" s="8">
        <v>4.8</v>
      </c>
      <c r="G172" s="8">
        <v>28</v>
      </c>
      <c r="H172" s="8">
        <v>1250.43</v>
      </c>
      <c r="I172" s="8">
        <v>46.7</v>
      </c>
      <c r="J172" s="8">
        <v>44.66</v>
      </c>
      <c r="K172" s="8">
        <v>1489</v>
      </c>
      <c r="L172" s="11">
        <v>0.087</v>
      </c>
      <c r="M172" s="11">
        <v>0.209</v>
      </c>
      <c r="N172" s="11">
        <v>0.0182</v>
      </c>
      <c r="O172" s="8">
        <v>1156</v>
      </c>
      <c r="P172" s="8">
        <v>333</v>
      </c>
      <c r="Q172" s="8">
        <v>17</v>
      </c>
      <c r="R172" s="11">
        <v>0.074</v>
      </c>
      <c r="S172" s="11">
        <v>0.129</v>
      </c>
      <c r="T172" s="11">
        <v>0.116</v>
      </c>
      <c r="U172" s="11">
        <v>0.395</v>
      </c>
      <c r="V172" s="11">
        <v>0.207</v>
      </c>
      <c r="W172" s="8">
        <v>1</v>
      </c>
      <c r="X172" s="8">
        <v>0</v>
      </c>
      <c r="Y172" s="8">
        <v>0</v>
      </c>
      <c r="Z172" s="8">
        <v>1</v>
      </c>
      <c r="AA172" s="11">
        <v>0.0357</v>
      </c>
      <c r="AB172" s="11">
        <v>0</v>
      </c>
      <c r="AC172" s="11">
        <v>0</v>
      </c>
      <c r="AD172" s="11">
        <v>1</v>
      </c>
    </row>
    <row r="173" customFormat="1" ht="22" customHeight="1" spans="1:30">
      <c r="A173" s="8" t="s">
        <v>31</v>
      </c>
      <c r="B173" s="8" t="str">
        <f>VLOOKUP(E173,[1]Sheet1!$C:$E,2,FALSE)</f>
        <v>岳贝贝</v>
      </c>
      <c r="C173" s="9" t="str">
        <f>VLOOKUP(E173,[1]Sheet1!$C:$E,3,FALSE)</f>
        <v>A</v>
      </c>
      <c r="D173" s="12" t="s">
        <v>202</v>
      </c>
      <c r="E173" s="13">
        <v>543100805</v>
      </c>
      <c r="F173" s="12">
        <v>4.7</v>
      </c>
      <c r="G173" s="8">
        <v>41</v>
      </c>
      <c r="H173" s="8">
        <v>1247.91</v>
      </c>
      <c r="I173" s="8">
        <v>38.64</v>
      </c>
      <c r="J173" s="8">
        <v>30.44</v>
      </c>
      <c r="K173" s="8">
        <v>3948</v>
      </c>
      <c r="L173" s="11">
        <v>0.069</v>
      </c>
      <c r="M173" s="11">
        <v>0.146</v>
      </c>
      <c r="N173" s="11">
        <v>0.0101</v>
      </c>
      <c r="O173" s="8">
        <v>3404</v>
      </c>
      <c r="P173" s="8">
        <v>544</v>
      </c>
      <c r="Q173" s="8">
        <v>18</v>
      </c>
      <c r="R173" s="11">
        <v>0.063</v>
      </c>
      <c r="S173" s="11">
        <v>0.11</v>
      </c>
      <c r="T173" s="11">
        <v>0.103</v>
      </c>
      <c r="U173" s="11">
        <v>0.3</v>
      </c>
      <c r="V173" s="11">
        <v>0.222</v>
      </c>
      <c r="W173" s="8">
        <v>1</v>
      </c>
      <c r="X173" s="8">
        <v>1</v>
      </c>
      <c r="Y173" s="8">
        <v>0</v>
      </c>
      <c r="Z173" s="8">
        <v>0</v>
      </c>
      <c r="AA173" s="11">
        <v>0.0244</v>
      </c>
      <c r="AB173" s="11">
        <v>1</v>
      </c>
      <c r="AC173" s="11">
        <v>0</v>
      </c>
      <c r="AD173" s="11">
        <v>0</v>
      </c>
    </row>
    <row r="174" customFormat="1" ht="22" customHeight="1" spans="1:30">
      <c r="A174" s="8" t="s">
        <v>31</v>
      </c>
      <c r="B174" s="8" t="e">
        <f>VLOOKUP(E174,[1]Sheet1!$C:$E,2,FALSE)</f>
        <v>#N/A</v>
      </c>
      <c r="C174" s="8" t="e">
        <f>VLOOKUP(E174,[1]Sheet1!$C:$E,3,FALSE)</f>
        <v>#N/A</v>
      </c>
      <c r="D174" s="8" t="s">
        <v>203</v>
      </c>
      <c r="E174" s="10">
        <v>544212195</v>
      </c>
      <c r="F174" s="8">
        <v>4.8</v>
      </c>
      <c r="G174" s="8">
        <v>49</v>
      </c>
      <c r="H174" s="8">
        <v>1242.75</v>
      </c>
      <c r="I174" s="8">
        <v>31.12</v>
      </c>
      <c r="J174" s="8">
        <v>25.36</v>
      </c>
      <c r="K174" s="8">
        <v>2973</v>
      </c>
      <c r="L174" s="11">
        <v>0.121</v>
      </c>
      <c r="M174" s="11">
        <v>0.136</v>
      </c>
      <c r="N174" s="11">
        <v>0.0165</v>
      </c>
      <c r="O174" s="8">
        <v>2893</v>
      </c>
      <c r="P174" s="8">
        <v>80</v>
      </c>
      <c r="Q174" s="8">
        <v>6</v>
      </c>
      <c r="R174" s="11">
        <v>0.116</v>
      </c>
      <c r="S174" s="11">
        <v>0.275</v>
      </c>
      <c r="T174" s="11">
        <v>0.128</v>
      </c>
      <c r="U174" s="11">
        <v>0.273</v>
      </c>
      <c r="V174" s="11">
        <v>0.082</v>
      </c>
      <c r="W174" s="8">
        <v>2</v>
      </c>
      <c r="X174" s="8">
        <v>2</v>
      </c>
      <c r="Y174" s="8">
        <v>0</v>
      </c>
      <c r="Z174" s="8">
        <v>0</v>
      </c>
      <c r="AA174" s="11">
        <v>0.0408</v>
      </c>
      <c r="AB174" s="11">
        <v>1</v>
      </c>
      <c r="AC174" s="11">
        <v>0</v>
      </c>
      <c r="AD174" s="11">
        <v>0</v>
      </c>
    </row>
    <row r="175" customFormat="1" ht="22" customHeight="1" spans="1:30">
      <c r="A175" s="8" t="s">
        <v>31</v>
      </c>
      <c r="B175" s="8" t="str">
        <f>VLOOKUP(E175,[1]Sheet1!$C:$E,2,FALSE)</f>
        <v>徐从众</v>
      </c>
      <c r="C175" s="9" t="str">
        <f>VLOOKUP(E175,[1]Sheet1!$C:$E,3,FALSE)</f>
        <v>S</v>
      </c>
      <c r="D175" s="8" t="s">
        <v>204</v>
      </c>
      <c r="E175" s="10">
        <v>531195935</v>
      </c>
      <c r="F175" s="8">
        <v>4.9</v>
      </c>
      <c r="G175" s="8">
        <v>77</v>
      </c>
      <c r="H175" s="8">
        <v>1239.99</v>
      </c>
      <c r="I175" s="8">
        <v>0</v>
      </c>
      <c r="J175" s="8">
        <v>16.1</v>
      </c>
      <c r="K175" s="8">
        <v>2084</v>
      </c>
      <c r="L175" s="11">
        <v>0.1</v>
      </c>
      <c r="M175" s="11">
        <v>0.359</v>
      </c>
      <c r="N175" s="11">
        <v>0.0359</v>
      </c>
      <c r="O175" s="8">
        <v>0</v>
      </c>
      <c r="P175" s="8">
        <v>0</v>
      </c>
      <c r="Q175" s="8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0.367</v>
      </c>
      <c r="W175" s="8">
        <v>5</v>
      </c>
      <c r="X175" s="8">
        <v>5</v>
      </c>
      <c r="Y175" s="8">
        <v>0</v>
      </c>
      <c r="Z175" s="8">
        <v>0</v>
      </c>
      <c r="AA175" s="11">
        <v>0.0649</v>
      </c>
      <c r="AB175" s="11">
        <v>1</v>
      </c>
      <c r="AC175" s="11">
        <v>0</v>
      </c>
      <c r="AD175" s="11">
        <v>0</v>
      </c>
    </row>
    <row r="176" customFormat="1" ht="22" customHeight="1" spans="1:30">
      <c r="A176" s="8" t="s">
        <v>31</v>
      </c>
      <c r="B176" s="8" t="str">
        <f>VLOOKUP(E176,[1]Sheet1!$C:$E,2,FALSE)</f>
        <v>王森</v>
      </c>
      <c r="C176" s="9" t="str">
        <f>VLOOKUP(E176,[1]Sheet1!$C:$E,3,FALSE)</f>
        <v>S</v>
      </c>
      <c r="D176" s="12" t="s">
        <v>205</v>
      </c>
      <c r="E176" s="13">
        <v>143532383</v>
      </c>
      <c r="F176" s="12">
        <v>4.5</v>
      </c>
      <c r="G176" s="8">
        <v>77</v>
      </c>
      <c r="H176" s="8">
        <v>1236.68</v>
      </c>
      <c r="I176" s="8">
        <v>23.13</v>
      </c>
      <c r="J176" s="8">
        <v>16.06</v>
      </c>
      <c r="K176" s="8">
        <v>4851</v>
      </c>
      <c r="L176" s="11">
        <v>0.078</v>
      </c>
      <c r="M176" s="11">
        <v>0.203</v>
      </c>
      <c r="N176" s="11">
        <v>0.0158</v>
      </c>
      <c r="O176" s="8">
        <v>4191</v>
      </c>
      <c r="P176" s="8">
        <v>660</v>
      </c>
      <c r="Q176" s="8">
        <v>41</v>
      </c>
      <c r="R176" s="11">
        <v>0.067</v>
      </c>
      <c r="S176" s="11">
        <v>0.15</v>
      </c>
      <c r="T176" s="11">
        <v>0.128</v>
      </c>
      <c r="U176" s="11">
        <v>0.414</v>
      </c>
      <c r="V176" s="11">
        <v>0.213</v>
      </c>
      <c r="W176" s="8">
        <v>8</v>
      </c>
      <c r="X176" s="8">
        <v>8</v>
      </c>
      <c r="Y176" s="8">
        <v>0</v>
      </c>
      <c r="Z176" s="8">
        <v>0</v>
      </c>
      <c r="AA176" s="11">
        <v>0.1039</v>
      </c>
      <c r="AB176" s="11">
        <v>1</v>
      </c>
      <c r="AC176" s="11">
        <v>0</v>
      </c>
      <c r="AD176" s="11">
        <v>0</v>
      </c>
    </row>
    <row r="177" customFormat="1" ht="22" customHeight="1" spans="1:30">
      <c r="A177" s="8" t="s">
        <v>31</v>
      </c>
      <c r="B177" s="8" t="str">
        <f>VLOOKUP(E177,[1]Sheet1!$C:$E,2,FALSE)</f>
        <v>岳贝贝</v>
      </c>
      <c r="C177" s="8" t="str">
        <f>VLOOKUP(E177,[1]Sheet1!$C:$E,3,FALSE)</f>
        <v>B</v>
      </c>
      <c r="D177" s="8" t="s">
        <v>206</v>
      </c>
      <c r="E177" s="10">
        <v>544210078</v>
      </c>
      <c r="F177" s="8">
        <v>4.9</v>
      </c>
      <c r="G177" s="8">
        <v>53</v>
      </c>
      <c r="H177" s="8">
        <v>1220.32</v>
      </c>
      <c r="I177" s="8">
        <v>0</v>
      </c>
      <c r="J177" s="8">
        <v>23.02</v>
      </c>
      <c r="K177" s="8">
        <v>3935</v>
      </c>
      <c r="L177" s="11">
        <v>0.06</v>
      </c>
      <c r="M177" s="11">
        <v>0.228</v>
      </c>
      <c r="N177" s="11">
        <v>0.0137</v>
      </c>
      <c r="O177" s="8">
        <v>0</v>
      </c>
      <c r="P177" s="8">
        <v>0</v>
      </c>
      <c r="Q177" s="8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0.161</v>
      </c>
      <c r="W177" s="8">
        <v>1</v>
      </c>
      <c r="X177" s="8">
        <v>0</v>
      </c>
      <c r="Y177" s="8">
        <v>0</v>
      </c>
      <c r="Z177" s="8">
        <v>1</v>
      </c>
      <c r="AA177" s="11">
        <v>0.0189</v>
      </c>
      <c r="AB177" s="11">
        <v>0</v>
      </c>
      <c r="AC177" s="11">
        <v>0</v>
      </c>
      <c r="AD177" s="11">
        <v>1</v>
      </c>
    </row>
    <row r="178" customFormat="1" ht="22" customHeight="1" spans="1:30">
      <c r="A178" s="8" t="s">
        <v>31</v>
      </c>
      <c r="B178" s="8" t="str">
        <f>VLOOKUP(E178,[1]Sheet1!$C:$E,2,FALSE)</f>
        <v>徐从众</v>
      </c>
      <c r="C178" s="9" t="str">
        <f>VLOOKUP(E178,[1]Sheet1!$C:$E,3,FALSE)</f>
        <v>S</v>
      </c>
      <c r="D178" s="12" t="s">
        <v>207</v>
      </c>
      <c r="E178" s="13">
        <v>1287679869</v>
      </c>
      <c r="F178" s="12">
        <v>4.6</v>
      </c>
      <c r="G178" s="8">
        <v>86</v>
      </c>
      <c r="H178" s="8">
        <v>1219.03</v>
      </c>
      <c r="I178" s="8">
        <v>20.85</v>
      </c>
      <c r="J178" s="8">
        <v>14.17</v>
      </c>
      <c r="K178" s="8">
        <v>2045</v>
      </c>
      <c r="L178" s="11">
        <v>0.096</v>
      </c>
      <c r="M178" s="11">
        <v>0.423</v>
      </c>
      <c r="N178" s="11">
        <v>0.0406</v>
      </c>
      <c r="O178" s="8">
        <v>1613</v>
      </c>
      <c r="P178" s="8">
        <v>432</v>
      </c>
      <c r="Q178" s="8">
        <v>57</v>
      </c>
      <c r="R178" s="11">
        <v>0.056</v>
      </c>
      <c r="S178" s="11">
        <v>0.245</v>
      </c>
      <c r="T178" s="11">
        <v>0.289</v>
      </c>
      <c r="U178" s="11">
        <v>0.538</v>
      </c>
      <c r="V178" s="11">
        <v>0.331</v>
      </c>
      <c r="W178" s="8">
        <v>1</v>
      </c>
      <c r="X178" s="8">
        <v>1</v>
      </c>
      <c r="Y178" s="8">
        <v>0</v>
      </c>
      <c r="Z178" s="8">
        <v>0</v>
      </c>
      <c r="AA178" s="11">
        <v>0.0116</v>
      </c>
      <c r="AB178" s="11">
        <v>1</v>
      </c>
      <c r="AC178" s="11">
        <v>0</v>
      </c>
      <c r="AD178" s="11">
        <v>0</v>
      </c>
    </row>
    <row r="179" customFormat="1" ht="22" customHeight="1" spans="1:30">
      <c r="A179" s="8" t="s">
        <v>31</v>
      </c>
      <c r="B179" s="8" t="e">
        <f>VLOOKUP(E179,[1]Sheet1!$C:$E,2,FALSE)</f>
        <v>#N/A</v>
      </c>
      <c r="C179" s="8" t="e">
        <f>VLOOKUP(E179,[1]Sheet1!$C:$E,3,FALSE)</f>
        <v>#N/A</v>
      </c>
      <c r="D179" s="8" t="s">
        <v>208</v>
      </c>
      <c r="E179" s="10">
        <v>1348070634</v>
      </c>
      <c r="F179" s="8">
        <v>4.9</v>
      </c>
      <c r="G179" s="8">
        <v>78</v>
      </c>
      <c r="H179" s="8">
        <v>1217.5</v>
      </c>
      <c r="I179" s="8">
        <v>20.49</v>
      </c>
      <c r="J179" s="8">
        <v>15.61</v>
      </c>
      <c r="K179" s="8">
        <v>4642</v>
      </c>
      <c r="L179" s="11">
        <v>0.061</v>
      </c>
      <c r="M179" s="11">
        <v>0.269</v>
      </c>
      <c r="N179" s="11">
        <v>0.0164</v>
      </c>
      <c r="O179" s="8">
        <v>4423</v>
      </c>
      <c r="P179" s="8">
        <v>219</v>
      </c>
      <c r="Q179" s="8">
        <v>35</v>
      </c>
      <c r="R179" s="11">
        <v>0.05</v>
      </c>
      <c r="S179" s="11">
        <v>0.274</v>
      </c>
      <c r="T179" s="11">
        <v>0.184</v>
      </c>
      <c r="U179" s="11">
        <v>0.583</v>
      </c>
      <c r="V179" s="11">
        <v>0.307</v>
      </c>
      <c r="W179" s="8">
        <v>2</v>
      </c>
      <c r="X179" s="8">
        <v>2</v>
      </c>
      <c r="Y179" s="8">
        <v>0</v>
      </c>
      <c r="Z179" s="8">
        <v>0</v>
      </c>
      <c r="AA179" s="11">
        <v>0.0256</v>
      </c>
      <c r="AB179" s="11">
        <v>1</v>
      </c>
      <c r="AC179" s="11">
        <v>0</v>
      </c>
      <c r="AD179" s="11">
        <v>0</v>
      </c>
    </row>
    <row r="180" customFormat="1" ht="22" customHeight="1" spans="1:30">
      <c r="A180" s="8" t="s">
        <v>31</v>
      </c>
      <c r="B180" s="8" t="str">
        <f>VLOOKUP(E180,[1]Sheet1!$C:$E,2,FALSE)</f>
        <v>徐从众</v>
      </c>
      <c r="C180" s="9" t="str">
        <f>VLOOKUP(E180,[1]Sheet1!$C:$E,3,FALSE)</f>
        <v>A</v>
      </c>
      <c r="D180" s="12" t="s">
        <v>209</v>
      </c>
      <c r="E180" s="13">
        <v>1101938176</v>
      </c>
      <c r="F180" s="12">
        <v>4.5</v>
      </c>
      <c r="G180" s="8">
        <v>79</v>
      </c>
      <c r="H180" s="8">
        <v>1217.05</v>
      </c>
      <c r="I180" s="8">
        <v>22.23</v>
      </c>
      <c r="J180" s="8">
        <v>15.41</v>
      </c>
      <c r="K180" s="8">
        <v>1649</v>
      </c>
      <c r="L180" s="11">
        <v>0.111</v>
      </c>
      <c r="M180" s="11">
        <v>0.437</v>
      </c>
      <c r="N180" s="11">
        <v>0.0485</v>
      </c>
      <c r="O180" s="8">
        <v>1137</v>
      </c>
      <c r="P180" s="8">
        <v>512</v>
      </c>
      <c r="Q180" s="8">
        <v>62</v>
      </c>
      <c r="R180" s="11">
        <v>0.069</v>
      </c>
      <c r="S180" s="11">
        <v>0.205</v>
      </c>
      <c r="T180" s="11">
        <v>0.231</v>
      </c>
      <c r="U180" s="11">
        <v>0.59</v>
      </c>
      <c r="V180" s="11">
        <v>0.389</v>
      </c>
      <c r="W180" s="8">
        <v>5</v>
      </c>
      <c r="X180" s="8">
        <v>4</v>
      </c>
      <c r="Y180" s="8">
        <v>0</v>
      </c>
      <c r="Z180" s="8">
        <v>1</v>
      </c>
      <c r="AA180" s="11">
        <v>0.0633</v>
      </c>
      <c r="AB180" s="11">
        <v>0.8</v>
      </c>
      <c r="AC180" s="11">
        <v>0</v>
      </c>
      <c r="AD180" s="11">
        <v>0.2</v>
      </c>
    </row>
    <row r="181" customFormat="1" ht="22" customHeight="1" spans="1:30">
      <c r="A181" s="8" t="s">
        <v>31</v>
      </c>
      <c r="B181" s="8" t="str">
        <f>VLOOKUP(E181,[1]Sheet1!$C:$E,2,FALSE)</f>
        <v>徐从众</v>
      </c>
      <c r="C181" s="9" t="str">
        <f>VLOOKUP(E181,[1]Sheet1!$C:$E,3,FALSE)</f>
        <v>A</v>
      </c>
      <c r="D181" s="8" t="s">
        <v>210</v>
      </c>
      <c r="E181" s="10">
        <v>1297723598</v>
      </c>
      <c r="F181" s="8">
        <v>4.9</v>
      </c>
      <c r="G181" s="8">
        <v>49</v>
      </c>
      <c r="H181" s="8">
        <v>1204.83</v>
      </c>
      <c r="I181" s="8">
        <v>29.94</v>
      </c>
      <c r="J181" s="8">
        <v>24.59</v>
      </c>
      <c r="K181" s="8">
        <v>1537</v>
      </c>
      <c r="L181" s="11">
        <v>0.119</v>
      </c>
      <c r="M181" s="11">
        <v>0.251</v>
      </c>
      <c r="N181" s="11">
        <v>0.0299</v>
      </c>
      <c r="O181" s="8">
        <v>1214</v>
      </c>
      <c r="P181" s="8">
        <v>323</v>
      </c>
      <c r="Q181" s="8">
        <v>33</v>
      </c>
      <c r="R181" s="11">
        <v>0.084</v>
      </c>
      <c r="S181" s="11">
        <v>0.251</v>
      </c>
      <c r="T181" s="11">
        <v>0.127</v>
      </c>
      <c r="U181" s="11">
        <v>0.407</v>
      </c>
      <c r="V181" s="11">
        <v>0.259</v>
      </c>
      <c r="W181" s="8">
        <v>4</v>
      </c>
      <c r="X181" s="8">
        <v>3</v>
      </c>
      <c r="Y181" s="8">
        <v>1</v>
      </c>
      <c r="Z181" s="8">
        <v>0</v>
      </c>
      <c r="AA181" s="11">
        <v>0.0816</v>
      </c>
      <c r="AB181" s="11">
        <v>0.75</v>
      </c>
      <c r="AC181" s="11">
        <v>0.25</v>
      </c>
      <c r="AD181" s="11">
        <v>0</v>
      </c>
    </row>
    <row r="182" customFormat="1" ht="22" customHeight="1" spans="1:30">
      <c r="A182" s="8" t="s">
        <v>31</v>
      </c>
      <c r="B182" s="8" t="str">
        <f>VLOOKUP(E182,[1]Sheet1!$C:$E,2,FALSE)</f>
        <v>王森</v>
      </c>
      <c r="C182" s="9" t="str">
        <f>VLOOKUP(E182,[1]Sheet1!$C:$E,3,FALSE)</f>
        <v>S</v>
      </c>
      <c r="D182" s="8" t="s">
        <v>211</v>
      </c>
      <c r="E182" s="10">
        <v>527571777</v>
      </c>
      <c r="F182" s="8">
        <v>4.8</v>
      </c>
      <c r="G182" s="8">
        <v>53</v>
      </c>
      <c r="H182" s="8">
        <v>1201.52</v>
      </c>
      <c r="I182" s="8">
        <v>0</v>
      </c>
      <c r="J182" s="8">
        <v>22.67</v>
      </c>
      <c r="K182" s="8">
        <v>1810</v>
      </c>
      <c r="L182" s="11">
        <v>0.088</v>
      </c>
      <c r="M182" s="11">
        <v>0.331</v>
      </c>
      <c r="N182" s="11">
        <v>0.0291</v>
      </c>
      <c r="O182" s="8">
        <v>0</v>
      </c>
      <c r="P182" s="8">
        <v>0</v>
      </c>
      <c r="Q182" s="8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0.309</v>
      </c>
      <c r="W182" s="8">
        <v>2</v>
      </c>
      <c r="X182" s="8">
        <v>2</v>
      </c>
      <c r="Y182" s="8">
        <v>0</v>
      </c>
      <c r="Z182" s="8">
        <v>0</v>
      </c>
      <c r="AA182" s="11">
        <v>0.0377</v>
      </c>
      <c r="AB182" s="11">
        <v>1</v>
      </c>
      <c r="AC182" s="11">
        <v>0</v>
      </c>
      <c r="AD182" s="11">
        <v>0</v>
      </c>
    </row>
    <row r="183" customFormat="1" ht="22" customHeight="1" spans="1:30">
      <c r="A183" s="8" t="s">
        <v>31</v>
      </c>
      <c r="B183" s="8" t="str">
        <f>VLOOKUP(E183,[1]Sheet1!$C:$E,2,FALSE)</f>
        <v>徐从众</v>
      </c>
      <c r="C183" s="9" t="str">
        <f>VLOOKUP(E183,[1]Sheet1!$C:$E,3,FALSE)</f>
        <v>S</v>
      </c>
      <c r="D183" s="8" t="s">
        <v>212</v>
      </c>
      <c r="E183" s="10">
        <v>1316551728</v>
      </c>
      <c r="F183" s="8">
        <v>4.9</v>
      </c>
      <c r="G183" s="8">
        <v>82</v>
      </c>
      <c r="H183" s="8">
        <v>1200.16</v>
      </c>
      <c r="I183" s="8">
        <v>21.29</v>
      </c>
      <c r="J183" s="8">
        <v>14.64</v>
      </c>
      <c r="K183" s="8">
        <v>2545</v>
      </c>
      <c r="L183" s="11">
        <v>0.083</v>
      </c>
      <c r="M183" s="11">
        <v>0.376</v>
      </c>
      <c r="N183" s="11">
        <v>0.0312</v>
      </c>
      <c r="O183" s="8">
        <v>1935</v>
      </c>
      <c r="P183" s="8">
        <v>610</v>
      </c>
      <c r="Q183" s="8">
        <v>60</v>
      </c>
      <c r="R183" s="11">
        <v>0.044</v>
      </c>
      <c r="S183" s="11">
        <v>0.203</v>
      </c>
      <c r="T183" s="11">
        <v>0.221</v>
      </c>
      <c r="U183" s="11">
        <v>0.484</v>
      </c>
      <c r="V183" s="11">
        <v>0.394</v>
      </c>
      <c r="W183" s="8">
        <v>5</v>
      </c>
      <c r="X183" s="8">
        <v>5</v>
      </c>
      <c r="Y183" s="8">
        <v>0</v>
      </c>
      <c r="Z183" s="8">
        <v>0</v>
      </c>
      <c r="AA183" s="11">
        <v>0.061</v>
      </c>
      <c r="AB183" s="11">
        <v>1</v>
      </c>
      <c r="AC183" s="11">
        <v>0</v>
      </c>
      <c r="AD183" s="11">
        <v>0</v>
      </c>
    </row>
    <row r="184" customFormat="1" ht="22" customHeight="1" spans="1:30">
      <c r="A184" s="8" t="s">
        <v>31</v>
      </c>
      <c r="B184" s="8" t="str">
        <f>VLOOKUP(E184,[1]Sheet1!$C:$E,2,FALSE)</f>
        <v>徐从众</v>
      </c>
      <c r="C184" s="9" t="str">
        <f>VLOOKUP(E184,[1]Sheet1!$C:$E,3,FALSE)</f>
        <v>S</v>
      </c>
      <c r="D184" s="8" t="s">
        <v>213</v>
      </c>
      <c r="E184" s="10">
        <v>1270285521</v>
      </c>
      <c r="F184" s="8">
        <v>4.9</v>
      </c>
      <c r="G184" s="8">
        <v>80</v>
      </c>
      <c r="H184" s="8">
        <v>1199.89</v>
      </c>
      <c r="I184" s="8">
        <v>20.95</v>
      </c>
      <c r="J184" s="8">
        <v>15</v>
      </c>
      <c r="K184" s="8">
        <v>1608</v>
      </c>
      <c r="L184" s="11">
        <v>0.116</v>
      </c>
      <c r="M184" s="11">
        <v>0.422</v>
      </c>
      <c r="N184" s="11">
        <v>0.049</v>
      </c>
      <c r="O184" s="8">
        <v>1138</v>
      </c>
      <c r="P184" s="8">
        <v>470</v>
      </c>
      <c r="Q184" s="8">
        <v>63</v>
      </c>
      <c r="R184" s="11">
        <v>0.068</v>
      </c>
      <c r="S184" s="11">
        <v>0.234</v>
      </c>
      <c r="T184" s="11">
        <v>0.208</v>
      </c>
      <c r="U184" s="11">
        <v>0.573</v>
      </c>
      <c r="V184" s="11">
        <v>0.399</v>
      </c>
      <c r="W184" s="8">
        <v>0</v>
      </c>
      <c r="X184" s="8">
        <v>0</v>
      </c>
      <c r="Y184" s="8">
        <v>0</v>
      </c>
      <c r="Z184" s="8">
        <v>0</v>
      </c>
      <c r="AA184" s="11">
        <v>0</v>
      </c>
      <c r="AB184" s="11">
        <v>0</v>
      </c>
      <c r="AC184" s="11">
        <v>0</v>
      </c>
      <c r="AD184" s="11">
        <v>0</v>
      </c>
    </row>
    <row r="185" customFormat="1" ht="22" customHeight="1" spans="1:30">
      <c r="A185" s="8" t="s">
        <v>31</v>
      </c>
      <c r="B185" s="8" t="str">
        <f>VLOOKUP(E185,[1]Sheet1!$C:$E,2,FALSE)</f>
        <v>岳贝贝</v>
      </c>
      <c r="C185" s="9" t="str">
        <f>VLOOKUP(E185,[1]Sheet1!$C:$E,3,FALSE)</f>
        <v>A</v>
      </c>
      <c r="D185" s="8" t="s">
        <v>214</v>
      </c>
      <c r="E185" s="10">
        <v>1273999795</v>
      </c>
      <c r="F185" s="8">
        <v>5</v>
      </c>
      <c r="G185" s="8">
        <v>7</v>
      </c>
      <c r="H185" s="8">
        <v>1198.36</v>
      </c>
      <c r="I185" s="8">
        <v>0</v>
      </c>
      <c r="J185" s="8">
        <v>171.19</v>
      </c>
      <c r="K185" s="8">
        <v>1408</v>
      </c>
      <c r="L185" s="11">
        <v>0.033</v>
      </c>
      <c r="M185" s="11">
        <v>0.128</v>
      </c>
      <c r="N185" s="11">
        <v>0.0042</v>
      </c>
      <c r="O185" s="8">
        <v>0</v>
      </c>
      <c r="P185" s="8">
        <v>0</v>
      </c>
      <c r="Q185" s="8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0.182</v>
      </c>
      <c r="W185" s="8">
        <v>0</v>
      </c>
      <c r="X185" s="8">
        <v>0</v>
      </c>
      <c r="Y185" s="8">
        <v>0</v>
      </c>
      <c r="Z185" s="8">
        <v>0</v>
      </c>
      <c r="AA185" s="11">
        <v>0</v>
      </c>
      <c r="AB185" s="11">
        <v>0</v>
      </c>
      <c r="AC185" s="11">
        <v>0</v>
      </c>
      <c r="AD185" s="11">
        <v>0</v>
      </c>
    </row>
    <row r="186" customFormat="1" ht="22" customHeight="1" spans="1:30">
      <c r="A186" s="8" t="s">
        <v>31</v>
      </c>
      <c r="B186" s="8" t="str">
        <f>VLOOKUP(E186,[1]Sheet1!$C:$E,2,FALSE)</f>
        <v>徐从众</v>
      </c>
      <c r="C186" s="9" t="str">
        <f>VLOOKUP(E186,[1]Sheet1!$C:$E,3,FALSE)</f>
        <v>S</v>
      </c>
      <c r="D186" s="12" t="s">
        <v>215</v>
      </c>
      <c r="E186" s="13">
        <v>1308650401</v>
      </c>
      <c r="F186" s="12">
        <v>4.6</v>
      </c>
      <c r="G186" s="8">
        <v>28</v>
      </c>
      <c r="H186" s="8">
        <v>1191.66</v>
      </c>
      <c r="I186" s="8">
        <v>52.25</v>
      </c>
      <c r="J186" s="8">
        <v>42.56</v>
      </c>
      <c r="K186" s="8">
        <v>2137</v>
      </c>
      <c r="L186" s="11">
        <v>0.073</v>
      </c>
      <c r="M186" s="11">
        <v>0.179</v>
      </c>
      <c r="N186" s="11">
        <v>0.0131</v>
      </c>
      <c r="O186" s="8">
        <v>1857</v>
      </c>
      <c r="P186" s="8">
        <v>280</v>
      </c>
      <c r="Q186" s="8">
        <v>15</v>
      </c>
      <c r="R186" s="11">
        <v>0.066</v>
      </c>
      <c r="S186" s="11">
        <v>0.118</v>
      </c>
      <c r="T186" s="11">
        <v>0.106</v>
      </c>
      <c r="U186" s="11">
        <v>0.455</v>
      </c>
      <c r="V186" s="11">
        <v>0.247</v>
      </c>
      <c r="W186" s="8">
        <v>1</v>
      </c>
      <c r="X186" s="8">
        <v>0</v>
      </c>
      <c r="Y186" s="8">
        <v>1</v>
      </c>
      <c r="Z186" s="8">
        <v>0</v>
      </c>
      <c r="AA186" s="11">
        <v>0.0357</v>
      </c>
      <c r="AB186" s="11">
        <v>0</v>
      </c>
      <c r="AC186" s="11">
        <v>1</v>
      </c>
      <c r="AD186" s="11">
        <v>0</v>
      </c>
    </row>
    <row r="187" customFormat="1" ht="22" customHeight="1" spans="1:30">
      <c r="A187" s="8" t="s">
        <v>31</v>
      </c>
      <c r="B187" s="8" t="e">
        <f>VLOOKUP(E187,[1]Sheet1!$C:$E,2,FALSE)</f>
        <v>#N/A</v>
      </c>
      <c r="C187" s="8" t="e">
        <f>VLOOKUP(E187,[1]Sheet1!$C:$E,3,FALSE)</f>
        <v>#N/A</v>
      </c>
      <c r="D187" s="8" t="s">
        <v>216</v>
      </c>
      <c r="E187" s="10">
        <v>525315669</v>
      </c>
      <c r="F187" s="8">
        <v>4.9</v>
      </c>
      <c r="G187" s="8">
        <v>50</v>
      </c>
      <c r="H187" s="8">
        <v>1190.92</v>
      </c>
      <c r="I187" s="8">
        <v>0</v>
      </c>
      <c r="J187" s="8">
        <v>23.82</v>
      </c>
      <c r="K187" s="8">
        <v>1899</v>
      </c>
      <c r="L187" s="11">
        <v>0.073</v>
      </c>
      <c r="M187" s="11">
        <v>0.355</v>
      </c>
      <c r="N187" s="11">
        <v>0.0259</v>
      </c>
      <c r="O187" s="8">
        <v>0</v>
      </c>
      <c r="P187" s="8">
        <v>0</v>
      </c>
      <c r="Q187" s="8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0.203</v>
      </c>
      <c r="W187" s="8">
        <v>2</v>
      </c>
      <c r="X187" s="8">
        <v>1</v>
      </c>
      <c r="Y187" s="8">
        <v>1</v>
      </c>
      <c r="Z187" s="8">
        <v>0</v>
      </c>
      <c r="AA187" s="11">
        <v>0.04</v>
      </c>
      <c r="AB187" s="11">
        <v>0.5</v>
      </c>
      <c r="AC187" s="11">
        <v>0.5</v>
      </c>
      <c r="AD187" s="11">
        <v>0</v>
      </c>
    </row>
    <row r="188" customFormat="1" ht="22" customHeight="1" spans="1:30">
      <c r="A188" s="8" t="s">
        <v>31</v>
      </c>
      <c r="B188" s="8" t="str">
        <f>VLOOKUP(E188,[1]Sheet1!$C:$E,2,FALSE)</f>
        <v>岳贝贝</v>
      </c>
      <c r="C188" s="9" t="str">
        <f>VLOOKUP(E188,[1]Sheet1!$C:$E,3,FALSE)</f>
        <v>A</v>
      </c>
      <c r="D188" s="8" t="s">
        <v>217</v>
      </c>
      <c r="E188" s="10">
        <v>527412528</v>
      </c>
      <c r="F188" s="8">
        <v>5</v>
      </c>
      <c r="G188" s="8">
        <v>9</v>
      </c>
      <c r="H188" s="8">
        <v>1186.92</v>
      </c>
      <c r="I188" s="8">
        <v>0</v>
      </c>
      <c r="J188" s="8">
        <v>131.88</v>
      </c>
      <c r="K188" s="8">
        <v>589</v>
      </c>
      <c r="L188" s="11">
        <v>0.068</v>
      </c>
      <c r="M188" s="11">
        <v>0.225</v>
      </c>
      <c r="N188" s="11">
        <v>0.0153</v>
      </c>
      <c r="O188" s="8">
        <v>0</v>
      </c>
      <c r="P188" s="8">
        <v>0</v>
      </c>
      <c r="Q188" s="8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0.215</v>
      </c>
      <c r="W188" s="8">
        <v>0</v>
      </c>
      <c r="X188" s="8">
        <v>0</v>
      </c>
      <c r="Y188" s="8">
        <v>0</v>
      </c>
      <c r="Z188" s="8">
        <v>0</v>
      </c>
      <c r="AA188" s="11">
        <v>0</v>
      </c>
      <c r="AB188" s="11">
        <v>0</v>
      </c>
      <c r="AC188" s="11">
        <v>0</v>
      </c>
      <c r="AD188" s="11">
        <v>0</v>
      </c>
    </row>
    <row r="189" customFormat="1" ht="22" customHeight="1" spans="1:30">
      <c r="A189" s="8" t="s">
        <v>31</v>
      </c>
      <c r="B189" s="8" t="str">
        <f>VLOOKUP(E189,[1]Sheet1!$C:$E,2,FALSE)</f>
        <v>王森</v>
      </c>
      <c r="C189" s="9" t="str">
        <f>VLOOKUP(E189,[1]Sheet1!$C:$E,3,FALSE)</f>
        <v>S</v>
      </c>
      <c r="D189" s="8" t="s">
        <v>218</v>
      </c>
      <c r="E189" s="10">
        <v>1237180991</v>
      </c>
      <c r="F189" s="8">
        <v>4.9</v>
      </c>
      <c r="G189" s="8">
        <v>26</v>
      </c>
      <c r="H189" s="8">
        <v>1182.04</v>
      </c>
      <c r="I189" s="8">
        <v>54.99</v>
      </c>
      <c r="J189" s="8">
        <v>45.46</v>
      </c>
      <c r="K189" s="8">
        <v>1618</v>
      </c>
      <c r="L189" s="11">
        <v>0.088</v>
      </c>
      <c r="M189" s="11">
        <v>0.168</v>
      </c>
      <c r="N189" s="11">
        <v>0.0148</v>
      </c>
      <c r="O189" s="8">
        <v>1342</v>
      </c>
      <c r="P189" s="8">
        <v>276</v>
      </c>
      <c r="Q189" s="8">
        <v>12</v>
      </c>
      <c r="R189" s="11">
        <v>0.081</v>
      </c>
      <c r="S189" s="11">
        <v>0.123</v>
      </c>
      <c r="T189" s="11">
        <v>0.11</v>
      </c>
      <c r="U189" s="11">
        <v>0.353</v>
      </c>
      <c r="V189" s="11">
        <v>0.2</v>
      </c>
      <c r="W189" s="8">
        <v>0</v>
      </c>
      <c r="X189" s="8">
        <v>0</v>
      </c>
      <c r="Y189" s="8">
        <v>0</v>
      </c>
      <c r="Z189" s="8">
        <v>0</v>
      </c>
      <c r="AA189" s="11">
        <v>0</v>
      </c>
      <c r="AB189" s="11">
        <v>0</v>
      </c>
      <c r="AC189" s="11">
        <v>0</v>
      </c>
      <c r="AD189" s="11">
        <v>0</v>
      </c>
    </row>
    <row r="190" customFormat="1" ht="22" customHeight="1" spans="1:30">
      <c r="A190" s="8" t="s">
        <v>31</v>
      </c>
      <c r="B190" s="8" t="e">
        <f>VLOOKUP(E190,[1]Sheet1!$C:$E,2,FALSE)</f>
        <v>#N/A</v>
      </c>
      <c r="C190" s="8" t="e">
        <f>VLOOKUP(E190,[1]Sheet1!$C:$E,3,FALSE)</f>
        <v>#N/A</v>
      </c>
      <c r="D190" s="8" t="s">
        <v>219</v>
      </c>
      <c r="E190" s="10">
        <v>544954968</v>
      </c>
      <c r="F190" s="8">
        <v>4.9</v>
      </c>
      <c r="G190" s="8">
        <v>50</v>
      </c>
      <c r="H190" s="8">
        <v>1180.67</v>
      </c>
      <c r="I190" s="8">
        <v>29.61</v>
      </c>
      <c r="J190" s="8">
        <v>23.61</v>
      </c>
      <c r="K190" s="8">
        <v>3727</v>
      </c>
      <c r="L190" s="11">
        <v>0.058</v>
      </c>
      <c r="M190" s="11">
        <v>0.226</v>
      </c>
      <c r="N190" s="11">
        <v>0.0131</v>
      </c>
      <c r="O190" s="8">
        <v>3637</v>
      </c>
      <c r="P190" s="8">
        <v>90</v>
      </c>
      <c r="Q190" s="8">
        <v>13</v>
      </c>
      <c r="R190" s="11">
        <v>0.056</v>
      </c>
      <c r="S190" s="11">
        <v>0.167</v>
      </c>
      <c r="T190" s="11">
        <v>0.178</v>
      </c>
      <c r="U190" s="11">
        <v>0.867</v>
      </c>
      <c r="V190" s="11">
        <v>0.1</v>
      </c>
      <c r="W190" s="8">
        <v>9</v>
      </c>
      <c r="X190" s="8">
        <v>9</v>
      </c>
      <c r="Y190" s="8">
        <v>0</v>
      </c>
      <c r="Z190" s="8">
        <v>0</v>
      </c>
      <c r="AA190" s="11">
        <v>0.18</v>
      </c>
      <c r="AB190" s="11">
        <v>1</v>
      </c>
      <c r="AC190" s="11">
        <v>0</v>
      </c>
      <c r="AD190" s="11">
        <v>0</v>
      </c>
    </row>
    <row r="191" customFormat="1" ht="22" customHeight="1" spans="1:30">
      <c r="A191" s="8" t="s">
        <v>31</v>
      </c>
      <c r="B191" s="8" t="str">
        <f>VLOOKUP(E191,[1]Sheet1!$C:$E,2,FALSE)</f>
        <v>王森</v>
      </c>
      <c r="C191" s="9" t="str">
        <f>VLOOKUP(E191,[1]Sheet1!$C:$E,3,FALSE)</f>
        <v>S</v>
      </c>
      <c r="D191" s="12" t="s">
        <v>220</v>
      </c>
      <c r="E191" s="13">
        <v>1287649805</v>
      </c>
      <c r="F191" s="12">
        <v>4.6</v>
      </c>
      <c r="G191" s="8">
        <v>34</v>
      </c>
      <c r="H191" s="8">
        <v>1169.32</v>
      </c>
      <c r="I191" s="8">
        <v>42.31</v>
      </c>
      <c r="J191" s="8">
        <v>34.39</v>
      </c>
      <c r="K191" s="8">
        <v>1380</v>
      </c>
      <c r="L191" s="11">
        <v>0.095</v>
      </c>
      <c r="M191" s="11">
        <v>0.26</v>
      </c>
      <c r="N191" s="11">
        <v>0.0247</v>
      </c>
      <c r="O191" s="8">
        <v>1131</v>
      </c>
      <c r="P191" s="8">
        <v>249</v>
      </c>
      <c r="Q191" s="8">
        <v>20</v>
      </c>
      <c r="R191" s="11">
        <v>0.077</v>
      </c>
      <c r="S191" s="11">
        <v>0.177</v>
      </c>
      <c r="T191" s="11">
        <v>0.161</v>
      </c>
      <c r="U191" s="11">
        <v>0.455</v>
      </c>
      <c r="V191" s="11">
        <v>0.181</v>
      </c>
      <c r="W191" s="8">
        <v>0</v>
      </c>
      <c r="X191" s="8">
        <v>0</v>
      </c>
      <c r="Y191" s="8">
        <v>0</v>
      </c>
      <c r="Z191" s="8">
        <v>0</v>
      </c>
      <c r="AA191" s="11">
        <v>0</v>
      </c>
      <c r="AB191" s="11">
        <v>0</v>
      </c>
      <c r="AC191" s="11">
        <v>0</v>
      </c>
      <c r="AD191" s="11">
        <v>0</v>
      </c>
    </row>
    <row r="192" customFormat="1" ht="22" customHeight="1" spans="1:30">
      <c r="A192" s="8" t="s">
        <v>31</v>
      </c>
      <c r="B192" s="8" t="str">
        <f>VLOOKUP(E192,[1]Sheet1!$C:$E,2,FALSE)</f>
        <v>徐从众</v>
      </c>
      <c r="C192" s="9" t="str">
        <f>VLOOKUP(E192,[1]Sheet1!$C:$E,3,FALSE)</f>
        <v>A</v>
      </c>
      <c r="D192" s="12" t="s">
        <v>221</v>
      </c>
      <c r="E192" s="13">
        <v>2044104816</v>
      </c>
      <c r="F192" s="12">
        <v>4.4</v>
      </c>
      <c r="G192" s="8">
        <v>104</v>
      </c>
      <c r="H192" s="8">
        <v>1164.16</v>
      </c>
      <c r="I192" s="8">
        <v>19.18</v>
      </c>
      <c r="J192" s="8">
        <v>11.19</v>
      </c>
      <c r="K192" s="8">
        <v>4673</v>
      </c>
      <c r="L192" s="11">
        <v>0.08</v>
      </c>
      <c r="M192" s="11">
        <v>0.271</v>
      </c>
      <c r="N192" s="11">
        <v>0.0217</v>
      </c>
      <c r="O192" s="8">
        <v>4010</v>
      </c>
      <c r="P192" s="8">
        <v>663</v>
      </c>
      <c r="Q192" s="8">
        <v>50</v>
      </c>
      <c r="R192" s="11">
        <v>0.064</v>
      </c>
      <c r="S192" s="11">
        <v>0.176</v>
      </c>
      <c r="T192" s="11">
        <v>0.199</v>
      </c>
      <c r="U192" s="11">
        <v>0.427</v>
      </c>
      <c r="V192" s="11">
        <v>0.22</v>
      </c>
      <c r="W192" s="8">
        <v>4</v>
      </c>
      <c r="X192" s="8">
        <v>2</v>
      </c>
      <c r="Y192" s="8">
        <v>0</v>
      </c>
      <c r="Z192" s="8">
        <v>2</v>
      </c>
      <c r="AA192" s="11">
        <v>0.0385</v>
      </c>
      <c r="AB192" s="11">
        <v>0.5</v>
      </c>
      <c r="AC192" s="11">
        <v>0</v>
      </c>
      <c r="AD192" s="11">
        <v>0.5</v>
      </c>
    </row>
    <row r="193" customFormat="1" ht="22" customHeight="1" spans="1:30">
      <c r="A193" s="8" t="s">
        <v>31</v>
      </c>
      <c r="B193" s="8" t="e">
        <f>VLOOKUP(E193,[1]Sheet1!$C:$E,2,FALSE)</f>
        <v>#N/A</v>
      </c>
      <c r="C193" s="8" t="e">
        <f>VLOOKUP(E193,[1]Sheet1!$C:$E,3,FALSE)</f>
        <v>#N/A</v>
      </c>
      <c r="D193" s="8" t="s">
        <v>222</v>
      </c>
      <c r="E193" s="10">
        <v>536655573</v>
      </c>
      <c r="F193" s="8">
        <v>4.9</v>
      </c>
      <c r="G193" s="8">
        <v>58</v>
      </c>
      <c r="H193" s="8">
        <v>1149</v>
      </c>
      <c r="I193" s="8">
        <v>0</v>
      </c>
      <c r="J193" s="8">
        <v>19.81</v>
      </c>
      <c r="K193" s="8">
        <v>2677</v>
      </c>
      <c r="L193" s="11">
        <v>0.057</v>
      </c>
      <c r="M193" s="11">
        <v>0.373</v>
      </c>
      <c r="N193" s="11">
        <v>0.0213</v>
      </c>
      <c r="O193" s="8">
        <v>0</v>
      </c>
      <c r="P193" s="8">
        <v>0</v>
      </c>
      <c r="Q193" s="8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0.195</v>
      </c>
      <c r="W193" s="8">
        <v>1</v>
      </c>
      <c r="X193" s="8">
        <v>1</v>
      </c>
      <c r="Y193" s="8">
        <v>0</v>
      </c>
      <c r="Z193" s="8">
        <v>0</v>
      </c>
      <c r="AA193" s="11">
        <v>0.0172</v>
      </c>
      <c r="AB193" s="11">
        <v>1</v>
      </c>
      <c r="AC193" s="11">
        <v>0</v>
      </c>
      <c r="AD193" s="11">
        <v>0</v>
      </c>
    </row>
    <row r="194" customFormat="1" ht="22" customHeight="1" spans="1:30">
      <c r="A194" s="8" t="s">
        <v>31</v>
      </c>
      <c r="B194" s="8" t="str">
        <f>VLOOKUP(E194,[1]Sheet1!$C:$E,2,FALSE)</f>
        <v>岳贝贝</v>
      </c>
      <c r="C194" s="9" t="str">
        <f>VLOOKUP(E194,[1]Sheet1!$C:$E,3,FALSE)</f>
        <v>A</v>
      </c>
      <c r="D194" s="8" t="s">
        <v>223</v>
      </c>
      <c r="E194" s="10">
        <v>542740350</v>
      </c>
      <c r="F194" s="8">
        <v>4.8</v>
      </c>
      <c r="G194" s="8">
        <v>55</v>
      </c>
      <c r="H194" s="8">
        <v>1147.76</v>
      </c>
      <c r="I194" s="8">
        <v>0</v>
      </c>
      <c r="J194" s="8">
        <v>20.87</v>
      </c>
      <c r="K194" s="8">
        <v>3202</v>
      </c>
      <c r="L194" s="11">
        <v>0.059</v>
      </c>
      <c r="M194" s="11">
        <v>0.293</v>
      </c>
      <c r="N194" s="11">
        <v>0.0173</v>
      </c>
      <c r="O194" s="8">
        <v>0</v>
      </c>
      <c r="P194" s="8">
        <v>0</v>
      </c>
      <c r="Q194" s="8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0.197</v>
      </c>
      <c r="W194" s="8">
        <v>1</v>
      </c>
      <c r="X194" s="8">
        <v>1</v>
      </c>
      <c r="Y194" s="8">
        <v>0</v>
      </c>
      <c r="Z194" s="8">
        <v>0</v>
      </c>
      <c r="AA194" s="11">
        <v>0.0182</v>
      </c>
      <c r="AB194" s="11">
        <v>1</v>
      </c>
      <c r="AC194" s="11">
        <v>0</v>
      </c>
      <c r="AD194" s="11">
        <v>0</v>
      </c>
    </row>
    <row r="195" customFormat="1" ht="22" customHeight="1" spans="1:30">
      <c r="A195" s="8" t="s">
        <v>31</v>
      </c>
      <c r="B195" s="8" t="str">
        <f>VLOOKUP(E195,[1]Sheet1!$C:$E,2,FALSE)</f>
        <v>徐从众</v>
      </c>
      <c r="C195" s="9" t="str">
        <f>VLOOKUP(E195,[1]Sheet1!$C:$E,3,FALSE)</f>
        <v>S</v>
      </c>
      <c r="D195" s="12" t="s">
        <v>224</v>
      </c>
      <c r="E195" s="13">
        <v>1323214527</v>
      </c>
      <c r="F195" s="12">
        <v>4.7</v>
      </c>
      <c r="G195" s="8">
        <v>45</v>
      </c>
      <c r="H195" s="8">
        <v>1142.61</v>
      </c>
      <c r="I195" s="8">
        <v>31.4</v>
      </c>
      <c r="J195" s="8">
        <v>25.39</v>
      </c>
      <c r="K195" s="8">
        <v>1090</v>
      </c>
      <c r="L195" s="11">
        <v>0.079</v>
      </c>
      <c r="M195" s="11">
        <v>0.535</v>
      </c>
      <c r="N195" s="11">
        <v>0.0423</v>
      </c>
      <c r="O195" s="8">
        <v>856</v>
      </c>
      <c r="P195" s="8">
        <v>234</v>
      </c>
      <c r="Q195" s="8">
        <v>29</v>
      </c>
      <c r="R195" s="11">
        <v>0.063</v>
      </c>
      <c r="S195" s="11">
        <v>0.137</v>
      </c>
      <c r="T195" s="11">
        <v>0.315</v>
      </c>
      <c r="U195" s="11">
        <v>0.906</v>
      </c>
      <c r="V195" s="11">
        <v>0.341</v>
      </c>
      <c r="W195" s="8">
        <v>1</v>
      </c>
      <c r="X195" s="8">
        <v>1</v>
      </c>
      <c r="Y195" s="8">
        <v>0</v>
      </c>
      <c r="Z195" s="8">
        <v>0</v>
      </c>
      <c r="AA195" s="11">
        <v>0.0222</v>
      </c>
      <c r="AB195" s="11">
        <v>1</v>
      </c>
      <c r="AC195" s="11">
        <v>0</v>
      </c>
      <c r="AD195" s="11">
        <v>0</v>
      </c>
    </row>
    <row r="196" customFormat="1" ht="22" customHeight="1" spans="1:30">
      <c r="A196" s="8" t="s">
        <v>31</v>
      </c>
      <c r="B196" s="8" t="e">
        <f>VLOOKUP(E196,[1]Sheet1!$C:$E,2,FALSE)</f>
        <v>#N/A</v>
      </c>
      <c r="C196" s="8" t="e">
        <f>VLOOKUP(E196,[1]Sheet1!$C:$E,3,FALSE)</f>
        <v>#N/A</v>
      </c>
      <c r="D196" s="8" t="s">
        <v>225</v>
      </c>
      <c r="E196" s="10">
        <v>1170920359</v>
      </c>
      <c r="F196" s="8">
        <v>4.8</v>
      </c>
      <c r="G196" s="8">
        <v>49</v>
      </c>
      <c r="H196" s="8">
        <v>1140.96</v>
      </c>
      <c r="I196" s="8">
        <v>30.38</v>
      </c>
      <c r="J196" s="8">
        <v>23.28</v>
      </c>
      <c r="K196" s="8">
        <v>2538</v>
      </c>
      <c r="L196" s="11">
        <v>0.075</v>
      </c>
      <c r="M196" s="11">
        <v>0.263</v>
      </c>
      <c r="N196" s="11">
        <v>0.0197</v>
      </c>
      <c r="O196" s="8">
        <v>2244</v>
      </c>
      <c r="P196" s="8">
        <v>294</v>
      </c>
      <c r="Q196" s="8">
        <v>14</v>
      </c>
      <c r="R196" s="11">
        <v>0.068</v>
      </c>
      <c r="S196" s="11">
        <v>0.129</v>
      </c>
      <c r="T196" s="11">
        <v>0.237</v>
      </c>
      <c r="U196" s="11">
        <v>0.368</v>
      </c>
      <c r="V196" s="11">
        <v>0.086</v>
      </c>
      <c r="W196" s="8">
        <v>6</v>
      </c>
      <c r="X196" s="8">
        <v>5</v>
      </c>
      <c r="Y196" s="8">
        <v>1</v>
      </c>
      <c r="Z196" s="8">
        <v>0</v>
      </c>
      <c r="AA196" s="11">
        <v>0.1224</v>
      </c>
      <c r="AB196" s="11">
        <v>0.8333</v>
      </c>
      <c r="AC196" s="11">
        <v>0.1667</v>
      </c>
      <c r="AD196" s="11">
        <v>0</v>
      </c>
    </row>
    <row r="197" customFormat="1" ht="22" customHeight="1" spans="1:30">
      <c r="A197" s="8" t="s">
        <v>31</v>
      </c>
      <c r="B197" s="8" t="str">
        <f>VLOOKUP(E197,[1]Sheet1!$C:$E,2,FALSE)</f>
        <v>徐从众</v>
      </c>
      <c r="C197" s="9" t="str">
        <f>VLOOKUP(E197,[1]Sheet1!$C:$E,3,FALSE)</f>
        <v>S</v>
      </c>
      <c r="D197" s="8" t="s">
        <v>226</v>
      </c>
      <c r="E197" s="10">
        <v>1298770846</v>
      </c>
      <c r="F197" s="8">
        <v>4.9</v>
      </c>
      <c r="G197" s="8">
        <v>70</v>
      </c>
      <c r="H197" s="8">
        <v>1130.98</v>
      </c>
      <c r="I197" s="8">
        <v>0</v>
      </c>
      <c r="J197" s="8">
        <v>16.16</v>
      </c>
      <c r="K197" s="8">
        <v>2392</v>
      </c>
      <c r="L197" s="11">
        <v>0.079</v>
      </c>
      <c r="M197" s="11">
        <v>0.353</v>
      </c>
      <c r="N197" s="11">
        <v>0.0279</v>
      </c>
      <c r="O197" s="8">
        <v>0</v>
      </c>
      <c r="P197" s="8">
        <v>0</v>
      </c>
      <c r="Q197" s="8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0.332</v>
      </c>
      <c r="W197" s="8">
        <v>3</v>
      </c>
      <c r="X197" s="8">
        <v>2</v>
      </c>
      <c r="Y197" s="8">
        <v>1</v>
      </c>
      <c r="Z197" s="8">
        <v>0</v>
      </c>
      <c r="AA197" s="11">
        <v>0.0429</v>
      </c>
      <c r="AB197" s="11">
        <v>0.6667</v>
      </c>
      <c r="AC197" s="11">
        <v>0.3333</v>
      </c>
      <c r="AD197" s="11">
        <v>0</v>
      </c>
    </row>
    <row r="198" customFormat="1" ht="22" customHeight="1" spans="1:30">
      <c r="A198" s="8" t="s">
        <v>31</v>
      </c>
      <c r="B198" s="8" t="str">
        <f>VLOOKUP(E198,[1]Sheet1!$C:$E,2,FALSE)</f>
        <v>徐从众</v>
      </c>
      <c r="C198" s="9" t="str">
        <f>VLOOKUP(E198,[1]Sheet1!$C:$E,3,FALSE)</f>
        <v>S</v>
      </c>
      <c r="D198" s="8" t="s">
        <v>227</v>
      </c>
      <c r="E198" s="10">
        <v>541566333</v>
      </c>
      <c r="F198" s="8">
        <v>4.9</v>
      </c>
      <c r="G198" s="8">
        <v>70</v>
      </c>
      <c r="H198" s="8">
        <v>1118.69</v>
      </c>
      <c r="I198" s="8">
        <v>0</v>
      </c>
      <c r="J198" s="8">
        <v>15.98</v>
      </c>
      <c r="K198" s="8">
        <v>1845</v>
      </c>
      <c r="L198" s="11">
        <v>0.101</v>
      </c>
      <c r="M198" s="11">
        <v>0.364</v>
      </c>
      <c r="N198" s="11">
        <v>0.0368</v>
      </c>
      <c r="O198" s="8">
        <v>0</v>
      </c>
      <c r="P198" s="8">
        <v>0</v>
      </c>
      <c r="Q198" s="8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0.36</v>
      </c>
      <c r="W198" s="8">
        <v>4</v>
      </c>
      <c r="X198" s="8">
        <v>4</v>
      </c>
      <c r="Y198" s="8">
        <v>0</v>
      </c>
      <c r="Z198" s="8">
        <v>0</v>
      </c>
      <c r="AA198" s="11">
        <v>0.0571</v>
      </c>
      <c r="AB198" s="11">
        <v>1</v>
      </c>
      <c r="AC198" s="11">
        <v>0</v>
      </c>
      <c r="AD198" s="11">
        <v>0</v>
      </c>
    </row>
    <row r="199" customFormat="1" ht="22" customHeight="1" spans="1:30">
      <c r="A199" s="8" t="s">
        <v>31</v>
      </c>
      <c r="B199" s="8" t="str">
        <f>VLOOKUP(E199,[1]Sheet1!$C:$E,2,FALSE)</f>
        <v>徐从众</v>
      </c>
      <c r="C199" s="9" t="str">
        <f>VLOOKUP(E199,[1]Sheet1!$C:$E,3,FALSE)</f>
        <v>A</v>
      </c>
      <c r="D199" s="12" t="s">
        <v>228</v>
      </c>
      <c r="E199" s="13">
        <v>537264081</v>
      </c>
      <c r="F199" s="12">
        <v>4.7</v>
      </c>
      <c r="G199" s="8">
        <v>38</v>
      </c>
      <c r="H199" s="8">
        <v>1115.79</v>
      </c>
      <c r="I199" s="8">
        <v>36.66</v>
      </c>
      <c r="J199" s="8">
        <v>29.36</v>
      </c>
      <c r="K199" s="8">
        <v>2504</v>
      </c>
      <c r="L199" s="11">
        <v>0.072</v>
      </c>
      <c r="M199" s="11">
        <v>0.211</v>
      </c>
      <c r="N199" s="11">
        <v>0.0152</v>
      </c>
      <c r="O199" s="8">
        <v>2070</v>
      </c>
      <c r="P199" s="8">
        <v>434</v>
      </c>
      <c r="Q199" s="8">
        <v>24</v>
      </c>
      <c r="R199" s="11">
        <v>0.056</v>
      </c>
      <c r="S199" s="11">
        <v>0.15</v>
      </c>
      <c r="T199" s="11">
        <v>0.122</v>
      </c>
      <c r="U199" s="11">
        <v>0.369</v>
      </c>
      <c r="V199" s="11">
        <v>0.278</v>
      </c>
      <c r="W199" s="8">
        <v>2</v>
      </c>
      <c r="X199" s="8">
        <v>2</v>
      </c>
      <c r="Y199" s="8">
        <v>0</v>
      </c>
      <c r="Z199" s="8">
        <v>0</v>
      </c>
      <c r="AA199" s="11">
        <v>0.0526</v>
      </c>
      <c r="AB199" s="11">
        <v>1</v>
      </c>
      <c r="AC199" s="11">
        <v>0</v>
      </c>
      <c r="AD199" s="11">
        <v>0</v>
      </c>
    </row>
    <row r="200" customFormat="1" ht="22" customHeight="1" spans="1:30">
      <c r="A200" s="8" t="s">
        <v>31</v>
      </c>
      <c r="B200" s="8" t="e">
        <f>VLOOKUP(E200,[1]Sheet1!$C:$E,2,FALSE)</f>
        <v>#N/A</v>
      </c>
      <c r="C200" s="8" t="e">
        <f>VLOOKUP(E200,[1]Sheet1!$C:$E,3,FALSE)</f>
        <v>#N/A</v>
      </c>
      <c r="D200" s="12" t="s">
        <v>229</v>
      </c>
      <c r="E200" s="13">
        <v>147195211</v>
      </c>
      <c r="F200" s="12">
        <v>4.7</v>
      </c>
      <c r="G200" s="8">
        <v>8</v>
      </c>
      <c r="H200" s="8">
        <v>1112.33</v>
      </c>
      <c r="I200" s="8">
        <v>180.21</v>
      </c>
      <c r="J200" s="8">
        <v>139.04</v>
      </c>
      <c r="K200" s="8">
        <v>1523</v>
      </c>
      <c r="L200" s="11">
        <v>0.057</v>
      </c>
      <c r="M200" s="11">
        <v>0.092</v>
      </c>
      <c r="N200" s="11">
        <v>0.0052</v>
      </c>
      <c r="O200" s="8">
        <v>1170</v>
      </c>
      <c r="P200" s="8">
        <v>353</v>
      </c>
      <c r="Q200" s="8">
        <v>6</v>
      </c>
      <c r="R200" s="11">
        <v>0.056</v>
      </c>
      <c r="S200" s="11">
        <v>0.062</v>
      </c>
      <c r="T200" s="11">
        <v>0.031</v>
      </c>
      <c r="U200" s="11">
        <v>0.273</v>
      </c>
      <c r="V200" s="11">
        <v>0.083</v>
      </c>
      <c r="W200" s="8">
        <v>1</v>
      </c>
      <c r="X200" s="8">
        <v>1</v>
      </c>
      <c r="Y200" s="8">
        <v>0</v>
      </c>
      <c r="Z200" s="8">
        <v>0</v>
      </c>
      <c r="AA200" s="11">
        <v>0.125</v>
      </c>
      <c r="AB200" s="11">
        <v>1</v>
      </c>
      <c r="AC200" s="11">
        <v>0</v>
      </c>
      <c r="AD200" s="11">
        <v>0</v>
      </c>
    </row>
    <row r="201" customFormat="1" ht="22" customHeight="1" spans="1:30">
      <c r="A201" s="8" t="s">
        <v>31</v>
      </c>
      <c r="B201" s="8" t="e">
        <f>VLOOKUP(E201,[1]Sheet1!$C:$E,2,FALSE)</f>
        <v>#N/A</v>
      </c>
      <c r="C201" s="8" t="e">
        <f>VLOOKUP(E201,[1]Sheet1!$C:$E,3,FALSE)</f>
        <v>#N/A</v>
      </c>
      <c r="D201" s="12" t="s">
        <v>230</v>
      </c>
      <c r="E201" s="13">
        <v>1171010287</v>
      </c>
      <c r="F201" s="12">
        <v>4.7</v>
      </c>
      <c r="G201" s="8">
        <v>25</v>
      </c>
      <c r="H201" s="8">
        <v>1111.01</v>
      </c>
      <c r="I201" s="8">
        <v>0</v>
      </c>
      <c r="J201" s="8">
        <v>44.44</v>
      </c>
      <c r="K201" s="8">
        <v>3716</v>
      </c>
      <c r="L201" s="11">
        <v>0.036</v>
      </c>
      <c r="M201" s="11">
        <v>0.187</v>
      </c>
      <c r="N201" s="11">
        <v>0.0067</v>
      </c>
      <c r="O201" s="8">
        <v>0</v>
      </c>
      <c r="P201" s="8">
        <v>0</v>
      </c>
      <c r="Q201" s="8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0.148</v>
      </c>
      <c r="W201" s="8">
        <v>2</v>
      </c>
      <c r="X201" s="8">
        <v>2</v>
      </c>
      <c r="Y201" s="8">
        <v>0</v>
      </c>
      <c r="Z201" s="8">
        <v>0</v>
      </c>
      <c r="AA201" s="11">
        <v>0.08</v>
      </c>
      <c r="AB201" s="11">
        <v>1</v>
      </c>
      <c r="AC201" s="11">
        <v>0</v>
      </c>
      <c r="AD201" s="11">
        <v>0</v>
      </c>
    </row>
    <row r="202" customFormat="1" ht="22" customHeight="1" spans="1:30">
      <c r="A202" s="8" t="s">
        <v>31</v>
      </c>
      <c r="B202" s="8" t="str">
        <f>VLOOKUP(E202,[1]Sheet1!$C:$E,2,FALSE)</f>
        <v>徐从众</v>
      </c>
      <c r="C202" s="9" t="str">
        <f>VLOOKUP(E202,[1]Sheet1!$C:$E,3,FALSE)</f>
        <v>S</v>
      </c>
      <c r="D202" s="12" t="s">
        <v>231</v>
      </c>
      <c r="E202" s="13">
        <v>1348265901</v>
      </c>
      <c r="F202" s="12">
        <v>4.6</v>
      </c>
      <c r="G202" s="8">
        <v>58</v>
      </c>
      <c r="H202" s="8">
        <v>1100.76</v>
      </c>
      <c r="I202" s="8">
        <v>26.17</v>
      </c>
      <c r="J202" s="8">
        <v>18.98</v>
      </c>
      <c r="K202" s="8">
        <v>2220</v>
      </c>
      <c r="L202" s="11">
        <v>0.07</v>
      </c>
      <c r="M202" s="11">
        <v>0.374</v>
      </c>
      <c r="N202" s="11">
        <v>0.0262</v>
      </c>
      <c r="O202" s="8">
        <v>1935</v>
      </c>
      <c r="P202" s="8">
        <v>285</v>
      </c>
      <c r="Q202" s="8">
        <v>30</v>
      </c>
      <c r="R202" s="11">
        <v>0.052</v>
      </c>
      <c r="S202" s="11">
        <v>0.189</v>
      </c>
      <c r="T202" s="11">
        <v>0.277</v>
      </c>
      <c r="U202" s="11">
        <v>0.556</v>
      </c>
      <c r="V202" s="11">
        <v>0.248</v>
      </c>
      <c r="W202" s="8">
        <v>1</v>
      </c>
      <c r="X202" s="8">
        <v>0</v>
      </c>
      <c r="Y202" s="8">
        <v>0</v>
      </c>
      <c r="Z202" s="8">
        <v>1</v>
      </c>
      <c r="AA202" s="11">
        <v>0.0172</v>
      </c>
      <c r="AB202" s="11">
        <v>0</v>
      </c>
      <c r="AC202" s="11">
        <v>0</v>
      </c>
      <c r="AD202" s="11">
        <v>1</v>
      </c>
    </row>
    <row r="203" customFormat="1" ht="22" customHeight="1" spans="1:30">
      <c r="A203" s="8" t="s">
        <v>31</v>
      </c>
      <c r="B203" s="8" t="e">
        <f>VLOOKUP(E203,[1]Sheet1!$C:$E,2,FALSE)</f>
        <v>#N/A</v>
      </c>
      <c r="C203" s="8" t="e">
        <f>VLOOKUP(E203,[1]Sheet1!$C:$E,3,FALSE)</f>
        <v>#N/A</v>
      </c>
      <c r="D203" s="12" t="s">
        <v>232</v>
      </c>
      <c r="E203" s="13">
        <v>1164116974</v>
      </c>
      <c r="F203" s="12">
        <v>4.3</v>
      </c>
      <c r="G203" s="8">
        <v>59</v>
      </c>
      <c r="H203" s="8">
        <v>1077.21</v>
      </c>
      <c r="I203" s="8">
        <v>25.03</v>
      </c>
      <c r="J203" s="8">
        <v>18.26</v>
      </c>
      <c r="K203" s="8">
        <v>3887</v>
      </c>
      <c r="L203" s="11">
        <v>0.065</v>
      </c>
      <c r="M203" s="11">
        <v>0.235</v>
      </c>
      <c r="N203" s="11">
        <v>0.0153</v>
      </c>
      <c r="O203" s="8">
        <v>3450</v>
      </c>
      <c r="P203" s="8">
        <v>437</v>
      </c>
      <c r="Q203" s="8">
        <v>13</v>
      </c>
      <c r="R203" s="11">
        <v>0.061</v>
      </c>
      <c r="S203" s="11">
        <v>0.089</v>
      </c>
      <c r="T203" s="11">
        <v>0.217</v>
      </c>
      <c r="U203" s="11">
        <v>0.333</v>
      </c>
      <c r="V203" s="11">
        <v>0.095</v>
      </c>
      <c r="W203" s="8">
        <v>5</v>
      </c>
      <c r="X203" s="8">
        <v>5</v>
      </c>
      <c r="Y203" s="8">
        <v>0</v>
      </c>
      <c r="Z203" s="8">
        <v>0</v>
      </c>
      <c r="AA203" s="11">
        <v>0.0847</v>
      </c>
      <c r="AB203" s="11">
        <v>1</v>
      </c>
      <c r="AC203" s="11">
        <v>0</v>
      </c>
      <c r="AD203" s="11">
        <v>0</v>
      </c>
    </row>
    <row r="204" customFormat="1" ht="22" customHeight="1" spans="1:30">
      <c r="A204" s="8" t="s">
        <v>31</v>
      </c>
      <c r="B204" s="8" t="str">
        <f>VLOOKUP(E204,[1]Sheet1!$C:$E,2,FALSE)</f>
        <v>刘欢</v>
      </c>
      <c r="C204" s="9" t="str">
        <f>VLOOKUP(E204,[1]Sheet1!$C:$E,3,FALSE)</f>
        <v>A</v>
      </c>
      <c r="D204" s="8" t="s">
        <v>233</v>
      </c>
      <c r="E204" s="10">
        <v>1253934669</v>
      </c>
      <c r="F204" s="8">
        <v>5</v>
      </c>
      <c r="G204" s="8">
        <v>29</v>
      </c>
      <c r="H204" s="8">
        <v>1068.79</v>
      </c>
      <c r="I204" s="8">
        <v>0</v>
      </c>
      <c r="J204" s="8">
        <v>36.85</v>
      </c>
      <c r="K204" s="8">
        <v>1961</v>
      </c>
      <c r="L204" s="11">
        <v>0.076</v>
      </c>
      <c r="M204" s="11">
        <v>0.195</v>
      </c>
      <c r="N204" s="11">
        <v>0.0148</v>
      </c>
      <c r="O204" s="8">
        <v>0</v>
      </c>
      <c r="P204" s="8">
        <v>0</v>
      </c>
      <c r="Q204" s="8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0.106</v>
      </c>
      <c r="W204" s="8">
        <v>4</v>
      </c>
      <c r="X204" s="8">
        <v>3</v>
      </c>
      <c r="Y204" s="8">
        <v>1</v>
      </c>
      <c r="Z204" s="8">
        <v>0</v>
      </c>
      <c r="AA204" s="11">
        <v>0.1379</v>
      </c>
      <c r="AB204" s="11">
        <v>0.75</v>
      </c>
      <c r="AC204" s="11">
        <v>0.25</v>
      </c>
      <c r="AD204" s="11">
        <v>0</v>
      </c>
    </row>
    <row r="205" customFormat="1" ht="22" customHeight="1" spans="1:30">
      <c r="A205" s="8" t="s">
        <v>31</v>
      </c>
      <c r="B205" s="8" t="str">
        <f>VLOOKUP(E205,[1]Sheet1!$C:$E,2,FALSE)</f>
        <v>岳贝贝</v>
      </c>
      <c r="C205" s="9" t="str">
        <f>VLOOKUP(E205,[1]Sheet1!$C:$E,3,FALSE)</f>
        <v>A</v>
      </c>
      <c r="D205" s="8" t="s">
        <v>234</v>
      </c>
      <c r="E205" s="10">
        <v>1290072787</v>
      </c>
      <c r="F205" s="8">
        <v>5</v>
      </c>
      <c r="G205" s="8">
        <v>48</v>
      </c>
      <c r="H205" s="8">
        <v>1046.69</v>
      </c>
      <c r="I205" s="8">
        <v>0</v>
      </c>
      <c r="J205" s="8">
        <v>21.81</v>
      </c>
      <c r="K205" s="8">
        <v>2055</v>
      </c>
      <c r="L205" s="11">
        <v>0.084</v>
      </c>
      <c r="M205" s="11">
        <v>0.273</v>
      </c>
      <c r="N205" s="11">
        <v>0.0229</v>
      </c>
      <c r="O205" s="8">
        <v>0</v>
      </c>
      <c r="P205" s="8">
        <v>0</v>
      </c>
      <c r="Q205" s="8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0.188</v>
      </c>
      <c r="W205" s="8">
        <v>6</v>
      </c>
      <c r="X205" s="8">
        <v>6</v>
      </c>
      <c r="Y205" s="8">
        <v>0</v>
      </c>
      <c r="Z205" s="8">
        <v>0</v>
      </c>
      <c r="AA205" s="11">
        <v>0.125</v>
      </c>
      <c r="AB205" s="11">
        <v>1</v>
      </c>
      <c r="AC205" s="11">
        <v>0</v>
      </c>
      <c r="AD205" s="11">
        <v>0</v>
      </c>
    </row>
    <row r="206" customFormat="1" ht="22" customHeight="1" spans="1:30">
      <c r="A206" s="8" t="s">
        <v>31</v>
      </c>
      <c r="B206" s="8" t="str">
        <f>VLOOKUP(E206,[1]Sheet1!$C:$E,2,FALSE)</f>
        <v>刘欢</v>
      </c>
      <c r="C206" s="9" t="str">
        <f>VLOOKUP(E206,[1]Sheet1!$C:$E,3,FALSE)</f>
        <v>A</v>
      </c>
      <c r="D206" s="12" t="s">
        <v>235</v>
      </c>
      <c r="E206" s="13">
        <v>530943798</v>
      </c>
      <c r="F206" s="12">
        <v>4.6</v>
      </c>
      <c r="G206" s="8">
        <v>24</v>
      </c>
      <c r="H206" s="8">
        <v>1045.32</v>
      </c>
      <c r="I206" s="8">
        <v>51.86</v>
      </c>
      <c r="J206" s="8">
        <v>43.56</v>
      </c>
      <c r="K206" s="8">
        <v>2157</v>
      </c>
      <c r="L206" s="11">
        <v>0.06</v>
      </c>
      <c r="M206" s="11">
        <v>0.186</v>
      </c>
      <c r="N206" s="11">
        <v>0.0112</v>
      </c>
      <c r="O206" s="8">
        <v>1742</v>
      </c>
      <c r="P206" s="8">
        <v>415</v>
      </c>
      <c r="Q206" s="8">
        <v>14</v>
      </c>
      <c r="R206" s="11">
        <v>0.049</v>
      </c>
      <c r="S206" s="11">
        <v>0.104</v>
      </c>
      <c r="T206" s="11">
        <v>0.116</v>
      </c>
      <c r="U206" s="11">
        <v>0.326</v>
      </c>
      <c r="V206" s="11">
        <v>0.211</v>
      </c>
      <c r="W206" s="8">
        <v>0</v>
      </c>
      <c r="X206" s="8">
        <v>0</v>
      </c>
      <c r="Y206" s="8">
        <v>0</v>
      </c>
      <c r="Z206" s="8">
        <v>0</v>
      </c>
      <c r="AA206" s="11">
        <v>0</v>
      </c>
      <c r="AB206" s="11">
        <v>0</v>
      </c>
      <c r="AC206" s="11">
        <v>0</v>
      </c>
      <c r="AD206" s="11">
        <v>0</v>
      </c>
    </row>
    <row r="207" customFormat="1" ht="22" customHeight="1" spans="1:30">
      <c r="A207" s="8" t="s">
        <v>31</v>
      </c>
      <c r="B207" s="8" t="str">
        <f>VLOOKUP(E207,[1]Sheet1!$C:$E,2,FALSE)</f>
        <v>徐从众</v>
      </c>
      <c r="C207" s="9" t="str">
        <f>VLOOKUP(E207,[1]Sheet1!$C:$E,3,FALSE)</f>
        <v>S</v>
      </c>
      <c r="D207" s="8" t="s">
        <v>236</v>
      </c>
      <c r="E207" s="10">
        <v>540910445</v>
      </c>
      <c r="F207" s="8">
        <v>4.9</v>
      </c>
      <c r="G207" s="8">
        <v>65</v>
      </c>
      <c r="H207" s="8">
        <v>1042.59</v>
      </c>
      <c r="I207" s="8">
        <v>0</v>
      </c>
      <c r="J207" s="8">
        <v>16.04</v>
      </c>
      <c r="K207" s="8">
        <v>2556</v>
      </c>
      <c r="L207" s="11">
        <v>0.068</v>
      </c>
      <c r="M207" s="11">
        <v>0.362</v>
      </c>
      <c r="N207" s="11">
        <v>0.0246</v>
      </c>
      <c r="O207" s="8">
        <v>0</v>
      </c>
      <c r="P207" s="8">
        <v>0</v>
      </c>
      <c r="Q207" s="8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0.349</v>
      </c>
      <c r="W207" s="8">
        <v>1</v>
      </c>
      <c r="X207" s="8">
        <v>1</v>
      </c>
      <c r="Y207" s="8">
        <v>0</v>
      </c>
      <c r="Z207" s="8">
        <v>0</v>
      </c>
      <c r="AA207" s="11">
        <v>0.0154</v>
      </c>
      <c r="AB207" s="11">
        <v>1</v>
      </c>
      <c r="AC207" s="11">
        <v>0</v>
      </c>
      <c r="AD207" s="11">
        <v>0</v>
      </c>
    </row>
    <row r="208" customFormat="1" ht="22" customHeight="1" spans="1:30">
      <c r="A208" s="8" t="s">
        <v>31</v>
      </c>
      <c r="B208" s="8" t="str">
        <f>VLOOKUP(E208,[1]Sheet1!$C:$E,2,FALSE)</f>
        <v>王森</v>
      </c>
      <c r="C208" s="8" t="str">
        <f>VLOOKUP(E208,[1]Sheet1!$C:$E,3,FALSE)</f>
        <v>B</v>
      </c>
      <c r="D208" s="12" t="s">
        <v>237</v>
      </c>
      <c r="E208" s="13">
        <v>1528428</v>
      </c>
      <c r="F208" s="12">
        <v>4.6</v>
      </c>
      <c r="G208" s="8">
        <v>28</v>
      </c>
      <c r="H208" s="8">
        <v>1038.87</v>
      </c>
      <c r="I208" s="8">
        <v>43.99</v>
      </c>
      <c r="J208" s="8">
        <v>37.1</v>
      </c>
      <c r="K208" s="8">
        <v>1435</v>
      </c>
      <c r="L208" s="11">
        <v>0.084</v>
      </c>
      <c r="M208" s="11">
        <v>0.223</v>
      </c>
      <c r="N208" s="11">
        <v>0.0187</v>
      </c>
      <c r="O208" s="8">
        <v>1115</v>
      </c>
      <c r="P208" s="8">
        <v>320</v>
      </c>
      <c r="Q208" s="8">
        <v>18</v>
      </c>
      <c r="R208" s="11">
        <v>0.067</v>
      </c>
      <c r="S208" s="11">
        <v>0.144</v>
      </c>
      <c r="T208" s="11">
        <v>0.12</v>
      </c>
      <c r="U208" s="11">
        <v>0.391</v>
      </c>
      <c r="V208" s="11">
        <v>0.27</v>
      </c>
      <c r="W208" s="8">
        <v>6</v>
      </c>
      <c r="X208" s="8">
        <v>6</v>
      </c>
      <c r="Y208" s="8">
        <v>0</v>
      </c>
      <c r="Z208" s="8">
        <v>0</v>
      </c>
      <c r="AA208" s="11">
        <v>0.2143</v>
      </c>
      <c r="AB208" s="11">
        <v>1</v>
      </c>
      <c r="AC208" s="11">
        <v>0</v>
      </c>
      <c r="AD208" s="11">
        <v>0</v>
      </c>
    </row>
    <row r="209" customFormat="1" ht="22" customHeight="1" spans="1:30">
      <c r="A209" s="8" t="s">
        <v>31</v>
      </c>
      <c r="B209" s="8" t="str">
        <f>VLOOKUP(E209,[1]Sheet1!$C:$E,2,FALSE)</f>
        <v>徐从众</v>
      </c>
      <c r="C209" s="9" t="str">
        <f>VLOOKUP(E209,[1]Sheet1!$C:$E,3,FALSE)</f>
        <v>A</v>
      </c>
      <c r="D209" s="8" t="s">
        <v>238</v>
      </c>
      <c r="E209" s="10">
        <v>528236181</v>
      </c>
      <c r="F209" s="8">
        <v>5</v>
      </c>
      <c r="G209" s="8">
        <v>23</v>
      </c>
      <c r="H209" s="8">
        <v>1034.76</v>
      </c>
      <c r="I209" s="8">
        <v>0</v>
      </c>
      <c r="J209" s="8">
        <v>44.99</v>
      </c>
      <c r="K209" s="8">
        <v>2730</v>
      </c>
      <c r="L209" s="11">
        <v>0.074</v>
      </c>
      <c r="M209" s="11">
        <v>0.114</v>
      </c>
      <c r="N209" s="11">
        <v>0.0084</v>
      </c>
      <c r="O209" s="8">
        <v>0</v>
      </c>
      <c r="P209" s="8">
        <v>0</v>
      </c>
      <c r="Q209" s="8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0.179</v>
      </c>
      <c r="W209" s="8">
        <v>0</v>
      </c>
      <c r="X209" s="8">
        <v>0</v>
      </c>
      <c r="Y209" s="8">
        <v>0</v>
      </c>
      <c r="Z209" s="8">
        <v>0</v>
      </c>
      <c r="AA209" s="11">
        <v>0</v>
      </c>
      <c r="AB209" s="11">
        <v>0</v>
      </c>
      <c r="AC209" s="11">
        <v>0</v>
      </c>
      <c r="AD209" s="11">
        <v>0</v>
      </c>
    </row>
    <row r="210" customFormat="1" ht="22" customHeight="1" spans="1:30">
      <c r="A210" s="8" t="s">
        <v>31</v>
      </c>
      <c r="B210" s="8" t="e">
        <f>VLOOKUP(E210,[1]Sheet1!$C:$E,2,FALSE)</f>
        <v>#N/A</v>
      </c>
      <c r="C210" s="8" t="e">
        <f>VLOOKUP(E210,[1]Sheet1!$C:$E,3,FALSE)</f>
        <v>#N/A</v>
      </c>
      <c r="D210" s="12" t="s">
        <v>239</v>
      </c>
      <c r="E210" s="13">
        <v>1328025943</v>
      </c>
      <c r="F210" s="12">
        <v>4.6</v>
      </c>
      <c r="G210" s="8">
        <v>73</v>
      </c>
      <c r="H210" s="8">
        <v>1032.48</v>
      </c>
      <c r="I210" s="8">
        <v>18.6</v>
      </c>
      <c r="J210" s="8">
        <v>14.14</v>
      </c>
      <c r="K210" s="8">
        <v>2005</v>
      </c>
      <c r="L210" s="11">
        <v>0.093</v>
      </c>
      <c r="M210" s="11">
        <v>0.366</v>
      </c>
      <c r="N210" s="11">
        <v>0.034</v>
      </c>
      <c r="O210" s="8">
        <v>1655</v>
      </c>
      <c r="P210" s="8">
        <v>350</v>
      </c>
      <c r="Q210" s="8">
        <v>46</v>
      </c>
      <c r="R210" s="11">
        <v>0.069</v>
      </c>
      <c r="S210" s="11">
        <v>0.206</v>
      </c>
      <c r="T210" s="11">
        <v>0.193</v>
      </c>
      <c r="U210" s="11">
        <v>0.639</v>
      </c>
      <c r="V210" s="11">
        <v>0.285</v>
      </c>
      <c r="W210" s="8">
        <v>4</v>
      </c>
      <c r="X210" s="8">
        <v>4</v>
      </c>
      <c r="Y210" s="8">
        <v>0</v>
      </c>
      <c r="Z210" s="8">
        <v>0</v>
      </c>
      <c r="AA210" s="11">
        <v>0.0548</v>
      </c>
      <c r="AB210" s="11">
        <v>1</v>
      </c>
      <c r="AC210" s="11">
        <v>0</v>
      </c>
      <c r="AD210" s="11">
        <v>0</v>
      </c>
    </row>
    <row r="211" customFormat="1" ht="22" customHeight="1" spans="1:30">
      <c r="A211" s="8" t="s">
        <v>31</v>
      </c>
      <c r="B211" s="8" t="str">
        <f>VLOOKUP(E211,[1]Sheet1!$C:$E,2,FALSE)</f>
        <v>徐从众</v>
      </c>
      <c r="C211" s="9" t="str">
        <f>VLOOKUP(E211,[1]Sheet1!$C:$E,3,FALSE)</f>
        <v>A</v>
      </c>
      <c r="D211" s="8" t="s">
        <v>240</v>
      </c>
      <c r="E211" s="10">
        <v>529138838</v>
      </c>
      <c r="F211" s="8">
        <v>4.8</v>
      </c>
      <c r="G211" s="8">
        <v>19</v>
      </c>
      <c r="H211" s="8">
        <v>1029.27</v>
      </c>
      <c r="I211" s="8">
        <v>0</v>
      </c>
      <c r="J211" s="8">
        <v>54.17</v>
      </c>
      <c r="K211" s="8">
        <v>739</v>
      </c>
      <c r="L211" s="11">
        <v>0.116</v>
      </c>
      <c r="M211" s="11">
        <v>0.221</v>
      </c>
      <c r="N211" s="11">
        <v>0.0256</v>
      </c>
      <c r="O211" s="8">
        <v>0</v>
      </c>
      <c r="P211" s="8">
        <v>0</v>
      </c>
      <c r="Q211" s="8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0.26</v>
      </c>
      <c r="W211" s="8">
        <v>2</v>
      </c>
      <c r="X211" s="8">
        <v>2</v>
      </c>
      <c r="Y211" s="8">
        <v>0</v>
      </c>
      <c r="Z211" s="8">
        <v>0</v>
      </c>
      <c r="AA211" s="11">
        <v>0.1053</v>
      </c>
      <c r="AB211" s="11">
        <v>1</v>
      </c>
      <c r="AC211" s="11">
        <v>0</v>
      </c>
      <c r="AD211" s="11">
        <v>0</v>
      </c>
    </row>
    <row r="212" customFormat="1" ht="22" customHeight="1" spans="1:30">
      <c r="A212" s="8" t="s">
        <v>31</v>
      </c>
      <c r="B212" s="8" t="str">
        <f>VLOOKUP(E212,[1]Sheet1!$C:$E,2,FALSE)</f>
        <v>徐从众</v>
      </c>
      <c r="C212" s="9" t="str">
        <f>VLOOKUP(E212,[1]Sheet1!$C:$E,3,FALSE)</f>
        <v>A</v>
      </c>
      <c r="D212" s="12" t="s">
        <v>241</v>
      </c>
      <c r="E212" s="13">
        <v>2062907387</v>
      </c>
      <c r="F212" s="12">
        <v>4.5</v>
      </c>
      <c r="G212" s="8">
        <v>33</v>
      </c>
      <c r="H212" s="8">
        <v>1018.25</v>
      </c>
      <c r="I212" s="8">
        <v>38.36</v>
      </c>
      <c r="J212" s="8">
        <v>30.86</v>
      </c>
      <c r="K212" s="8">
        <v>2165</v>
      </c>
      <c r="L212" s="11">
        <v>0.081</v>
      </c>
      <c r="M212" s="11">
        <v>0.188</v>
      </c>
      <c r="N212" s="11">
        <v>0.0152</v>
      </c>
      <c r="O212" s="8">
        <v>1643</v>
      </c>
      <c r="P212" s="8">
        <v>522</v>
      </c>
      <c r="Q212" s="8">
        <v>22</v>
      </c>
      <c r="R212" s="11">
        <v>0.061</v>
      </c>
      <c r="S212" s="11">
        <v>0.144</v>
      </c>
      <c r="T212" s="11">
        <v>0.109</v>
      </c>
      <c r="U212" s="11">
        <v>0.293</v>
      </c>
      <c r="V212" s="11">
        <v>0.297</v>
      </c>
      <c r="W212" s="8">
        <v>0</v>
      </c>
      <c r="X212" s="8">
        <v>0</v>
      </c>
      <c r="Y212" s="8">
        <v>0</v>
      </c>
      <c r="Z212" s="8">
        <v>0</v>
      </c>
      <c r="AA212" s="11">
        <v>0</v>
      </c>
      <c r="AB212" s="11">
        <v>0</v>
      </c>
      <c r="AC212" s="11">
        <v>0</v>
      </c>
      <c r="AD212" s="11">
        <v>0</v>
      </c>
    </row>
    <row r="213" customFormat="1" ht="22" customHeight="1" spans="1:30">
      <c r="A213" s="8" t="s">
        <v>31</v>
      </c>
      <c r="B213" s="8" t="e">
        <f>VLOOKUP(E213,[1]Sheet1!$C:$E,2,FALSE)</f>
        <v>#N/A</v>
      </c>
      <c r="C213" s="8" t="e">
        <f>VLOOKUP(E213,[1]Sheet1!$C:$E,3,FALSE)</f>
        <v>#N/A</v>
      </c>
      <c r="D213" s="8" t="s">
        <v>242</v>
      </c>
      <c r="E213" s="10">
        <v>540720075</v>
      </c>
      <c r="F213" s="8">
        <v>4.9</v>
      </c>
      <c r="G213" s="8">
        <v>56</v>
      </c>
      <c r="H213" s="8">
        <v>1014.6</v>
      </c>
      <c r="I213" s="8">
        <v>0</v>
      </c>
      <c r="J213" s="8">
        <v>18.12</v>
      </c>
      <c r="K213" s="8">
        <v>2111</v>
      </c>
      <c r="L213" s="11">
        <v>0.071</v>
      </c>
      <c r="M213" s="11">
        <v>0.356</v>
      </c>
      <c r="N213" s="11">
        <v>0.0253</v>
      </c>
      <c r="O213" s="8">
        <v>0</v>
      </c>
      <c r="P213" s="8">
        <v>0</v>
      </c>
      <c r="Q213" s="8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0.315</v>
      </c>
      <c r="W213" s="8">
        <v>2</v>
      </c>
      <c r="X213" s="8">
        <v>1</v>
      </c>
      <c r="Y213" s="8">
        <v>0</v>
      </c>
      <c r="Z213" s="8">
        <v>1</v>
      </c>
      <c r="AA213" s="11">
        <v>0.0357</v>
      </c>
      <c r="AB213" s="11">
        <v>0.5</v>
      </c>
      <c r="AC213" s="11">
        <v>0</v>
      </c>
      <c r="AD213" s="11">
        <v>0.5</v>
      </c>
    </row>
    <row r="214" customFormat="1" ht="22" customHeight="1" spans="1:30">
      <c r="A214" s="8" t="s">
        <v>31</v>
      </c>
      <c r="B214" s="8" t="str">
        <f>VLOOKUP(E214,[1]Sheet1!$C:$E,2,FALSE)</f>
        <v>刘欢</v>
      </c>
      <c r="C214" s="9" t="str">
        <f>VLOOKUP(E214,[1]Sheet1!$C:$E,3,FALSE)</f>
        <v>A</v>
      </c>
      <c r="D214" s="12" t="s">
        <v>243</v>
      </c>
      <c r="E214" s="13">
        <v>1271713523</v>
      </c>
      <c r="F214" s="12">
        <v>4.7</v>
      </c>
      <c r="G214" s="8">
        <v>25</v>
      </c>
      <c r="H214" s="8">
        <v>1012.13</v>
      </c>
      <c r="I214" s="8">
        <v>48.43</v>
      </c>
      <c r="J214" s="8">
        <v>40.49</v>
      </c>
      <c r="K214" s="8">
        <v>1788</v>
      </c>
      <c r="L214" s="11">
        <v>0.081</v>
      </c>
      <c r="M214" s="11">
        <v>0.167</v>
      </c>
      <c r="N214" s="11">
        <v>0.0135</v>
      </c>
      <c r="O214" s="8">
        <v>1605</v>
      </c>
      <c r="P214" s="8">
        <v>183</v>
      </c>
      <c r="Q214" s="8">
        <v>11</v>
      </c>
      <c r="R214" s="11">
        <v>0.074</v>
      </c>
      <c r="S214" s="11">
        <v>0.142</v>
      </c>
      <c r="T214" s="11">
        <v>0.11</v>
      </c>
      <c r="U214" s="11">
        <v>0.423</v>
      </c>
      <c r="V214" s="11">
        <v>0.153</v>
      </c>
      <c r="W214" s="8">
        <v>0</v>
      </c>
      <c r="X214" s="8">
        <v>0</v>
      </c>
      <c r="Y214" s="8">
        <v>0</v>
      </c>
      <c r="Z214" s="8">
        <v>0</v>
      </c>
      <c r="AA214" s="11">
        <v>0</v>
      </c>
      <c r="AB214" s="11">
        <v>0</v>
      </c>
      <c r="AC214" s="11">
        <v>0</v>
      </c>
      <c r="AD214" s="11">
        <v>0</v>
      </c>
    </row>
    <row r="215" customFormat="1" ht="22" customHeight="1" spans="1:30">
      <c r="A215" s="8" t="s">
        <v>31</v>
      </c>
      <c r="B215" s="8" t="e">
        <f>VLOOKUP(E215,[1]Sheet1!$C:$E,2,FALSE)</f>
        <v>#N/A</v>
      </c>
      <c r="C215" s="8" t="e">
        <f>VLOOKUP(E215,[1]Sheet1!$C:$E,3,FALSE)</f>
        <v>#N/A</v>
      </c>
      <c r="D215" s="8" t="s">
        <v>244</v>
      </c>
      <c r="E215" s="10">
        <v>1157920382</v>
      </c>
      <c r="F215" s="8">
        <v>5</v>
      </c>
      <c r="G215" s="8">
        <v>42</v>
      </c>
      <c r="H215" s="8">
        <v>1000.65</v>
      </c>
      <c r="I215" s="8">
        <v>0</v>
      </c>
      <c r="J215" s="8">
        <v>23.83</v>
      </c>
      <c r="K215" s="8">
        <v>1538</v>
      </c>
      <c r="L215" s="11">
        <v>0.074</v>
      </c>
      <c r="M215" s="11">
        <v>0.368</v>
      </c>
      <c r="N215" s="11">
        <v>0.0272</v>
      </c>
      <c r="O215" s="8">
        <v>0</v>
      </c>
      <c r="P215" s="8">
        <v>0</v>
      </c>
      <c r="Q215" s="8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0.213</v>
      </c>
      <c r="W215" s="8">
        <v>29</v>
      </c>
      <c r="X215" s="8">
        <v>29</v>
      </c>
      <c r="Y215" s="8">
        <v>0</v>
      </c>
      <c r="Z215" s="8">
        <v>0</v>
      </c>
      <c r="AA215" s="11">
        <v>0.6905</v>
      </c>
      <c r="AB215" s="11">
        <v>1</v>
      </c>
      <c r="AC215" s="11">
        <v>0</v>
      </c>
      <c r="AD215" s="11">
        <v>0</v>
      </c>
    </row>
    <row r="216" customFormat="1" ht="22" customHeight="1" spans="1:30">
      <c r="A216" s="8" t="s">
        <v>31</v>
      </c>
      <c r="B216" s="8" t="str">
        <f>VLOOKUP(E216,[1]Sheet1!$C:$E,2,FALSE)</f>
        <v>徐从众</v>
      </c>
      <c r="C216" s="9" t="str">
        <f>VLOOKUP(E216,[1]Sheet1!$C:$E,3,FALSE)</f>
        <v>A</v>
      </c>
      <c r="D216" s="12" t="s">
        <v>245</v>
      </c>
      <c r="E216" s="13">
        <v>2091964173</v>
      </c>
      <c r="F216" s="12">
        <v>4.7</v>
      </c>
      <c r="G216" s="8">
        <v>33</v>
      </c>
      <c r="H216" s="8">
        <v>993.03</v>
      </c>
      <c r="I216" s="8">
        <v>0</v>
      </c>
      <c r="J216" s="8">
        <v>30.09</v>
      </c>
      <c r="K216" s="8">
        <v>2368</v>
      </c>
      <c r="L216" s="11">
        <v>0.079</v>
      </c>
      <c r="M216" s="11">
        <v>0.171</v>
      </c>
      <c r="N216" s="11">
        <v>0.0135</v>
      </c>
      <c r="O216" s="8">
        <v>0</v>
      </c>
      <c r="P216" s="8">
        <v>0</v>
      </c>
      <c r="Q216" s="8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0.214</v>
      </c>
      <c r="W216" s="8">
        <v>0</v>
      </c>
      <c r="X216" s="8">
        <v>0</v>
      </c>
      <c r="Y216" s="8">
        <v>0</v>
      </c>
      <c r="Z216" s="8">
        <v>0</v>
      </c>
      <c r="AA216" s="11">
        <v>0</v>
      </c>
      <c r="AB216" s="11">
        <v>0</v>
      </c>
      <c r="AC216" s="11">
        <v>0</v>
      </c>
      <c r="AD216" s="11">
        <v>0</v>
      </c>
    </row>
    <row r="217" customFormat="1" ht="22" customHeight="1" spans="1:30">
      <c r="A217" s="8" t="s">
        <v>31</v>
      </c>
      <c r="B217" s="8" t="str">
        <f>VLOOKUP(E217,[1]Sheet1!$C:$E,2,FALSE)</f>
        <v>王森</v>
      </c>
      <c r="C217" s="9" t="str">
        <f>VLOOKUP(E217,[1]Sheet1!$C:$E,3,FALSE)</f>
        <v>S</v>
      </c>
      <c r="D217" s="8" t="s">
        <v>246</v>
      </c>
      <c r="E217" s="10">
        <v>532420912</v>
      </c>
      <c r="F217" s="8">
        <v>4.9</v>
      </c>
      <c r="G217" s="8">
        <v>46</v>
      </c>
      <c r="H217" s="8">
        <v>988.55</v>
      </c>
      <c r="I217" s="8">
        <v>0</v>
      </c>
      <c r="J217" s="8">
        <v>21.49</v>
      </c>
      <c r="K217" s="8">
        <v>1675</v>
      </c>
      <c r="L217" s="11">
        <v>0.079</v>
      </c>
      <c r="M217" s="11">
        <v>0.346</v>
      </c>
      <c r="N217" s="11">
        <v>0.0273</v>
      </c>
      <c r="O217" s="8">
        <v>0</v>
      </c>
      <c r="P217" s="8">
        <v>0</v>
      </c>
      <c r="Q217" s="8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0.275</v>
      </c>
      <c r="W217" s="8">
        <v>0</v>
      </c>
      <c r="X217" s="8">
        <v>0</v>
      </c>
      <c r="Y217" s="8">
        <v>0</v>
      </c>
      <c r="Z217" s="8">
        <v>0</v>
      </c>
      <c r="AA217" s="11">
        <v>0</v>
      </c>
      <c r="AB217" s="11">
        <v>0</v>
      </c>
      <c r="AC217" s="11">
        <v>0</v>
      </c>
      <c r="AD217" s="11">
        <v>0</v>
      </c>
    </row>
    <row r="218" customFormat="1" ht="22" customHeight="1" spans="1:30">
      <c r="A218" s="8" t="s">
        <v>31</v>
      </c>
      <c r="B218" s="8" t="str">
        <f>VLOOKUP(E218,[1]Sheet1!$C:$E,2,FALSE)</f>
        <v>刘欢</v>
      </c>
      <c r="C218" s="9" t="str">
        <f>VLOOKUP(E218,[1]Sheet1!$C:$E,3,FALSE)</f>
        <v>A</v>
      </c>
      <c r="D218" s="12" t="s">
        <v>247</v>
      </c>
      <c r="E218" s="13">
        <v>541634872</v>
      </c>
      <c r="F218" s="12">
        <v>4.6</v>
      </c>
      <c r="G218" s="8">
        <v>69</v>
      </c>
      <c r="H218" s="8">
        <v>987.36</v>
      </c>
      <c r="I218" s="8">
        <v>18.65</v>
      </c>
      <c r="J218" s="8">
        <v>14.31</v>
      </c>
      <c r="K218" s="8">
        <v>1820</v>
      </c>
      <c r="L218" s="11">
        <v>0.108</v>
      </c>
      <c r="M218" s="11">
        <v>0.31</v>
      </c>
      <c r="N218" s="11">
        <v>0.0335</v>
      </c>
      <c r="O218" s="8">
        <v>1475</v>
      </c>
      <c r="P218" s="8">
        <v>345</v>
      </c>
      <c r="Q218" s="8">
        <v>52</v>
      </c>
      <c r="R218" s="11">
        <v>0.056</v>
      </c>
      <c r="S218" s="11">
        <v>0.333</v>
      </c>
      <c r="T218" s="11">
        <v>0.11</v>
      </c>
      <c r="U218" s="11">
        <v>0.452</v>
      </c>
      <c r="V218" s="11">
        <v>0.423</v>
      </c>
      <c r="W218" s="8">
        <v>5</v>
      </c>
      <c r="X218" s="8">
        <v>5</v>
      </c>
      <c r="Y218" s="8">
        <v>0</v>
      </c>
      <c r="Z218" s="8">
        <v>0</v>
      </c>
      <c r="AA218" s="11">
        <v>0.0725</v>
      </c>
      <c r="AB218" s="11">
        <v>1</v>
      </c>
      <c r="AC218" s="11">
        <v>0</v>
      </c>
      <c r="AD218" s="11">
        <v>0</v>
      </c>
    </row>
    <row r="219" customFormat="1" ht="22" customHeight="1" spans="1:30">
      <c r="A219" s="8" t="s">
        <v>31</v>
      </c>
      <c r="B219" s="8" t="str">
        <f>VLOOKUP(E219,[1]Sheet1!$C:$E,2,FALSE)</f>
        <v>徐从众</v>
      </c>
      <c r="C219" s="9" t="str">
        <f>VLOOKUP(E219,[1]Sheet1!$C:$E,3,FALSE)</f>
        <v>A</v>
      </c>
      <c r="D219" s="12" t="s">
        <v>248</v>
      </c>
      <c r="E219" s="13">
        <v>1251776219</v>
      </c>
      <c r="F219" s="12">
        <v>4.7</v>
      </c>
      <c r="G219" s="8">
        <v>37</v>
      </c>
      <c r="H219" s="8">
        <v>976.97</v>
      </c>
      <c r="I219" s="8">
        <v>34.28</v>
      </c>
      <c r="J219" s="8">
        <v>26.4</v>
      </c>
      <c r="K219" s="8">
        <v>1486</v>
      </c>
      <c r="L219" s="11">
        <v>0.102</v>
      </c>
      <c r="M219" s="11">
        <v>0.243</v>
      </c>
      <c r="N219" s="11">
        <v>0.0248</v>
      </c>
      <c r="O219" s="8">
        <v>1131</v>
      </c>
      <c r="P219" s="8">
        <v>355</v>
      </c>
      <c r="Q219" s="8">
        <v>27</v>
      </c>
      <c r="R219" s="11">
        <v>0.078</v>
      </c>
      <c r="S219" s="11">
        <v>0.18</v>
      </c>
      <c r="T219" s="11">
        <v>0.114</v>
      </c>
      <c r="U219" s="11">
        <v>0.422</v>
      </c>
      <c r="V219" s="11">
        <v>0.255</v>
      </c>
      <c r="W219" s="8">
        <v>1</v>
      </c>
      <c r="X219" s="8">
        <v>1</v>
      </c>
      <c r="Y219" s="8">
        <v>0</v>
      </c>
      <c r="Z219" s="8">
        <v>0</v>
      </c>
      <c r="AA219" s="11">
        <v>0.027</v>
      </c>
      <c r="AB219" s="11">
        <v>1</v>
      </c>
      <c r="AC219" s="11">
        <v>0</v>
      </c>
      <c r="AD219" s="11">
        <v>0</v>
      </c>
    </row>
    <row r="220" customFormat="1" ht="22" customHeight="1" spans="1:30">
      <c r="A220" s="8" t="s">
        <v>31</v>
      </c>
      <c r="B220" s="8" t="str">
        <f>VLOOKUP(E220,[1]Sheet1!$C:$E,2,FALSE)</f>
        <v>徐从众</v>
      </c>
      <c r="C220" s="9" t="str">
        <f>VLOOKUP(E220,[1]Sheet1!$C:$E,3,FALSE)</f>
        <v>A</v>
      </c>
      <c r="D220" s="8" t="s">
        <v>249</v>
      </c>
      <c r="E220" s="10">
        <v>1164045877</v>
      </c>
      <c r="F220" s="8">
        <v>4.9</v>
      </c>
      <c r="G220" s="8">
        <v>15</v>
      </c>
      <c r="H220" s="8">
        <v>970.3</v>
      </c>
      <c r="I220" s="8">
        <v>78.87</v>
      </c>
      <c r="J220" s="8">
        <v>64.69</v>
      </c>
      <c r="K220" s="8">
        <v>928</v>
      </c>
      <c r="L220" s="11">
        <v>0.093</v>
      </c>
      <c r="M220" s="11">
        <v>0.163</v>
      </c>
      <c r="N220" s="11">
        <v>0.0152</v>
      </c>
      <c r="O220" s="8">
        <v>721</v>
      </c>
      <c r="P220" s="8">
        <v>207</v>
      </c>
      <c r="Q220" s="8">
        <v>9</v>
      </c>
      <c r="R220" s="11">
        <v>0.075</v>
      </c>
      <c r="S220" s="11">
        <v>0.155</v>
      </c>
      <c r="T220" s="11">
        <v>0.093</v>
      </c>
      <c r="U220" s="11">
        <v>0.281</v>
      </c>
      <c r="V220" s="11">
        <v>0.232</v>
      </c>
      <c r="W220" s="8">
        <v>2</v>
      </c>
      <c r="X220" s="8">
        <v>2</v>
      </c>
      <c r="Y220" s="8">
        <v>0</v>
      </c>
      <c r="Z220" s="8">
        <v>0</v>
      </c>
      <c r="AA220" s="11">
        <v>0.1333</v>
      </c>
      <c r="AB220" s="11">
        <v>1</v>
      </c>
      <c r="AC220" s="11">
        <v>0</v>
      </c>
      <c r="AD220" s="11">
        <v>0</v>
      </c>
    </row>
    <row r="221" customFormat="1" ht="22" customHeight="1" spans="1:30">
      <c r="A221" s="8" t="s">
        <v>31</v>
      </c>
      <c r="B221" s="8" t="str">
        <f>VLOOKUP(E221,[1]Sheet1!$C:$E,2,FALSE)</f>
        <v>岳贝贝</v>
      </c>
      <c r="C221" s="8" t="str">
        <f>VLOOKUP(E221,[1]Sheet1!$C:$E,3,FALSE)</f>
        <v>B</v>
      </c>
      <c r="D221" s="12" t="s">
        <v>250</v>
      </c>
      <c r="E221" s="13">
        <v>541568048</v>
      </c>
      <c r="F221" s="12">
        <v>4.7</v>
      </c>
      <c r="G221" s="8">
        <v>44</v>
      </c>
      <c r="H221" s="8">
        <v>966.22</v>
      </c>
      <c r="I221" s="8">
        <v>0</v>
      </c>
      <c r="J221" s="8">
        <v>21.96</v>
      </c>
      <c r="K221" s="8">
        <v>2734</v>
      </c>
      <c r="L221" s="11">
        <v>0.067</v>
      </c>
      <c r="M221" s="11">
        <v>0.24</v>
      </c>
      <c r="N221" s="11">
        <v>0.0161</v>
      </c>
      <c r="O221" s="8">
        <v>0</v>
      </c>
      <c r="P221" s="8">
        <v>0</v>
      </c>
      <c r="Q221" s="8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0.151</v>
      </c>
      <c r="W221" s="8">
        <v>3</v>
      </c>
      <c r="X221" s="8">
        <v>3</v>
      </c>
      <c r="Y221" s="8">
        <v>0</v>
      </c>
      <c r="Z221" s="8">
        <v>0</v>
      </c>
      <c r="AA221" s="11">
        <v>0.0682</v>
      </c>
      <c r="AB221" s="11">
        <v>1</v>
      </c>
      <c r="AC221" s="11">
        <v>0</v>
      </c>
      <c r="AD221" s="11">
        <v>0</v>
      </c>
    </row>
    <row r="222" customFormat="1" ht="22" customHeight="1" spans="1:30">
      <c r="A222" s="8" t="s">
        <v>31</v>
      </c>
      <c r="B222" s="8" t="e">
        <f>VLOOKUP(E222,[1]Sheet1!$C:$E,2,FALSE)</f>
        <v>#N/A</v>
      </c>
      <c r="C222" s="8" t="e">
        <f>VLOOKUP(E222,[1]Sheet1!$C:$E,3,FALSE)</f>
        <v>#N/A</v>
      </c>
      <c r="D222" s="12" t="s">
        <v>251</v>
      </c>
      <c r="E222" s="13">
        <v>1197755287</v>
      </c>
      <c r="F222" s="12">
        <v>4.7</v>
      </c>
      <c r="G222" s="8">
        <v>21</v>
      </c>
      <c r="H222" s="8">
        <v>965.57</v>
      </c>
      <c r="I222" s="8">
        <v>0</v>
      </c>
      <c r="J222" s="8">
        <v>45.98</v>
      </c>
      <c r="K222" s="8">
        <v>1001</v>
      </c>
      <c r="L222" s="11">
        <v>0.076</v>
      </c>
      <c r="M222" s="11">
        <v>0.263</v>
      </c>
      <c r="N222" s="11">
        <v>0.02</v>
      </c>
      <c r="O222" s="8">
        <v>0</v>
      </c>
      <c r="P222" s="8">
        <v>0</v>
      </c>
      <c r="Q222" s="8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0.208</v>
      </c>
      <c r="W222" s="8">
        <v>2</v>
      </c>
      <c r="X222" s="8">
        <v>2</v>
      </c>
      <c r="Y222" s="8">
        <v>0</v>
      </c>
      <c r="Z222" s="8">
        <v>0</v>
      </c>
      <c r="AA222" s="11">
        <v>0.0952</v>
      </c>
      <c r="AB222" s="11">
        <v>1</v>
      </c>
      <c r="AC222" s="11">
        <v>0</v>
      </c>
      <c r="AD222" s="11">
        <v>0</v>
      </c>
    </row>
    <row r="223" customFormat="1" ht="22" customHeight="1" spans="1:30">
      <c r="A223" s="8" t="s">
        <v>31</v>
      </c>
      <c r="B223" s="8" t="e">
        <f>VLOOKUP(E223,[1]Sheet1!$C:$E,2,FALSE)</f>
        <v>#N/A</v>
      </c>
      <c r="C223" s="8" t="e">
        <f>VLOOKUP(E223,[1]Sheet1!$C:$E,3,FALSE)</f>
        <v>#N/A</v>
      </c>
      <c r="D223" s="12" t="s">
        <v>252</v>
      </c>
      <c r="E223" s="13">
        <v>1206735958</v>
      </c>
      <c r="F223" s="12">
        <v>4.5</v>
      </c>
      <c r="G223" s="8">
        <v>44</v>
      </c>
      <c r="H223" s="8">
        <v>961.94</v>
      </c>
      <c r="I223" s="8">
        <v>29.31</v>
      </c>
      <c r="J223" s="8">
        <v>21.86</v>
      </c>
      <c r="K223" s="8">
        <v>1994</v>
      </c>
      <c r="L223" s="11">
        <v>0.075</v>
      </c>
      <c r="M223" s="11">
        <v>0.289</v>
      </c>
      <c r="N223" s="11">
        <v>0.0217</v>
      </c>
      <c r="O223" s="8">
        <v>1593</v>
      </c>
      <c r="P223" s="8">
        <v>401</v>
      </c>
      <c r="Q223" s="8">
        <v>25</v>
      </c>
      <c r="R223" s="11">
        <v>0.064</v>
      </c>
      <c r="S223" s="11">
        <v>0.117</v>
      </c>
      <c r="T223" s="11">
        <v>0.176</v>
      </c>
      <c r="U223" s="11">
        <v>0.532</v>
      </c>
      <c r="V223" s="11">
        <v>0.204</v>
      </c>
      <c r="W223" s="8">
        <v>4</v>
      </c>
      <c r="X223" s="8">
        <v>3</v>
      </c>
      <c r="Y223" s="8">
        <v>1</v>
      </c>
      <c r="Z223" s="8">
        <v>0</v>
      </c>
      <c r="AA223" s="11">
        <v>0.0909</v>
      </c>
      <c r="AB223" s="11">
        <v>0.75</v>
      </c>
      <c r="AC223" s="11">
        <v>0.25</v>
      </c>
      <c r="AD223" s="11">
        <v>0</v>
      </c>
    </row>
    <row r="224" customFormat="1" ht="22" customHeight="1" spans="1:30">
      <c r="A224" s="8" t="s">
        <v>31</v>
      </c>
      <c r="B224" s="8" t="e">
        <f>VLOOKUP(E224,[1]Sheet1!$C:$E,2,FALSE)</f>
        <v>#N/A</v>
      </c>
      <c r="C224" s="8" t="e">
        <f>VLOOKUP(E224,[1]Sheet1!$C:$E,3,FALSE)</f>
        <v>#N/A</v>
      </c>
      <c r="D224" s="8" t="s">
        <v>253</v>
      </c>
      <c r="E224" s="10">
        <v>543462896</v>
      </c>
      <c r="F224" s="8">
        <v>4.9</v>
      </c>
      <c r="G224" s="8">
        <v>52</v>
      </c>
      <c r="H224" s="8">
        <v>961.76</v>
      </c>
      <c r="I224" s="8">
        <v>24.76</v>
      </c>
      <c r="J224" s="8">
        <v>18.5</v>
      </c>
      <c r="K224" s="8">
        <v>4460</v>
      </c>
      <c r="L224" s="11">
        <v>0.061</v>
      </c>
      <c r="M224" s="11">
        <v>0.185</v>
      </c>
      <c r="N224" s="11">
        <v>0.0113</v>
      </c>
      <c r="O224" s="8">
        <v>4345</v>
      </c>
      <c r="P224" s="8">
        <v>115</v>
      </c>
      <c r="Q224" s="8">
        <v>12</v>
      </c>
      <c r="R224" s="11">
        <v>0.056</v>
      </c>
      <c r="S224" s="11">
        <v>0.217</v>
      </c>
      <c r="T224" s="11">
        <v>0.155</v>
      </c>
      <c r="U224" s="11">
        <v>0.48</v>
      </c>
      <c r="V224" s="11">
        <v>0.136</v>
      </c>
      <c r="W224" s="8">
        <v>2</v>
      </c>
      <c r="X224" s="8">
        <v>2</v>
      </c>
      <c r="Y224" s="8">
        <v>0</v>
      </c>
      <c r="Z224" s="8">
        <v>0</v>
      </c>
      <c r="AA224" s="11">
        <v>0.0385</v>
      </c>
      <c r="AB224" s="11">
        <v>1</v>
      </c>
      <c r="AC224" s="11">
        <v>0</v>
      </c>
      <c r="AD224" s="11">
        <v>0</v>
      </c>
    </row>
    <row r="225" customFormat="1" ht="22" customHeight="1" spans="1:30">
      <c r="A225" s="8" t="s">
        <v>31</v>
      </c>
      <c r="B225" s="8" t="e">
        <f>VLOOKUP(E225,[1]Sheet1!$C:$E,2,FALSE)</f>
        <v>#N/A</v>
      </c>
      <c r="C225" s="8" t="e">
        <f>VLOOKUP(E225,[1]Sheet1!$C:$E,3,FALSE)</f>
        <v>#N/A</v>
      </c>
      <c r="D225" s="12" t="s">
        <v>254</v>
      </c>
      <c r="E225" s="13">
        <v>521510805</v>
      </c>
      <c r="F225" s="12">
        <v>4.6</v>
      </c>
      <c r="G225" s="8">
        <v>54</v>
      </c>
      <c r="H225" s="8">
        <v>958.15</v>
      </c>
      <c r="I225" s="8">
        <v>25.18</v>
      </c>
      <c r="J225" s="8">
        <v>17.74</v>
      </c>
      <c r="K225" s="8">
        <v>3472</v>
      </c>
      <c r="L225" s="11">
        <v>0.077</v>
      </c>
      <c r="M225" s="11">
        <v>0.199</v>
      </c>
      <c r="N225" s="11">
        <v>0.0153</v>
      </c>
      <c r="O225" s="8">
        <v>3085</v>
      </c>
      <c r="P225" s="8">
        <v>387</v>
      </c>
      <c r="Q225" s="8">
        <v>11</v>
      </c>
      <c r="R225" s="11">
        <v>0.075</v>
      </c>
      <c r="S225" s="11">
        <v>0.093</v>
      </c>
      <c r="T225" s="11">
        <v>0.183</v>
      </c>
      <c r="U225" s="11">
        <v>0.306</v>
      </c>
      <c r="V225" s="11">
        <v>0.085</v>
      </c>
      <c r="W225" s="8">
        <v>8</v>
      </c>
      <c r="X225" s="8">
        <v>8</v>
      </c>
      <c r="Y225" s="8">
        <v>0</v>
      </c>
      <c r="Z225" s="8">
        <v>0</v>
      </c>
      <c r="AA225" s="11">
        <v>0.1481</v>
      </c>
      <c r="AB225" s="11">
        <v>1</v>
      </c>
      <c r="AC225" s="11">
        <v>0</v>
      </c>
      <c r="AD225" s="11">
        <v>0</v>
      </c>
    </row>
    <row r="226" customFormat="1" ht="22" customHeight="1" spans="1:30">
      <c r="A226" s="8" t="s">
        <v>31</v>
      </c>
      <c r="B226" s="8" t="str">
        <f>VLOOKUP(E226,[1]Sheet1!$C:$E,2,FALSE)</f>
        <v>岳贝贝</v>
      </c>
      <c r="C226" s="9" t="str">
        <f>VLOOKUP(E226,[1]Sheet1!$C:$E,3,FALSE)</f>
        <v>A</v>
      </c>
      <c r="D226" s="8" t="s">
        <v>255</v>
      </c>
      <c r="E226" s="10">
        <v>543461836</v>
      </c>
      <c r="F226" s="8">
        <v>4.9</v>
      </c>
      <c r="G226" s="8">
        <v>45</v>
      </c>
      <c r="H226" s="8">
        <v>950.45</v>
      </c>
      <c r="I226" s="8">
        <v>0</v>
      </c>
      <c r="J226" s="8">
        <v>21.12</v>
      </c>
      <c r="K226" s="8">
        <v>4012</v>
      </c>
      <c r="L226" s="11">
        <v>0.051</v>
      </c>
      <c r="M226" s="11">
        <v>0.218</v>
      </c>
      <c r="N226" s="11">
        <v>0.0111</v>
      </c>
      <c r="O226" s="8">
        <v>0</v>
      </c>
      <c r="P226" s="8">
        <v>0</v>
      </c>
      <c r="Q226" s="8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0.137</v>
      </c>
      <c r="W226" s="8">
        <v>0</v>
      </c>
      <c r="X226" s="8">
        <v>0</v>
      </c>
      <c r="Y226" s="8">
        <v>0</v>
      </c>
      <c r="Z226" s="8">
        <v>0</v>
      </c>
      <c r="AA226" s="11">
        <v>0</v>
      </c>
      <c r="AB226" s="11">
        <v>0</v>
      </c>
      <c r="AC226" s="11">
        <v>0</v>
      </c>
      <c r="AD226" s="11">
        <v>0</v>
      </c>
    </row>
    <row r="227" customFormat="1" ht="22" customHeight="1" spans="1:30">
      <c r="A227" s="8" t="s">
        <v>31</v>
      </c>
      <c r="B227" s="8" t="str">
        <f>VLOOKUP(E227,[1]Sheet1!$C:$E,2,FALSE)</f>
        <v>徐从众</v>
      </c>
      <c r="C227" s="9" t="str">
        <f>VLOOKUP(E227,[1]Sheet1!$C:$E,3,FALSE)</f>
        <v>A</v>
      </c>
      <c r="D227" s="8" t="s">
        <v>256</v>
      </c>
      <c r="E227" s="10">
        <v>529315391</v>
      </c>
      <c r="F227" s="8">
        <v>4.8</v>
      </c>
      <c r="G227" s="8">
        <v>54</v>
      </c>
      <c r="H227" s="8">
        <v>946.16</v>
      </c>
      <c r="I227" s="8">
        <v>23.31</v>
      </c>
      <c r="J227" s="8">
        <v>17.52</v>
      </c>
      <c r="K227" s="8">
        <v>1940</v>
      </c>
      <c r="L227" s="11">
        <v>0.066</v>
      </c>
      <c r="M227" s="11">
        <v>0.403</v>
      </c>
      <c r="N227" s="11">
        <v>0.0266</v>
      </c>
      <c r="O227" s="8">
        <v>1595</v>
      </c>
      <c r="P227" s="8">
        <v>345</v>
      </c>
      <c r="Q227" s="8">
        <v>35</v>
      </c>
      <c r="R227" s="11">
        <v>0.046</v>
      </c>
      <c r="S227" s="11">
        <v>0.162</v>
      </c>
      <c r="T227" s="11">
        <v>0.233</v>
      </c>
      <c r="U227" s="11">
        <v>0.625</v>
      </c>
      <c r="V227" s="11">
        <v>0.373</v>
      </c>
      <c r="W227" s="8">
        <v>1</v>
      </c>
      <c r="X227" s="8">
        <v>0</v>
      </c>
      <c r="Y227" s="8">
        <v>0</v>
      </c>
      <c r="Z227" s="8">
        <v>1</v>
      </c>
      <c r="AA227" s="11">
        <v>0.0185</v>
      </c>
      <c r="AB227" s="11">
        <v>0</v>
      </c>
      <c r="AC227" s="11">
        <v>0</v>
      </c>
      <c r="AD227" s="11">
        <v>1</v>
      </c>
    </row>
    <row r="228" customFormat="1" ht="22" customHeight="1" spans="1:30">
      <c r="A228" s="8" t="s">
        <v>31</v>
      </c>
      <c r="B228" s="8" t="str">
        <f>VLOOKUP(E228,[1]Sheet1!$C:$E,2,FALSE)</f>
        <v>岳贝贝</v>
      </c>
      <c r="C228" s="9" t="str">
        <f>VLOOKUP(E228,[1]Sheet1!$C:$E,3,FALSE)</f>
        <v>A</v>
      </c>
      <c r="D228" s="8" t="s">
        <v>257</v>
      </c>
      <c r="E228" s="10">
        <v>538370131</v>
      </c>
      <c r="F228" s="8">
        <v>4.8</v>
      </c>
      <c r="G228" s="8">
        <v>47</v>
      </c>
      <c r="H228" s="8">
        <v>934.98</v>
      </c>
      <c r="I228" s="8">
        <v>0</v>
      </c>
      <c r="J228" s="8">
        <v>19.89</v>
      </c>
      <c r="K228" s="8">
        <v>2064</v>
      </c>
      <c r="L228" s="11">
        <v>0.095</v>
      </c>
      <c r="M228" s="11">
        <v>0.24</v>
      </c>
      <c r="N228" s="11">
        <v>0.0228</v>
      </c>
      <c r="O228" s="8">
        <v>0</v>
      </c>
      <c r="P228" s="8">
        <v>0</v>
      </c>
      <c r="Q228" s="8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0.154</v>
      </c>
      <c r="W228" s="8">
        <v>0</v>
      </c>
      <c r="X228" s="8">
        <v>0</v>
      </c>
      <c r="Y228" s="8">
        <v>0</v>
      </c>
      <c r="Z228" s="8">
        <v>0</v>
      </c>
      <c r="AA228" s="11">
        <v>0</v>
      </c>
      <c r="AB228" s="11">
        <v>0</v>
      </c>
      <c r="AC228" s="11">
        <v>0</v>
      </c>
      <c r="AD228" s="11">
        <v>0</v>
      </c>
    </row>
    <row r="229" customFormat="1" ht="22" customHeight="1" spans="1:30">
      <c r="A229" s="8" t="s">
        <v>31</v>
      </c>
      <c r="B229" s="8" t="e">
        <f>VLOOKUP(E229,[1]Sheet1!$C:$E,2,FALSE)</f>
        <v>#N/A</v>
      </c>
      <c r="C229" s="8" t="e">
        <f>VLOOKUP(E229,[1]Sheet1!$C:$E,3,FALSE)</f>
        <v>#N/A</v>
      </c>
      <c r="D229" s="8" t="s">
        <v>258</v>
      </c>
      <c r="E229" s="10">
        <v>527146479</v>
      </c>
      <c r="F229" s="8">
        <v>4.8</v>
      </c>
      <c r="G229" s="8">
        <v>33</v>
      </c>
      <c r="H229" s="8">
        <v>933.35</v>
      </c>
      <c r="I229" s="8">
        <v>37.72</v>
      </c>
      <c r="J229" s="8">
        <v>28.28</v>
      </c>
      <c r="K229" s="8">
        <v>2369</v>
      </c>
      <c r="L229" s="11">
        <v>0.079</v>
      </c>
      <c r="M229" s="11">
        <v>0.172</v>
      </c>
      <c r="N229" s="11">
        <v>0.0136</v>
      </c>
      <c r="O229" s="8">
        <v>2112</v>
      </c>
      <c r="P229" s="8">
        <v>257</v>
      </c>
      <c r="Q229" s="8">
        <v>22</v>
      </c>
      <c r="R229" s="11">
        <v>0.062</v>
      </c>
      <c r="S229" s="11">
        <v>0.214</v>
      </c>
      <c r="T229" s="11">
        <v>0.076</v>
      </c>
      <c r="U229" s="11">
        <v>0.4</v>
      </c>
      <c r="V229" s="11">
        <v>0.348</v>
      </c>
      <c r="W229" s="8">
        <v>0</v>
      </c>
      <c r="X229" s="8">
        <v>0</v>
      </c>
      <c r="Y229" s="8">
        <v>0</v>
      </c>
      <c r="Z229" s="8">
        <v>0</v>
      </c>
      <c r="AA229" s="11">
        <v>0</v>
      </c>
      <c r="AB229" s="11">
        <v>0</v>
      </c>
      <c r="AC229" s="11">
        <v>0</v>
      </c>
      <c r="AD229" s="11">
        <v>0</v>
      </c>
    </row>
    <row r="230" customFormat="1" ht="22" customHeight="1" spans="1:30">
      <c r="A230" s="8" t="s">
        <v>31</v>
      </c>
      <c r="B230" s="8" t="str">
        <f>VLOOKUP(E230,[1]Sheet1!$C:$E,2,FALSE)</f>
        <v>王森</v>
      </c>
      <c r="C230" s="9" t="str">
        <f>VLOOKUP(E230,[1]Sheet1!$C:$E,3,FALSE)</f>
        <v>S</v>
      </c>
      <c r="D230" s="12" t="s">
        <v>259</v>
      </c>
      <c r="E230" s="13">
        <v>1261046857</v>
      </c>
      <c r="F230" s="12">
        <v>4.5</v>
      </c>
      <c r="G230" s="8">
        <v>23</v>
      </c>
      <c r="H230" s="8">
        <v>931.4</v>
      </c>
      <c r="I230" s="8">
        <v>49.77</v>
      </c>
      <c r="J230" s="8">
        <v>40.5</v>
      </c>
      <c r="K230" s="8">
        <v>2495</v>
      </c>
      <c r="L230" s="11">
        <v>0.097</v>
      </c>
      <c r="M230" s="11">
        <v>0.095</v>
      </c>
      <c r="N230" s="11">
        <v>0.0092</v>
      </c>
      <c r="O230" s="8">
        <v>2056</v>
      </c>
      <c r="P230" s="8">
        <v>439</v>
      </c>
      <c r="Q230" s="8">
        <v>13</v>
      </c>
      <c r="R230" s="11">
        <v>0.085</v>
      </c>
      <c r="S230" s="11">
        <v>0.153</v>
      </c>
      <c r="T230" s="11">
        <v>0.057</v>
      </c>
      <c r="U230" s="11">
        <v>0.194</v>
      </c>
      <c r="V230" s="11">
        <v>0.187</v>
      </c>
      <c r="W230" s="8">
        <v>0</v>
      </c>
      <c r="X230" s="8">
        <v>0</v>
      </c>
      <c r="Y230" s="8">
        <v>0</v>
      </c>
      <c r="Z230" s="8">
        <v>0</v>
      </c>
      <c r="AA230" s="11">
        <v>0</v>
      </c>
      <c r="AB230" s="11">
        <v>0</v>
      </c>
      <c r="AC230" s="11">
        <v>0</v>
      </c>
      <c r="AD230" s="11">
        <v>0</v>
      </c>
    </row>
    <row r="231" customFormat="1" ht="22" customHeight="1" spans="1:30">
      <c r="A231" s="8" t="s">
        <v>31</v>
      </c>
      <c r="B231" s="8" t="str">
        <f>VLOOKUP(E231,[1]Sheet1!$C:$E,2,FALSE)</f>
        <v>王森</v>
      </c>
      <c r="C231" s="9" t="str">
        <f>VLOOKUP(E231,[1]Sheet1!$C:$E,3,FALSE)</f>
        <v>S</v>
      </c>
      <c r="D231" s="12" t="s">
        <v>260</v>
      </c>
      <c r="E231" s="13">
        <v>521044775</v>
      </c>
      <c r="F231" s="12">
        <v>4.5</v>
      </c>
      <c r="G231" s="8">
        <v>32</v>
      </c>
      <c r="H231" s="8">
        <v>925.85</v>
      </c>
      <c r="I231" s="8">
        <v>37.87</v>
      </c>
      <c r="J231" s="8">
        <v>28.93</v>
      </c>
      <c r="K231" s="8">
        <v>2210</v>
      </c>
      <c r="L231" s="11">
        <v>0.121</v>
      </c>
      <c r="M231" s="11">
        <v>0.119</v>
      </c>
      <c r="N231" s="11">
        <v>0.0144</v>
      </c>
      <c r="O231" s="8">
        <v>1828</v>
      </c>
      <c r="P231" s="8">
        <v>382</v>
      </c>
      <c r="Q231" s="8">
        <v>16</v>
      </c>
      <c r="R231" s="11">
        <v>0.108</v>
      </c>
      <c r="S231" s="11">
        <v>0.186</v>
      </c>
      <c r="T231" s="11">
        <v>0.081</v>
      </c>
      <c r="U231" s="11">
        <v>0.225</v>
      </c>
      <c r="V231" s="11">
        <v>0.184</v>
      </c>
      <c r="W231" s="8">
        <v>1</v>
      </c>
      <c r="X231" s="8">
        <v>0</v>
      </c>
      <c r="Y231" s="8">
        <v>1</v>
      </c>
      <c r="Z231" s="8">
        <v>0</v>
      </c>
      <c r="AA231" s="11">
        <v>0.0313</v>
      </c>
      <c r="AB231" s="11">
        <v>0</v>
      </c>
      <c r="AC231" s="11">
        <v>1</v>
      </c>
      <c r="AD231" s="11">
        <v>0</v>
      </c>
    </row>
    <row r="232" customFormat="1" ht="22" customHeight="1" spans="1:30">
      <c r="A232" s="8" t="s">
        <v>31</v>
      </c>
      <c r="B232" s="8" t="e">
        <f>VLOOKUP(E232,[1]Sheet1!$C:$E,2,FALSE)</f>
        <v>#N/A</v>
      </c>
      <c r="C232" s="8" t="e">
        <f>VLOOKUP(E232,[1]Sheet1!$C:$E,3,FALSE)</f>
        <v>#N/A</v>
      </c>
      <c r="D232" s="8" t="s">
        <v>261</v>
      </c>
      <c r="E232" s="10">
        <v>526861547</v>
      </c>
      <c r="F232" s="8">
        <v>4.9</v>
      </c>
      <c r="G232" s="8">
        <v>50</v>
      </c>
      <c r="H232" s="8">
        <v>918.34</v>
      </c>
      <c r="I232" s="8">
        <v>0</v>
      </c>
      <c r="J232" s="8">
        <v>18.37</v>
      </c>
      <c r="K232" s="8">
        <v>2089</v>
      </c>
      <c r="L232" s="11">
        <v>0.067</v>
      </c>
      <c r="M232" s="11">
        <v>0.35</v>
      </c>
      <c r="N232" s="11">
        <v>0.0235</v>
      </c>
      <c r="O232" s="8">
        <v>0</v>
      </c>
      <c r="P232" s="8">
        <v>0</v>
      </c>
      <c r="Q232" s="8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0.197</v>
      </c>
      <c r="W232" s="8">
        <v>3</v>
      </c>
      <c r="X232" s="8">
        <v>2</v>
      </c>
      <c r="Y232" s="8">
        <v>0</v>
      </c>
      <c r="Z232" s="8">
        <v>1</v>
      </c>
      <c r="AA232" s="11">
        <v>0.06</v>
      </c>
      <c r="AB232" s="11">
        <v>0.6667</v>
      </c>
      <c r="AC232" s="11">
        <v>0</v>
      </c>
      <c r="AD232" s="11">
        <v>0.3333</v>
      </c>
    </row>
    <row r="233" customFormat="1" ht="22" customHeight="1" spans="1:30">
      <c r="A233" s="8" t="s">
        <v>31</v>
      </c>
      <c r="B233" s="8" t="str">
        <f>VLOOKUP(E233,[1]Sheet1!$C:$E,2,FALSE)</f>
        <v>岳贝贝</v>
      </c>
      <c r="C233" s="9" t="str">
        <f>VLOOKUP(E233,[1]Sheet1!$C:$E,3,FALSE)</f>
        <v>A</v>
      </c>
      <c r="D233" s="12" t="s">
        <v>262</v>
      </c>
      <c r="E233" s="13">
        <v>522880693</v>
      </c>
      <c r="F233" s="12">
        <v>4.7</v>
      </c>
      <c r="G233" s="8">
        <v>9</v>
      </c>
      <c r="H233" s="8">
        <v>899.69</v>
      </c>
      <c r="I233" s="8">
        <v>128.57</v>
      </c>
      <c r="J233" s="8">
        <v>99.97</v>
      </c>
      <c r="K233" s="8">
        <v>1670</v>
      </c>
      <c r="L233" s="11">
        <v>0.05</v>
      </c>
      <c r="M233" s="11">
        <v>0.108</v>
      </c>
      <c r="N233" s="11">
        <v>0.0054</v>
      </c>
      <c r="O233" s="8">
        <v>1480</v>
      </c>
      <c r="P233" s="8">
        <v>190</v>
      </c>
      <c r="Q233" s="8">
        <v>6</v>
      </c>
      <c r="R233" s="11">
        <v>0.039</v>
      </c>
      <c r="S233" s="11">
        <v>0.132</v>
      </c>
      <c r="T233" s="11">
        <v>0.052</v>
      </c>
      <c r="U233" s="11">
        <v>0.24</v>
      </c>
      <c r="V233" s="11">
        <v>0.129</v>
      </c>
      <c r="W233" s="8">
        <v>0</v>
      </c>
      <c r="X233" s="8">
        <v>0</v>
      </c>
      <c r="Y233" s="8">
        <v>0</v>
      </c>
      <c r="Z233" s="8">
        <v>0</v>
      </c>
      <c r="AA233" s="11">
        <v>0</v>
      </c>
      <c r="AB233" s="11">
        <v>0</v>
      </c>
      <c r="AC233" s="11">
        <v>0</v>
      </c>
      <c r="AD233" s="11">
        <v>0</v>
      </c>
    </row>
    <row r="234" customFormat="1" ht="22" customHeight="1" spans="1:30">
      <c r="A234" s="8" t="s">
        <v>31</v>
      </c>
      <c r="B234" s="8" t="str">
        <f>VLOOKUP(E234,[1]Sheet1!$C:$E,2,FALSE)</f>
        <v>刘欢</v>
      </c>
      <c r="C234" s="9" t="str">
        <f>VLOOKUP(E234,[1]Sheet1!$C:$E,3,FALSE)</f>
        <v>A</v>
      </c>
      <c r="D234" s="8" t="s">
        <v>263</v>
      </c>
      <c r="E234" s="10">
        <v>528815767</v>
      </c>
      <c r="F234" s="8">
        <v>5</v>
      </c>
      <c r="G234" s="8">
        <v>62</v>
      </c>
      <c r="H234" s="8">
        <v>896.22</v>
      </c>
      <c r="I234" s="8">
        <v>0</v>
      </c>
      <c r="J234" s="8">
        <v>14.46</v>
      </c>
      <c r="K234" s="8">
        <v>1484</v>
      </c>
      <c r="L234" s="11">
        <v>0.087</v>
      </c>
      <c r="M234" s="11">
        <v>0.481</v>
      </c>
      <c r="N234" s="11">
        <v>0.0418</v>
      </c>
      <c r="O234" s="8">
        <v>0</v>
      </c>
      <c r="P234" s="8">
        <v>0</v>
      </c>
      <c r="Q234" s="8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0.271</v>
      </c>
      <c r="W234" s="8">
        <v>1</v>
      </c>
      <c r="X234" s="8">
        <v>1</v>
      </c>
      <c r="Y234" s="8">
        <v>0</v>
      </c>
      <c r="Z234" s="8">
        <v>0</v>
      </c>
      <c r="AA234" s="11">
        <v>0.0161</v>
      </c>
      <c r="AB234" s="11">
        <v>1</v>
      </c>
      <c r="AC234" s="11">
        <v>0</v>
      </c>
      <c r="AD234" s="11">
        <v>0</v>
      </c>
    </row>
    <row r="235" customFormat="1" ht="22" customHeight="1" spans="1:30">
      <c r="A235" s="8" t="s">
        <v>31</v>
      </c>
      <c r="B235" s="8" t="str">
        <f>VLOOKUP(E235,[1]Sheet1!$C:$E,2,FALSE)</f>
        <v>徐从众</v>
      </c>
      <c r="C235" s="9" t="str">
        <f>VLOOKUP(E235,[1]Sheet1!$C:$E,3,FALSE)</f>
        <v>A</v>
      </c>
      <c r="D235" s="12" t="s">
        <v>264</v>
      </c>
      <c r="E235" s="13">
        <v>1250455068</v>
      </c>
      <c r="F235" s="12">
        <v>4.6</v>
      </c>
      <c r="G235" s="8">
        <v>29</v>
      </c>
      <c r="H235" s="8">
        <v>891.35</v>
      </c>
      <c r="I235" s="8">
        <v>38.9</v>
      </c>
      <c r="J235" s="8">
        <v>30.74</v>
      </c>
      <c r="K235" s="8">
        <v>1755</v>
      </c>
      <c r="L235" s="11">
        <v>0.065</v>
      </c>
      <c r="M235" s="11">
        <v>0.254</v>
      </c>
      <c r="N235" s="11">
        <v>0.0165</v>
      </c>
      <c r="O235" s="8">
        <v>1439</v>
      </c>
      <c r="P235" s="8">
        <v>316</v>
      </c>
      <c r="Q235" s="8">
        <v>18</v>
      </c>
      <c r="R235" s="11">
        <v>0.046</v>
      </c>
      <c r="S235" s="11">
        <v>0.152</v>
      </c>
      <c r="T235" s="11">
        <v>0.167</v>
      </c>
      <c r="U235" s="11">
        <v>0.375</v>
      </c>
      <c r="V235" s="11">
        <v>0.168</v>
      </c>
      <c r="W235" s="8">
        <v>0</v>
      </c>
      <c r="X235" s="8">
        <v>0</v>
      </c>
      <c r="Y235" s="8">
        <v>0</v>
      </c>
      <c r="Z235" s="8">
        <v>0</v>
      </c>
      <c r="AA235" s="11">
        <v>0</v>
      </c>
      <c r="AB235" s="11">
        <v>0</v>
      </c>
      <c r="AC235" s="11">
        <v>0</v>
      </c>
      <c r="AD235" s="11">
        <v>0</v>
      </c>
    </row>
    <row r="236" customFormat="1" ht="22" customHeight="1" spans="1:30">
      <c r="A236" s="8" t="s">
        <v>31</v>
      </c>
      <c r="B236" s="8" t="str">
        <f>VLOOKUP(E236,[1]Sheet1!$C:$E,2,FALSE)</f>
        <v>徐从众</v>
      </c>
      <c r="C236" s="9" t="str">
        <f>VLOOKUP(E236,[1]Sheet1!$C:$E,3,FALSE)</f>
        <v>A</v>
      </c>
      <c r="D236" s="8" t="s">
        <v>265</v>
      </c>
      <c r="E236" s="10">
        <v>503630627</v>
      </c>
      <c r="F236" s="8">
        <v>4.8</v>
      </c>
      <c r="G236" s="8">
        <v>20</v>
      </c>
      <c r="H236" s="8">
        <v>889.01</v>
      </c>
      <c r="I236" s="8">
        <v>0</v>
      </c>
      <c r="J236" s="8">
        <v>44.45</v>
      </c>
      <c r="K236" s="8">
        <v>1408</v>
      </c>
      <c r="L236" s="11">
        <v>0.065</v>
      </c>
      <c r="M236" s="11">
        <v>0.217</v>
      </c>
      <c r="N236" s="11">
        <v>0.0141</v>
      </c>
      <c r="O236" s="8">
        <v>0</v>
      </c>
      <c r="P236" s="8">
        <v>0</v>
      </c>
      <c r="Q236" s="8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0.21</v>
      </c>
      <c r="W236" s="8">
        <v>0</v>
      </c>
      <c r="X236" s="8">
        <v>0</v>
      </c>
      <c r="Y236" s="8">
        <v>0</v>
      </c>
      <c r="Z236" s="8">
        <v>0</v>
      </c>
      <c r="AA236" s="11">
        <v>0</v>
      </c>
      <c r="AB236" s="11">
        <v>0</v>
      </c>
      <c r="AC236" s="11">
        <v>0</v>
      </c>
      <c r="AD236" s="11">
        <v>0</v>
      </c>
    </row>
    <row r="237" customFormat="1" ht="22" customHeight="1" spans="1:30">
      <c r="A237" s="8" t="s">
        <v>31</v>
      </c>
      <c r="B237" s="8" t="str">
        <f>VLOOKUP(E237,[1]Sheet1!$C:$E,2,FALSE)</f>
        <v>刘欢</v>
      </c>
      <c r="C237" s="9" t="str">
        <f>VLOOKUP(E237,[1]Sheet1!$C:$E,3,FALSE)</f>
        <v>S</v>
      </c>
      <c r="D237" s="12" t="s">
        <v>266</v>
      </c>
      <c r="E237" s="13">
        <v>162500284</v>
      </c>
      <c r="F237" s="12">
        <v>4.7</v>
      </c>
      <c r="G237" s="8">
        <v>14</v>
      </c>
      <c r="H237" s="8">
        <v>877.37</v>
      </c>
      <c r="I237" s="8">
        <v>76.3</v>
      </c>
      <c r="J237" s="8">
        <v>62.67</v>
      </c>
      <c r="K237" s="8">
        <v>1027</v>
      </c>
      <c r="L237" s="11">
        <v>0.072</v>
      </c>
      <c r="M237" s="11">
        <v>0.189</v>
      </c>
      <c r="N237" s="11">
        <v>0.0136</v>
      </c>
      <c r="O237" s="8">
        <v>752</v>
      </c>
      <c r="P237" s="8">
        <v>275</v>
      </c>
      <c r="Q237" s="8">
        <v>6</v>
      </c>
      <c r="R237" s="11">
        <v>0.07</v>
      </c>
      <c r="S237" s="11">
        <v>0.076</v>
      </c>
      <c r="T237" s="11">
        <v>0.151</v>
      </c>
      <c r="U237" s="11">
        <v>0.286</v>
      </c>
      <c r="V237" s="11">
        <v>0.165</v>
      </c>
      <c r="W237" s="8">
        <v>2</v>
      </c>
      <c r="X237" s="8">
        <v>2</v>
      </c>
      <c r="Y237" s="8">
        <v>0</v>
      </c>
      <c r="Z237" s="8">
        <v>0</v>
      </c>
      <c r="AA237" s="11">
        <v>0.1429</v>
      </c>
      <c r="AB237" s="11">
        <v>1</v>
      </c>
      <c r="AC237" s="11">
        <v>0</v>
      </c>
      <c r="AD237" s="11">
        <v>0</v>
      </c>
    </row>
    <row r="238" customFormat="1" ht="22" customHeight="1" spans="1:30">
      <c r="A238" s="8" t="s">
        <v>31</v>
      </c>
      <c r="B238" s="8" t="str">
        <f>VLOOKUP(E238,[1]Sheet1!$C:$E,2,FALSE)</f>
        <v>王森</v>
      </c>
      <c r="C238" s="9" t="str">
        <f>VLOOKUP(E238,[1]Sheet1!$C:$E,3,FALSE)</f>
        <v>A</v>
      </c>
      <c r="D238" s="8" t="s">
        <v>267</v>
      </c>
      <c r="E238" s="10">
        <v>1187699947</v>
      </c>
      <c r="F238" s="8">
        <v>4.9</v>
      </c>
      <c r="G238" s="8">
        <v>43</v>
      </c>
      <c r="H238" s="8">
        <v>873.52</v>
      </c>
      <c r="I238" s="8">
        <v>0</v>
      </c>
      <c r="J238" s="8">
        <v>20.31</v>
      </c>
      <c r="K238" s="8">
        <v>1999</v>
      </c>
      <c r="L238" s="11">
        <v>0.093</v>
      </c>
      <c r="M238" s="11">
        <v>0.226</v>
      </c>
      <c r="N238" s="11">
        <v>0.021</v>
      </c>
      <c r="O238" s="8">
        <v>0</v>
      </c>
      <c r="P238" s="8">
        <v>0</v>
      </c>
      <c r="Q238" s="8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0.214</v>
      </c>
      <c r="W238" s="8">
        <v>1</v>
      </c>
      <c r="X238" s="8">
        <v>0</v>
      </c>
      <c r="Y238" s="8">
        <v>0</v>
      </c>
      <c r="Z238" s="8">
        <v>1</v>
      </c>
      <c r="AA238" s="11">
        <v>0.0233</v>
      </c>
      <c r="AB238" s="11">
        <v>0</v>
      </c>
      <c r="AC238" s="11">
        <v>0</v>
      </c>
      <c r="AD238" s="11">
        <v>1</v>
      </c>
    </row>
    <row r="239" customFormat="1" ht="22" customHeight="1" spans="1:30">
      <c r="A239" s="8" t="s">
        <v>31</v>
      </c>
      <c r="B239" s="8" t="str">
        <f>VLOOKUP(E239,[1]Sheet1!$C:$E,2,FALSE)</f>
        <v>刘欢</v>
      </c>
      <c r="C239" s="9" t="str">
        <f>VLOOKUP(E239,[1]Sheet1!$C:$E,3,FALSE)</f>
        <v>S</v>
      </c>
      <c r="D239" s="12" t="s">
        <v>268</v>
      </c>
      <c r="E239" s="13">
        <v>160020068</v>
      </c>
      <c r="F239" s="12">
        <v>4.5</v>
      </c>
      <c r="G239" s="8">
        <v>25</v>
      </c>
      <c r="H239" s="8">
        <v>863.89</v>
      </c>
      <c r="I239" s="8">
        <v>32.77</v>
      </c>
      <c r="J239" s="8">
        <v>34.56</v>
      </c>
      <c r="K239" s="8">
        <v>1593</v>
      </c>
      <c r="L239" s="11">
        <v>0.074</v>
      </c>
      <c r="M239" s="11">
        <v>0.212</v>
      </c>
      <c r="N239" s="11">
        <v>0.0157</v>
      </c>
      <c r="O239" s="8">
        <v>1191</v>
      </c>
      <c r="P239" s="8">
        <v>402</v>
      </c>
      <c r="Q239" s="8">
        <v>15</v>
      </c>
      <c r="R239" s="11">
        <v>0.062</v>
      </c>
      <c r="S239" s="11">
        <v>0.109</v>
      </c>
      <c r="T239" s="11">
        <v>0.135</v>
      </c>
      <c r="U239" s="11">
        <v>0.341</v>
      </c>
      <c r="V239" s="11">
        <v>0.245</v>
      </c>
      <c r="W239" s="8">
        <v>1</v>
      </c>
      <c r="X239" s="8">
        <v>1</v>
      </c>
      <c r="Y239" s="8">
        <v>0</v>
      </c>
      <c r="Z239" s="8">
        <v>0</v>
      </c>
      <c r="AA239" s="11">
        <v>0.04</v>
      </c>
      <c r="AB239" s="11">
        <v>1</v>
      </c>
      <c r="AC239" s="11">
        <v>0</v>
      </c>
      <c r="AD239" s="11">
        <v>0</v>
      </c>
    </row>
    <row r="240" customFormat="1" ht="22" customHeight="1" spans="1:30">
      <c r="A240" s="8" t="s">
        <v>31</v>
      </c>
      <c r="B240" s="8" t="str">
        <f>VLOOKUP(E240,[1]Sheet1!$C:$E,2,FALSE)</f>
        <v>岳贝贝</v>
      </c>
      <c r="C240" s="8" t="str">
        <f>VLOOKUP(E240,[1]Sheet1!$C:$E,3,FALSE)</f>
        <v>B</v>
      </c>
      <c r="D240" s="12" t="s">
        <v>269</v>
      </c>
      <c r="E240" s="13">
        <v>531970041</v>
      </c>
      <c r="F240" s="12">
        <v>4.7</v>
      </c>
      <c r="G240" s="8">
        <v>48</v>
      </c>
      <c r="H240" s="8">
        <v>863.18</v>
      </c>
      <c r="I240" s="8">
        <v>26.22</v>
      </c>
      <c r="J240" s="8">
        <v>17.98</v>
      </c>
      <c r="K240" s="8">
        <v>2434</v>
      </c>
      <c r="L240" s="11">
        <v>0.066</v>
      </c>
      <c r="M240" s="11">
        <v>0.298</v>
      </c>
      <c r="N240" s="11">
        <v>0.0197</v>
      </c>
      <c r="O240" s="8">
        <v>1962</v>
      </c>
      <c r="P240" s="8">
        <v>472</v>
      </c>
      <c r="Q240" s="8">
        <v>22</v>
      </c>
      <c r="R240" s="11">
        <v>0.055</v>
      </c>
      <c r="S240" s="11">
        <v>0.114</v>
      </c>
      <c r="T240" s="11">
        <v>0.243</v>
      </c>
      <c r="U240" s="11">
        <v>0.407</v>
      </c>
      <c r="V240" s="11">
        <v>0.175</v>
      </c>
      <c r="W240" s="8">
        <v>3</v>
      </c>
      <c r="X240" s="8">
        <v>1</v>
      </c>
      <c r="Y240" s="8">
        <v>1</v>
      </c>
      <c r="Z240" s="8">
        <v>1</v>
      </c>
      <c r="AA240" s="11">
        <v>0.0625</v>
      </c>
      <c r="AB240" s="11">
        <v>0.3333</v>
      </c>
      <c r="AC240" s="11">
        <v>0.3333</v>
      </c>
      <c r="AD240" s="11">
        <v>0.3333</v>
      </c>
    </row>
    <row r="241" customFormat="1" ht="22" customHeight="1" spans="1:30">
      <c r="A241" s="8" t="s">
        <v>31</v>
      </c>
      <c r="B241" s="8" t="e">
        <f>VLOOKUP(E241,[1]Sheet1!$C:$E,2,FALSE)</f>
        <v>#N/A</v>
      </c>
      <c r="C241" s="8" t="e">
        <f>VLOOKUP(E241,[1]Sheet1!$C:$E,3,FALSE)</f>
        <v>#N/A</v>
      </c>
      <c r="D241" s="8" t="s">
        <v>270</v>
      </c>
      <c r="E241" s="10">
        <v>541885700</v>
      </c>
      <c r="F241" s="8">
        <v>4.8</v>
      </c>
      <c r="G241" s="8">
        <v>20</v>
      </c>
      <c r="H241" s="8">
        <v>859.88</v>
      </c>
      <c r="I241" s="8">
        <v>51.75</v>
      </c>
      <c r="J241" s="8">
        <v>42.99</v>
      </c>
      <c r="K241" s="8">
        <v>1375</v>
      </c>
      <c r="L241" s="11">
        <v>0.076</v>
      </c>
      <c r="M241" s="11">
        <v>0.19</v>
      </c>
      <c r="N241" s="11">
        <v>0.0144</v>
      </c>
      <c r="O241" s="8">
        <v>1130</v>
      </c>
      <c r="P241" s="8">
        <v>245</v>
      </c>
      <c r="Q241" s="8">
        <v>10</v>
      </c>
      <c r="R241" s="11">
        <v>0.064</v>
      </c>
      <c r="S241" s="11">
        <v>0.135</v>
      </c>
      <c r="T241" s="11">
        <v>0.139</v>
      </c>
      <c r="U241" s="11">
        <v>0.303</v>
      </c>
      <c r="V241" s="11">
        <v>0.219</v>
      </c>
      <c r="W241" s="8">
        <v>0</v>
      </c>
      <c r="X241" s="8">
        <v>0</v>
      </c>
      <c r="Y241" s="8">
        <v>0</v>
      </c>
      <c r="Z241" s="8">
        <v>0</v>
      </c>
      <c r="AA241" s="11">
        <v>0</v>
      </c>
      <c r="AB241" s="11">
        <v>0</v>
      </c>
      <c r="AC241" s="11">
        <v>0</v>
      </c>
      <c r="AD241" s="11">
        <v>0</v>
      </c>
    </row>
    <row r="242" customFormat="1" ht="22" customHeight="1" spans="1:30">
      <c r="A242" s="8" t="s">
        <v>31</v>
      </c>
      <c r="B242" s="8" t="str">
        <f>VLOOKUP(E242,[1]Sheet1!$C:$E,2,FALSE)</f>
        <v>岳贝贝</v>
      </c>
      <c r="C242" s="8">
        <f>VLOOKUP(E242,[1]Sheet1!$C:$E,3,FALSE)</f>
        <v>0</v>
      </c>
      <c r="D242" s="8" t="s">
        <v>271</v>
      </c>
      <c r="E242" s="10">
        <v>538320390</v>
      </c>
      <c r="F242" s="8">
        <v>5</v>
      </c>
      <c r="G242" s="8">
        <v>49</v>
      </c>
      <c r="H242" s="8">
        <v>856.51</v>
      </c>
      <c r="I242" s="8">
        <v>0</v>
      </c>
      <c r="J242" s="8">
        <v>17.48</v>
      </c>
      <c r="K242" s="8">
        <v>2126</v>
      </c>
      <c r="L242" s="11">
        <v>0.083</v>
      </c>
      <c r="M242" s="11">
        <v>0.267</v>
      </c>
      <c r="N242" s="11">
        <v>0.0222</v>
      </c>
      <c r="O242" s="8">
        <v>0</v>
      </c>
      <c r="P242" s="8">
        <v>0</v>
      </c>
      <c r="Q242" s="8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0.299</v>
      </c>
      <c r="W242" s="8">
        <v>2</v>
      </c>
      <c r="X242" s="8">
        <v>2</v>
      </c>
      <c r="Y242" s="8">
        <v>0</v>
      </c>
      <c r="Z242" s="8">
        <v>0</v>
      </c>
      <c r="AA242" s="11">
        <v>0.0408</v>
      </c>
      <c r="AB242" s="11">
        <v>1</v>
      </c>
      <c r="AC242" s="11">
        <v>0</v>
      </c>
      <c r="AD242" s="11">
        <v>0</v>
      </c>
    </row>
    <row r="243" customFormat="1" ht="22" customHeight="1" spans="1:30">
      <c r="A243" s="8" t="s">
        <v>31</v>
      </c>
      <c r="B243" s="8" t="str">
        <f>VLOOKUP(E243,[1]Sheet1!$C:$E,2,FALSE)</f>
        <v>徐从众</v>
      </c>
      <c r="C243" s="9" t="str">
        <f>VLOOKUP(E243,[1]Sheet1!$C:$E,3,FALSE)</f>
        <v>S</v>
      </c>
      <c r="D243" s="8" t="s">
        <v>272</v>
      </c>
      <c r="E243" s="10">
        <v>26319</v>
      </c>
      <c r="F243" s="8">
        <v>5</v>
      </c>
      <c r="G243" s="8">
        <v>25</v>
      </c>
      <c r="H243" s="8">
        <v>853.36</v>
      </c>
      <c r="I243" s="8">
        <v>43.07</v>
      </c>
      <c r="J243" s="8">
        <v>34.13</v>
      </c>
      <c r="K243" s="8">
        <v>988</v>
      </c>
      <c r="L243" s="11">
        <v>0.097</v>
      </c>
      <c r="M243" s="11">
        <v>0.24</v>
      </c>
      <c r="N243" s="11">
        <v>0.0233</v>
      </c>
      <c r="O243" s="8">
        <v>634</v>
      </c>
      <c r="P243" s="8">
        <v>354</v>
      </c>
      <c r="Q243" s="8">
        <v>17</v>
      </c>
      <c r="R243" s="11">
        <v>0.074</v>
      </c>
      <c r="S243" s="11">
        <v>0.138</v>
      </c>
      <c r="T243" s="11">
        <v>0.128</v>
      </c>
      <c r="U243" s="11">
        <v>0.347</v>
      </c>
      <c r="V243" s="11">
        <v>0.286</v>
      </c>
      <c r="W243" s="8">
        <v>0</v>
      </c>
      <c r="X243" s="8">
        <v>0</v>
      </c>
      <c r="Y243" s="8">
        <v>0</v>
      </c>
      <c r="Z243" s="8">
        <v>0</v>
      </c>
      <c r="AA243" s="11">
        <v>0</v>
      </c>
      <c r="AB243" s="11">
        <v>0</v>
      </c>
      <c r="AC243" s="11">
        <v>0</v>
      </c>
      <c r="AD243" s="11">
        <v>0</v>
      </c>
    </row>
    <row r="244" customFormat="1" ht="22" customHeight="1" spans="1:30">
      <c r="A244" s="8" t="s">
        <v>31</v>
      </c>
      <c r="B244" s="8" t="str">
        <f>VLOOKUP(E244,[1]Sheet1!$C:$E,2,FALSE)</f>
        <v>徐从众</v>
      </c>
      <c r="C244" s="9" t="str">
        <f>VLOOKUP(E244,[1]Sheet1!$C:$E,3,FALSE)</f>
        <v>S</v>
      </c>
      <c r="D244" s="8" t="s">
        <v>273</v>
      </c>
      <c r="E244" s="10">
        <v>516010461</v>
      </c>
      <c r="F244" s="8">
        <v>4.9</v>
      </c>
      <c r="G244" s="8">
        <v>50</v>
      </c>
      <c r="H244" s="8">
        <v>848.94</v>
      </c>
      <c r="I244" s="8">
        <v>0</v>
      </c>
      <c r="J244" s="8">
        <v>16.98</v>
      </c>
      <c r="K244" s="8">
        <v>1529</v>
      </c>
      <c r="L244" s="11">
        <v>0.08</v>
      </c>
      <c r="M244" s="11">
        <v>0.407</v>
      </c>
      <c r="N244" s="11">
        <v>0.0326</v>
      </c>
      <c r="O244" s="8">
        <v>0</v>
      </c>
      <c r="P244" s="8">
        <v>0</v>
      </c>
      <c r="Q244" s="8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0.336</v>
      </c>
      <c r="W244" s="8">
        <v>3</v>
      </c>
      <c r="X244" s="8">
        <v>3</v>
      </c>
      <c r="Y244" s="8">
        <v>0</v>
      </c>
      <c r="Z244" s="8">
        <v>0</v>
      </c>
      <c r="AA244" s="11">
        <v>0.06</v>
      </c>
      <c r="AB244" s="11">
        <v>1</v>
      </c>
      <c r="AC244" s="11">
        <v>0</v>
      </c>
      <c r="AD244" s="11">
        <v>0</v>
      </c>
    </row>
    <row r="245" customFormat="1" ht="22" customHeight="1" spans="1:30">
      <c r="A245" s="8" t="s">
        <v>31</v>
      </c>
      <c r="B245" s="8" t="str">
        <f>VLOOKUP(E245,[1]Sheet1!$C:$E,2,FALSE)</f>
        <v>徐从众</v>
      </c>
      <c r="C245" s="9" t="str">
        <f>VLOOKUP(E245,[1]Sheet1!$C:$E,3,FALSE)</f>
        <v>S</v>
      </c>
      <c r="D245" s="8" t="s">
        <v>274</v>
      </c>
      <c r="E245" s="10">
        <v>2081126510</v>
      </c>
      <c r="F245" s="8">
        <v>5</v>
      </c>
      <c r="G245" s="8">
        <v>14</v>
      </c>
      <c r="H245" s="8">
        <v>834.22</v>
      </c>
      <c r="I245" s="8">
        <v>74.71</v>
      </c>
      <c r="J245" s="8">
        <v>59.59</v>
      </c>
      <c r="K245" s="8">
        <v>679</v>
      </c>
      <c r="L245" s="11">
        <v>0.094</v>
      </c>
      <c r="M245" s="11">
        <v>0.219</v>
      </c>
      <c r="N245" s="11">
        <v>0.0206</v>
      </c>
      <c r="O245" s="8">
        <v>613</v>
      </c>
      <c r="P245" s="8">
        <v>66</v>
      </c>
      <c r="Q245" s="8">
        <v>7</v>
      </c>
      <c r="R245" s="11">
        <v>0.082</v>
      </c>
      <c r="S245" s="11">
        <v>0.212</v>
      </c>
      <c r="T245" s="11">
        <v>0.14</v>
      </c>
      <c r="U245" s="11">
        <v>0.5</v>
      </c>
      <c r="V245" s="11">
        <v>0.256</v>
      </c>
      <c r="W245" s="8">
        <v>0</v>
      </c>
      <c r="X245" s="8">
        <v>0</v>
      </c>
      <c r="Y245" s="8">
        <v>0</v>
      </c>
      <c r="Z245" s="8">
        <v>0</v>
      </c>
      <c r="AA245" s="11">
        <v>0</v>
      </c>
      <c r="AB245" s="11">
        <v>0</v>
      </c>
      <c r="AC245" s="11">
        <v>0</v>
      </c>
      <c r="AD245" s="11">
        <v>0</v>
      </c>
    </row>
    <row r="246" customFormat="1" ht="22" customHeight="1" spans="1:30">
      <c r="A246" s="8" t="s">
        <v>31</v>
      </c>
      <c r="B246" s="8" t="str">
        <f>VLOOKUP(E246,[1]Sheet1!$C:$E,2,FALSE)</f>
        <v>岳贝贝</v>
      </c>
      <c r="C246" s="8" t="str">
        <f>VLOOKUP(E246,[1]Sheet1!$C:$E,3,FALSE)</f>
        <v>B</v>
      </c>
      <c r="D246" s="8" t="s">
        <v>275</v>
      </c>
      <c r="E246" s="10">
        <v>534960212</v>
      </c>
      <c r="F246" s="8">
        <v>4.9</v>
      </c>
      <c r="G246" s="8">
        <v>47</v>
      </c>
      <c r="H246" s="8">
        <v>833.18</v>
      </c>
      <c r="I246" s="8">
        <v>0</v>
      </c>
      <c r="J246" s="8">
        <v>17.73</v>
      </c>
      <c r="K246" s="8">
        <v>1390</v>
      </c>
      <c r="L246" s="11">
        <v>0.082</v>
      </c>
      <c r="M246" s="11">
        <v>0.412</v>
      </c>
      <c r="N246" s="11">
        <v>0.0338</v>
      </c>
      <c r="O246" s="8">
        <v>0</v>
      </c>
      <c r="P246" s="8">
        <v>0</v>
      </c>
      <c r="Q246" s="8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0.252</v>
      </c>
      <c r="W246" s="8">
        <v>0</v>
      </c>
      <c r="X246" s="8">
        <v>0</v>
      </c>
      <c r="Y246" s="8">
        <v>0</v>
      </c>
      <c r="Z246" s="8">
        <v>0</v>
      </c>
      <c r="AA246" s="11">
        <v>0</v>
      </c>
      <c r="AB246" s="11">
        <v>0</v>
      </c>
      <c r="AC246" s="11">
        <v>0</v>
      </c>
      <c r="AD246" s="11">
        <v>0</v>
      </c>
    </row>
    <row r="247" customFormat="1" ht="22" customHeight="1" spans="1:30">
      <c r="A247" s="8" t="s">
        <v>31</v>
      </c>
      <c r="B247" s="8" t="str">
        <f>VLOOKUP(E247,[1]Sheet1!$C:$E,2,FALSE)</f>
        <v>徐从众</v>
      </c>
      <c r="C247" s="9" t="str">
        <f>VLOOKUP(E247,[1]Sheet1!$C:$E,3,FALSE)</f>
        <v>A</v>
      </c>
      <c r="D247" s="12" t="s">
        <v>276</v>
      </c>
      <c r="E247" s="13">
        <v>1284609321</v>
      </c>
      <c r="F247" s="12">
        <v>4.5</v>
      </c>
      <c r="G247" s="8">
        <v>33</v>
      </c>
      <c r="H247" s="8">
        <v>827.02</v>
      </c>
      <c r="I247" s="8">
        <v>31.71</v>
      </c>
      <c r="J247" s="8">
        <v>25.06</v>
      </c>
      <c r="K247" s="8">
        <v>1729</v>
      </c>
      <c r="L247" s="11">
        <v>0.088</v>
      </c>
      <c r="M247" s="11">
        <v>0.217</v>
      </c>
      <c r="N247" s="11">
        <v>0.0191</v>
      </c>
      <c r="O247" s="8">
        <v>1280</v>
      </c>
      <c r="P247" s="8">
        <v>449</v>
      </c>
      <c r="Q247" s="8">
        <v>22</v>
      </c>
      <c r="R247" s="11">
        <v>0.079</v>
      </c>
      <c r="S247" s="11">
        <v>0.114</v>
      </c>
      <c r="T247" s="11">
        <v>0.109</v>
      </c>
      <c r="U247" s="11">
        <v>0.431</v>
      </c>
      <c r="V247" s="11">
        <v>0.275</v>
      </c>
      <c r="W247" s="8">
        <v>0</v>
      </c>
      <c r="X247" s="8">
        <v>0</v>
      </c>
      <c r="Y247" s="8">
        <v>0</v>
      </c>
      <c r="Z247" s="8">
        <v>0</v>
      </c>
      <c r="AA247" s="11">
        <v>0</v>
      </c>
      <c r="AB247" s="11">
        <v>0</v>
      </c>
      <c r="AC247" s="11">
        <v>0</v>
      </c>
      <c r="AD247" s="11">
        <v>0</v>
      </c>
    </row>
    <row r="248" customFormat="1" ht="22" customHeight="1" spans="1:30">
      <c r="A248" s="8" t="s">
        <v>31</v>
      </c>
      <c r="B248" s="8" t="str">
        <f>VLOOKUP(E248,[1]Sheet1!$C:$E,2,FALSE)</f>
        <v>岳贝贝</v>
      </c>
      <c r="C248" s="8" t="str">
        <f>VLOOKUP(E248,[1]Sheet1!$C:$E,3,FALSE)</f>
        <v>B</v>
      </c>
      <c r="D248" s="8" t="s">
        <v>277</v>
      </c>
      <c r="E248" s="10">
        <v>540662179</v>
      </c>
      <c r="F248" s="8">
        <v>4.8</v>
      </c>
      <c r="G248" s="8">
        <v>18</v>
      </c>
      <c r="H248" s="8">
        <v>821.09</v>
      </c>
      <c r="I248" s="8">
        <v>52.26</v>
      </c>
      <c r="J248" s="8">
        <v>45.62</v>
      </c>
      <c r="K248" s="8">
        <v>1671</v>
      </c>
      <c r="L248" s="11">
        <v>0.084</v>
      </c>
      <c r="M248" s="11">
        <v>0.128</v>
      </c>
      <c r="N248" s="11">
        <v>0.0108</v>
      </c>
      <c r="O248" s="8">
        <v>1392</v>
      </c>
      <c r="P248" s="8">
        <v>279</v>
      </c>
      <c r="Q248" s="8">
        <v>4</v>
      </c>
      <c r="R248" s="11">
        <v>0.08</v>
      </c>
      <c r="S248" s="11">
        <v>0.104</v>
      </c>
      <c r="T248" s="11">
        <v>0.125</v>
      </c>
      <c r="U248" s="11">
        <v>0.138</v>
      </c>
      <c r="V248" s="11">
        <v>0.232</v>
      </c>
      <c r="W248" s="8">
        <v>4</v>
      </c>
      <c r="X248" s="8">
        <v>4</v>
      </c>
      <c r="Y248" s="8">
        <v>0</v>
      </c>
      <c r="Z248" s="8">
        <v>0</v>
      </c>
      <c r="AA248" s="11">
        <v>0.2222</v>
      </c>
      <c r="AB248" s="11">
        <v>1</v>
      </c>
      <c r="AC248" s="11">
        <v>0</v>
      </c>
      <c r="AD248" s="11">
        <v>0</v>
      </c>
    </row>
    <row r="249" customFormat="1" ht="22" customHeight="1" spans="1:30">
      <c r="A249" s="8" t="s">
        <v>31</v>
      </c>
      <c r="B249" s="8" t="str">
        <f>VLOOKUP(E249,[1]Sheet1!$C:$E,2,FALSE)</f>
        <v>徐从众</v>
      </c>
      <c r="C249" s="9" t="str">
        <f>VLOOKUP(E249,[1]Sheet1!$C:$E,3,FALSE)</f>
        <v>S</v>
      </c>
      <c r="D249" s="8" t="s">
        <v>278</v>
      </c>
      <c r="E249" s="10">
        <v>1190914754</v>
      </c>
      <c r="F249" s="8">
        <v>5</v>
      </c>
      <c r="G249" s="8">
        <v>50</v>
      </c>
      <c r="H249" s="8">
        <v>819.86</v>
      </c>
      <c r="I249" s="8">
        <v>0</v>
      </c>
      <c r="J249" s="8">
        <v>16.4</v>
      </c>
      <c r="K249" s="8">
        <v>1398</v>
      </c>
      <c r="L249" s="11">
        <v>0.085</v>
      </c>
      <c r="M249" s="11">
        <v>0.412</v>
      </c>
      <c r="N249" s="11">
        <v>0.035</v>
      </c>
      <c r="O249" s="8">
        <v>0</v>
      </c>
      <c r="P249" s="8">
        <v>0</v>
      </c>
      <c r="Q249" s="8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0.387</v>
      </c>
      <c r="W249" s="8">
        <v>2</v>
      </c>
      <c r="X249" s="8">
        <v>1</v>
      </c>
      <c r="Y249" s="8">
        <v>0</v>
      </c>
      <c r="Z249" s="8">
        <v>1</v>
      </c>
      <c r="AA249" s="11">
        <v>0.04</v>
      </c>
      <c r="AB249" s="11">
        <v>0.5</v>
      </c>
      <c r="AC249" s="11">
        <v>0</v>
      </c>
      <c r="AD249" s="11">
        <v>0.5</v>
      </c>
    </row>
    <row r="250" customFormat="1" ht="22" customHeight="1" spans="1:30">
      <c r="A250" s="8" t="s">
        <v>31</v>
      </c>
      <c r="B250" s="8" t="str">
        <f>VLOOKUP(E250,[1]Sheet1!$C:$E,2,FALSE)</f>
        <v>岳贝贝</v>
      </c>
      <c r="C250" s="8" t="str">
        <f>VLOOKUP(E250,[1]Sheet1!$C:$E,3,FALSE)</f>
        <v>B</v>
      </c>
      <c r="D250" s="12" t="s">
        <v>279</v>
      </c>
      <c r="E250" s="13">
        <v>530347086</v>
      </c>
      <c r="F250" s="12">
        <v>4.7</v>
      </c>
      <c r="G250" s="8">
        <v>21</v>
      </c>
      <c r="H250" s="8">
        <v>810.77</v>
      </c>
      <c r="I250" s="8">
        <v>45.8</v>
      </c>
      <c r="J250" s="8">
        <v>38.61</v>
      </c>
      <c r="K250" s="8">
        <v>3093</v>
      </c>
      <c r="L250" s="11">
        <v>0.045</v>
      </c>
      <c r="M250" s="11">
        <v>0.15</v>
      </c>
      <c r="N250" s="11">
        <v>0.0068</v>
      </c>
      <c r="O250" s="8">
        <v>2751</v>
      </c>
      <c r="P250" s="8">
        <v>342</v>
      </c>
      <c r="Q250" s="8">
        <v>13</v>
      </c>
      <c r="R250" s="11">
        <v>0.033</v>
      </c>
      <c r="S250" s="11">
        <v>0.14</v>
      </c>
      <c r="T250" s="11">
        <v>0.087</v>
      </c>
      <c r="U250" s="11">
        <v>0.271</v>
      </c>
      <c r="V250" s="11">
        <v>0.291</v>
      </c>
      <c r="W250" s="8">
        <v>0</v>
      </c>
      <c r="X250" s="8">
        <v>0</v>
      </c>
      <c r="Y250" s="8">
        <v>0</v>
      </c>
      <c r="Z250" s="8">
        <v>0</v>
      </c>
      <c r="AA250" s="11">
        <v>0</v>
      </c>
      <c r="AB250" s="11">
        <v>0</v>
      </c>
      <c r="AC250" s="11">
        <v>0</v>
      </c>
      <c r="AD250" s="11">
        <v>0</v>
      </c>
    </row>
    <row r="251" customFormat="1" ht="22" customHeight="1" spans="1:30">
      <c r="A251" s="8" t="s">
        <v>31</v>
      </c>
      <c r="B251" s="8" t="str">
        <f>VLOOKUP(E251,[1]Sheet1!$C:$E,2,FALSE)</f>
        <v>徐从众</v>
      </c>
      <c r="C251" s="9" t="str">
        <f>VLOOKUP(E251,[1]Sheet1!$C:$E,3,FALSE)</f>
        <v>A</v>
      </c>
      <c r="D251" s="8" t="s">
        <v>280</v>
      </c>
      <c r="E251" s="10">
        <v>1282676230</v>
      </c>
      <c r="F251" s="8">
        <v>4.9</v>
      </c>
      <c r="G251" s="8">
        <v>44</v>
      </c>
      <c r="H251" s="8">
        <v>808.8</v>
      </c>
      <c r="I251" s="8">
        <v>24.75</v>
      </c>
      <c r="J251" s="8">
        <v>18.38</v>
      </c>
      <c r="K251" s="8">
        <v>912</v>
      </c>
      <c r="L251" s="11">
        <v>0.092</v>
      </c>
      <c r="M251" s="11">
        <v>0.5</v>
      </c>
      <c r="N251" s="11">
        <v>0.046</v>
      </c>
      <c r="O251" s="8">
        <v>587</v>
      </c>
      <c r="P251" s="8">
        <v>325</v>
      </c>
      <c r="Q251" s="8">
        <v>36</v>
      </c>
      <c r="R251" s="11">
        <v>0.044</v>
      </c>
      <c r="S251" s="11">
        <v>0.178</v>
      </c>
      <c r="T251" s="11">
        <v>0.231</v>
      </c>
      <c r="U251" s="11">
        <v>0.621</v>
      </c>
      <c r="V251" s="11">
        <v>0.422</v>
      </c>
      <c r="W251" s="8">
        <v>1</v>
      </c>
      <c r="X251" s="8">
        <v>1</v>
      </c>
      <c r="Y251" s="8">
        <v>0</v>
      </c>
      <c r="Z251" s="8">
        <v>0</v>
      </c>
      <c r="AA251" s="11">
        <v>0.0227</v>
      </c>
      <c r="AB251" s="11">
        <v>1</v>
      </c>
      <c r="AC251" s="11">
        <v>0</v>
      </c>
      <c r="AD251" s="11">
        <v>0</v>
      </c>
    </row>
    <row r="252" customFormat="1" ht="22" customHeight="1" spans="1:30">
      <c r="A252" s="8" t="s">
        <v>31</v>
      </c>
      <c r="B252" s="8" t="e">
        <f>VLOOKUP(E252,[1]Sheet1!$C:$E,2,FALSE)</f>
        <v>#N/A</v>
      </c>
      <c r="C252" s="8" t="e">
        <f>VLOOKUP(E252,[1]Sheet1!$C:$E,3,FALSE)</f>
        <v>#N/A</v>
      </c>
      <c r="D252" s="12" t="s">
        <v>281</v>
      </c>
      <c r="E252" s="13">
        <v>1193034816</v>
      </c>
      <c r="F252" s="12">
        <v>4.5</v>
      </c>
      <c r="G252" s="8">
        <v>50</v>
      </c>
      <c r="H252" s="8">
        <v>807.52</v>
      </c>
      <c r="I252" s="8">
        <v>0</v>
      </c>
      <c r="J252" s="8">
        <v>16.15</v>
      </c>
      <c r="K252" s="8">
        <v>1965</v>
      </c>
      <c r="L252" s="11">
        <v>0.063</v>
      </c>
      <c r="M252" s="11">
        <v>0.379</v>
      </c>
      <c r="N252" s="11">
        <v>0.0239</v>
      </c>
      <c r="O252" s="8">
        <v>0</v>
      </c>
      <c r="P252" s="8">
        <v>0</v>
      </c>
      <c r="Q252" s="8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0.242</v>
      </c>
      <c r="W252" s="8">
        <v>0</v>
      </c>
      <c r="X252" s="8">
        <v>0</v>
      </c>
      <c r="Y252" s="8">
        <v>0</v>
      </c>
      <c r="Z252" s="8">
        <v>0</v>
      </c>
      <c r="AA252" s="11">
        <v>0</v>
      </c>
      <c r="AB252" s="11">
        <v>0</v>
      </c>
      <c r="AC252" s="11">
        <v>0</v>
      </c>
      <c r="AD252" s="11">
        <v>0</v>
      </c>
    </row>
    <row r="253" customFormat="1" ht="22" customHeight="1" spans="1:30">
      <c r="A253" s="8" t="s">
        <v>31</v>
      </c>
      <c r="B253" s="8" t="str">
        <f>VLOOKUP(E253,[1]Sheet1!$C:$E,2,FALSE)</f>
        <v>徐从众</v>
      </c>
      <c r="C253" s="9" t="str">
        <f>VLOOKUP(E253,[1]Sheet1!$C:$E,3,FALSE)</f>
        <v>A</v>
      </c>
      <c r="D253" s="8" t="s">
        <v>282</v>
      </c>
      <c r="E253" s="10">
        <v>163052514</v>
      </c>
      <c r="F253" s="8">
        <v>4.9</v>
      </c>
      <c r="G253" s="8">
        <v>36</v>
      </c>
      <c r="H253" s="8">
        <v>791.19</v>
      </c>
      <c r="I253" s="8">
        <v>29.06</v>
      </c>
      <c r="J253" s="8">
        <v>21.98</v>
      </c>
      <c r="K253" s="8">
        <v>1740</v>
      </c>
      <c r="L253" s="11">
        <v>0.075</v>
      </c>
      <c r="M253" s="11">
        <v>0.275</v>
      </c>
      <c r="N253" s="11">
        <v>0.0206</v>
      </c>
      <c r="O253" s="8">
        <v>1416</v>
      </c>
      <c r="P253" s="8">
        <v>324</v>
      </c>
      <c r="Q253" s="8">
        <v>16</v>
      </c>
      <c r="R253" s="11">
        <v>0.064</v>
      </c>
      <c r="S253" s="11">
        <v>0.127</v>
      </c>
      <c r="T253" s="11">
        <v>0.222</v>
      </c>
      <c r="U253" s="11">
        <v>0.39</v>
      </c>
      <c r="V253" s="11">
        <v>0.237</v>
      </c>
      <c r="W253" s="8">
        <v>1</v>
      </c>
      <c r="X253" s="8">
        <v>1</v>
      </c>
      <c r="Y253" s="8">
        <v>0</v>
      </c>
      <c r="Z253" s="8">
        <v>0</v>
      </c>
      <c r="AA253" s="11">
        <v>0.0278</v>
      </c>
      <c r="AB253" s="11">
        <v>1</v>
      </c>
      <c r="AC253" s="11">
        <v>0</v>
      </c>
      <c r="AD253" s="11">
        <v>0</v>
      </c>
    </row>
    <row r="254" customFormat="1" ht="22" customHeight="1" spans="1:30">
      <c r="A254" s="8" t="s">
        <v>31</v>
      </c>
      <c r="B254" s="8" t="str">
        <f>VLOOKUP(E254,[1]Sheet1!$C:$E,2,FALSE)</f>
        <v>徐从众</v>
      </c>
      <c r="C254" s="9" t="str">
        <f>VLOOKUP(E254,[1]Sheet1!$C:$E,3,FALSE)</f>
        <v>A</v>
      </c>
      <c r="D254" s="12" t="s">
        <v>283</v>
      </c>
      <c r="E254" s="13">
        <v>539105328</v>
      </c>
      <c r="F254" s="12">
        <v>4.6</v>
      </c>
      <c r="G254" s="8">
        <v>13</v>
      </c>
      <c r="H254" s="8">
        <v>776.75</v>
      </c>
      <c r="I254" s="8">
        <v>74.48</v>
      </c>
      <c r="J254" s="8">
        <v>59.75</v>
      </c>
      <c r="K254" s="8">
        <v>1604</v>
      </c>
      <c r="L254" s="11">
        <v>0.094</v>
      </c>
      <c r="M254" s="11">
        <v>0.086</v>
      </c>
      <c r="N254" s="11">
        <v>0.0081</v>
      </c>
      <c r="O254" s="8">
        <v>1316</v>
      </c>
      <c r="P254" s="8">
        <v>288</v>
      </c>
      <c r="Q254" s="8">
        <v>9</v>
      </c>
      <c r="R254" s="11">
        <v>0.085</v>
      </c>
      <c r="S254" s="11">
        <v>0.135</v>
      </c>
      <c r="T254" s="11">
        <v>0.036</v>
      </c>
      <c r="U254" s="11">
        <v>0.231</v>
      </c>
      <c r="V254" s="11">
        <v>0.184</v>
      </c>
      <c r="W254" s="8">
        <v>0</v>
      </c>
      <c r="X254" s="8">
        <v>0</v>
      </c>
      <c r="Y254" s="8">
        <v>0</v>
      </c>
      <c r="Z254" s="8">
        <v>0</v>
      </c>
      <c r="AA254" s="11">
        <v>0</v>
      </c>
      <c r="AB254" s="11">
        <v>0</v>
      </c>
      <c r="AC254" s="11">
        <v>0</v>
      </c>
      <c r="AD254" s="11">
        <v>0</v>
      </c>
    </row>
    <row r="255" customFormat="1" ht="22" customHeight="1" spans="1:30">
      <c r="A255" s="8" t="s">
        <v>31</v>
      </c>
      <c r="B255" s="8" t="e">
        <f>VLOOKUP(E255,[1]Sheet1!$C:$E,2,FALSE)</f>
        <v>#N/A</v>
      </c>
      <c r="C255" s="8" t="e">
        <f>VLOOKUP(E255,[1]Sheet1!$C:$E,3,FALSE)</f>
        <v>#N/A</v>
      </c>
      <c r="D255" s="8" t="s">
        <v>284</v>
      </c>
      <c r="E255" s="10">
        <v>1268253833</v>
      </c>
      <c r="F255" s="8">
        <v>4.8</v>
      </c>
      <c r="G255" s="8">
        <v>63</v>
      </c>
      <c r="H255" s="8">
        <v>774.49</v>
      </c>
      <c r="I255" s="8">
        <v>16.51</v>
      </c>
      <c r="J255" s="8">
        <v>12.29</v>
      </c>
      <c r="K255" s="8">
        <v>1360</v>
      </c>
      <c r="L255" s="11">
        <v>0.096</v>
      </c>
      <c r="M255" s="11">
        <v>0.408</v>
      </c>
      <c r="N255" s="11">
        <v>0.0392</v>
      </c>
      <c r="O255" s="8">
        <v>1075</v>
      </c>
      <c r="P255" s="8">
        <v>285</v>
      </c>
      <c r="Q255" s="8">
        <v>46</v>
      </c>
      <c r="R255" s="11">
        <v>0.06</v>
      </c>
      <c r="S255" s="11">
        <v>0.232</v>
      </c>
      <c r="T255" s="11">
        <v>0.109</v>
      </c>
      <c r="U255" s="11">
        <v>0.697</v>
      </c>
      <c r="V255" s="11">
        <v>0.436</v>
      </c>
      <c r="W255" s="8">
        <v>0</v>
      </c>
      <c r="X255" s="8">
        <v>0</v>
      </c>
      <c r="Y255" s="8">
        <v>0</v>
      </c>
      <c r="Z255" s="8">
        <v>0</v>
      </c>
      <c r="AA255" s="11">
        <v>0</v>
      </c>
      <c r="AB255" s="11">
        <v>0</v>
      </c>
      <c r="AC255" s="11">
        <v>0</v>
      </c>
      <c r="AD255" s="11">
        <v>0</v>
      </c>
    </row>
    <row r="256" customFormat="1" ht="22" customHeight="1" spans="1:30">
      <c r="A256" s="8" t="s">
        <v>31</v>
      </c>
      <c r="B256" s="8" t="str">
        <f>VLOOKUP(E256,[1]Sheet1!$C:$E,2,FALSE)</f>
        <v>王森</v>
      </c>
      <c r="C256" s="9" t="str">
        <f>VLOOKUP(E256,[1]Sheet1!$C:$E,3,FALSE)</f>
        <v>A</v>
      </c>
      <c r="D256" s="12" t="s">
        <v>285</v>
      </c>
      <c r="E256" s="13">
        <v>1188010604</v>
      </c>
      <c r="F256" s="12">
        <v>4.5</v>
      </c>
      <c r="G256" s="8">
        <v>35</v>
      </c>
      <c r="H256" s="8">
        <v>772.23</v>
      </c>
      <c r="I256" s="8">
        <v>0</v>
      </c>
      <c r="J256" s="8">
        <v>22.06</v>
      </c>
      <c r="K256" s="8">
        <v>3679</v>
      </c>
      <c r="L256" s="11">
        <v>0.083</v>
      </c>
      <c r="M256" s="11">
        <v>0.115</v>
      </c>
      <c r="N256" s="11">
        <v>0.0095</v>
      </c>
      <c r="O256" s="8">
        <v>0</v>
      </c>
      <c r="P256" s="8">
        <v>0</v>
      </c>
      <c r="Q256" s="8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0.194</v>
      </c>
      <c r="W256" s="8">
        <v>3</v>
      </c>
      <c r="X256" s="8">
        <v>3</v>
      </c>
      <c r="Y256" s="8">
        <v>0</v>
      </c>
      <c r="Z256" s="8">
        <v>0</v>
      </c>
      <c r="AA256" s="11">
        <v>0.0857</v>
      </c>
      <c r="AB256" s="11">
        <v>1</v>
      </c>
      <c r="AC256" s="11">
        <v>0</v>
      </c>
      <c r="AD256" s="11">
        <v>0</v>
      </c>
    </row>
    <row r="257" customFormat="1" ht="22" customHeight="1" spans="1:30">
      <c r="A257" s="8" t="s">
        <v>31</v>
      </c>
      <c r="B257" s="8" t="e">
        <f>VLOOKUP(E257,[1]Sheet1!$C:$E,2,FALSE)</f>
        <v>#N/A</v>
      </c>
      <c r="C257" s="8" t="e">
        <f>VLOOKUP(E257,[1]Sheet1!$C:$E,3,FALSE)</f>
        <v>#N/A</v>
      </c>
      <c r="D257" s="12" t="s">
        <v>286</v>
      </c>
      <c r="E257" s="13">
        <v>535121</v>
      </c>
      <c r="F257" s="12">
        <v>4.5</v>
      </c>
      <c r="G257" s="8">
        <v>20</v>
      </c>
      <c r="H257" s="8">
        <v>769.3</v>
      </c>
      <c r="I257" s="8">
        <v>49.46</v>
      </c>
      <c r="J257" s="8">
        <v>38.47</v>
      </c>
      <c r="K257" s="8">
        <v>1030</v>
      </c>
      <c r="L257" s="11">
        <v>0.1</v>
      </c>
      <c r="M257" s="11">
        <v>0.194</v>
      </c>
      <c r="N257" s="11">
        <v>0.0194</v>
      </c>
      <c r="O257" s="8">
        <v>765</v>
      </c>
      <c r="P257" s="8">
        <v>265</v>
      </c>
      <c r="Q257" s="8">
        <v>16</v>
      </c>
      <c r="R257" s="11">
        <v>0.081</v>
      </c>
      <c r="S257" s="11">
        <v>0.155</v>
      </c>
      <c r="T257" s="11">
        <v>0.065</v>
      </c>
      <c r="U257" s="11">
        <v>0.39</v>
      </c>
      <c r="V257" s="11">
        <v>0.259</v>
      </c>
      <c r="W257" s="8">
        <v>0</v>
      </c>
      <c r="X257" s="8">
        <v>0</v>
      </c>
      <c r="Y257" s="8">
        <v>0</v>
      </c>
      <c r="Z257" s="8">
        <v>0</v>
      </c>
      <c r="AA257" s="11">
        <v>0</v>
      </c>
      <c r="AB257" s="11">
        <v>0</v>
      </c>
      <c r="AC257" s="11">
        <v>0</v>
      </c>
      <c r="AD257" s="11">
        <v>0</v>
      </c>
    </row>
    <row r="258" customFormat="1" ht="22" customHeight="1" spans="1:30">
      <c r="A258" s="8" t="s">
        <v>31</v>
      </c>
      <c r="B258" s="8" t="str">
        <f>VLOOKUP(E258,[1]Sheet1!$C:$E,2,FALSE)</f>
        <v>徐从众</v>
      </c>
      <c r="C258" s="9" t="str">
        <f>VLOOKUP(E258,[1]Sheet1!$C:$E,3,FALSE)</f>
        <v>S</v>
      </c>
      <c r="D258" s="12" t="s">
        <v>287</v>
      </c>
      <c r="E258" s="13">
        <v>1290147158</v>
      </c>
      <c r="F258" s="12">
        <v>4.7</v>
      </c>
      <c r="G258" s="8">
        <v>28</v>
      </c>
      <c r="H258" s="8">
        <v>765.65</v>
      </c>
      <c r="I258" s="8">
        <v>35.62</v>
      </c>
      <c r="J258" s="8">
        <v>27.34</v>
      </c>
      <c r="K258" s="8">
        <v>924</v>
      </c>
      <c r="L258" s="11">
        <v>0.092</v>
      </c>
      <c r="M258" s="11">
        <v>0.329</v>
      </c>
      <c r="N258" s="11">
        <v>0.0303</v>
      </c>
      <c r="O258" s="8">
        <v>658</v>
      </c>
      <c r="P258" s="8">
        <v>266</v>
      </c>
      <c r="Q258" s="8">
        <v>20</v>
      </c>
      <c r="R258" s="11">
        <v>0.073</v>
      </c>
      <c r="S258" s="11">
        <v>0.139</v>
      </c>
      <c r="T258" s="11">
        <v>0.167</v>
      </c>
      <c r="U258" s="11">
        <v>0.541</v>
      </c>
      <c r="V258" s="11">
        <v>0.218</v>
      </c>
      <c r="W258" s="8">
        <v>0</v>
      </c>
      <c r="X258" s="8">
        <v>0</v>
      </c>
      <c r="Y258" s="8">
        <v>0</v>
      </c>
      <c r="Z258" s="8">
        <v>0</v>
      </c>
      <c r="AA258" s="11">
        <v>0</v>
      </c>
      <c r="AB258" s="11">
        <v>0</v>
      </c>
      <c r="AC258" s="11">
        <v>0</v>
      </c>
      <c r="AD258" s="11">
        <v>0</v>
      </c>
    </row>
    <row r="259" customFormat="1" ht="22" customHeight="1" spans="1:30">
      <c r="A259" s="8" t="s">
        <v>31</v>
      </c>
      <c r="B259" s="8" t="e">
        <f>VLOOKUP(E259,[1]Sheet1!$C:$E,2,FALSE)</f>
        <v>#N/A</v>
      </c>
      <c r="C259" s="8" t="e">
        <f>VLOOKUP(E259,[1]Sheet1!$C:$E,3,FALSE)</f>
        <v>#N/A</v>
      </c>
      <c r="D259" s="12" t="s">
        <v>288</v>
      </c>
      <c r="E259" s="13">
        <v>1161511235</v>
      </c>
      <c r="F259" s="12">
        <v>4.2</v>
      </c>
      <c r="G259" s="8">
        <v>45</v>
      </c>
      <c r="H259" s="8">
        <v>760.58</v>
      </c>
      <c r="I259" s="8">
        <v>22.7</v>
      </c>
      <c r="J259" s="8">
        <v>16.9</v>
      </c>
      <c r="K259" s="8">
        <v>4714</v>
      </c>
      <c r="L259" s="11">
        <v>0.05</v>
      </c>
      <c r="M259" s="11">
        <v>0.189</v>
      </c>
      <c r="N259" s="11">
        <v>0.0095</v>
      </c>
      <c r="O259" s="8">
        <v>4197</v>
      </c>
      <c r="P259" s="8">
        <v>517</v>
      </c>
      <c r="Q259" s="8">
        <v>7</v>
      </c>
      <c r="R259" s="11">
        <v>0.051</v>
      </c>
      <c r="S259" s="11">
        <v>0.046</v>
      </c>
      <c r="T259" s="11">
        <v>0.178</v>
      </c>
      <c r="U259" s="11">
        <v>0.292</v>
      </c>
      <c r="V259" s="11">
        <v>0.113</v>
      </c>
      <c r="W259" s="8">
        <v>1</v>
      </c>
      <c r="X259" s="8">
        <v>0</v>
      </c>
      <c r="Y259" s="8">
        <v>0</v>
      </c>
      <c r="Z259" s="8">
        <v>1</v>
      </c>
      <c r="AA259" s="11">
        <v>0.0222</v>
      </c>
      <c r="AB259" s="11">
        <v>0</v>
      </c>
      <c r="AC259" s="11">
        <v>0</v>
      </c>
      <c r="AD259" s="11">
        <v>1</v>
      </c>
    </row>
    <row r="260" customFormat="1" ht="22" customHeight="1" spans="1:30">
      <c r="A260" s="8" t="s">
        <v>31</v>
      </c>
      <c r="B260" s="8" t="str">
        <f>VLOOKUP(E260,[1]Sheet1!$C:$E,2,FALSE)</f>
        <v>刘欢</v>
      </c>
      <c r="C260" s="9" t="str">
        <f>VLOOKUP(E260,[1]Sheet1!$C:$E,3,FALSE)</f>
        <v>A</v>
      </c>
      <c r="D260" s="12" t="s">
        <v>289</v>
      </c>
      <c r="E260" s="13">
        <v>1184612665</v>
      </c>
      <c r="F260" s="12">
        <v>4.5</v>
      </c>
      <c r="G260" s="8">
        <v>22</v>
      </c>
      <c r="H260" s="8">
        <v>755.6</v>
      </c>
      <c r="I260" s="8">
        <v>38.92</v>
      </c>
      <c r="J260" s="8">
        <v>34.35</v>
      </c>
      <c r="K260" s="8">
        <v>1216</v>
      </c>
      <c r="L260" s="11">
        <v>0.077</v>
      </c>
      <c r="M260" s="11">
        <v>0.234</v>
      </c>
      <c r="N260" s="11">
        <v>0.018</v>
      </c>
      <c r="O260" s="8">
        <v>915</v>
      </c>
      <c r="P260" s="8">
        <v>301</v>
      </c>
      <c r="Q260" s="8">
        <v>17</v>
      </c>
      <c r="R260" s="11">
        <v>0.054</v>
      </c>
      <c r="S260" s="11">
        <v>0.15</v>
      </c>
      <c r="T260" s="11">
        <v>0.102</v>
      </c>
      <c r="U260" s="11">
        <v>0.378</v>
      </c>
      <c r="V260" s="11">
        <v>0.206</v>
      </c>
      <c r="W260" s="8">
        <v>1</v>
      </c>
      <c r="X260" s="8">
        <v>1</v>
      </c>
      <c r="Y260" s="8">
        <v>0</v>
      </c>
      <c r="Z260" s="8">
        <v>0</v>
      </c>
      <c r="AA260" s="11">
        <v>0.0455</v>
      </c>
      <c r="AB260" s="11">
        <v>1</v>
      </c>
      <c r="AC260" s="11">
        <v>0</v>
      </c>
      <c r="AD260" s="11">
        <v>0</v>
      </c>
    </row>
    <row r="261" customFormat="1" ht="22" customHeight="1" spans="1:30">
      <c r="A261" s="8" t="s">
        <v>31</v>
      </c>
      <c r="B261" s="8" t="str">
        <f>VLOOKUP(E261,[1]Sheet1!$C:$E,2,FALSE)</f>
        <v>徐从众</v>
      </c>
      <c r="C261" s="9" t="str">
        <f>VLOOKUP(E261,[1]Sheet1!$C:$E,3,FALSE)</f>
        <v>S</v>
      </c>
      <c r="D261" s="8" t="s">
        <v>290</v>
      </c>
      <c r="E261" s="10">
        <v>1300199789</v>
      </c>
      <c r="F261" s="8">
        <v>4.8</v>
      </c>
      <c r="G261" s="8">
        <v>16</v>
      </c>
      <c r="H261" s="8">
        <v>746.94</v>
      </c>
      <c r="I261" s="8">
        <v>59.49</v>
      </c>
      <c r="J261" s="8">
        <v>46.68</v>
      </c>
      <c r="K261" s="8">
        <v>1205</v>
      </c>
      <c r="L261" s="11">
        <v>0.081</v>
      </c>
      <c r="M261" s="11">
        <v>0.163</v>
      </c>
      <c r="N261" s="11">
        <v>0.0132</v>
      </c>
      <c r="O261" s="8">
        <v>1091</v>
      </c>
      <c r="P261" s="8">
        <v>114</v>
      </c>
      <c r="Q261" s="8">
        <v>9</v>
      </c>
      <c r="R261" s="11">
        <v>0.068</v>
      </c>
      <c r="S261" s="11">
        <v>0.211</v>
      </c>
      <c r="T261" s="11">
        <v>0.095</v>
      </c>
      <c r="U261" s="11">
        <v>0.375</v>
      </c>
      <c r="V261" s="11">
        <v>0.23</v>
      </c>
      <c r="W261" s="8">
        <v>0</v>
      </c>
      <c r="X261" s="8">
        <v>0</v>
      </c>
      <c r="Y261" s="8">
        <v>0</v>
      </c>
      <c r="Z261" s="8">
        <v>0</v>
      </c>
      <c r="AA261" s="11">
        <v>0</v>
      </c>
      <c r="AB261" s="11">
        <v>0</v>
      </c>
      <c r="AC261" s="11">
        <v>0</v>
      </c>
      <c r="AD261" s="11">
        <v>0</v>
      </c>
    </row>
    <row r="262" customFormat="1" ht="22" customHeight="1" spans="1:30">
      <c r="A262" s="8" t="s">
        <v>31</v>
      </c>
      <c r="B262" s="8" t="e">
        <f>VLOOKUP(E262,[1]Sheet1!$C:$E,2,FALSE)</f>
        <v>#N/A</v>
      </c>
      <c r="C262" s="8" t="e">
        <f>VLOOKUP(E262,[1]Sheet1!$C:$E,3,FALSE)</f>
        <v>#N/A</v>
      </c>
      <c r="D262" s="8" t="s">
        <v>291</v>
      </c>
      <c r="E262" s="10">
        <v>174241668</v>
      </c>
      <c r="F262" s="8">
        <v>4.8</v>
      </c>
      <c r="G262" s="8">
        <v>25</v>
      </c>
      <c r="H262" s="8">
        <v>745.53</v>
      </c>
      <c r="I262" s="8">
        <v>38.36</v>
      </c>
      <c r="J262" s="8">
        <v>29.82</v>
      </c>
      <c r="K262" s="8">
        <v>1534</v>
      </c>
      <c r="L262" s="11">
        <v>0.121</v>
      </c>
      <c r="M262" s="11">
        <v>0.135</v>
      </c>
      <c r="N262" s="11">
        <v>0.0163</v>
      </c>
      <c r="O262" s="8">
        <v>1190</v>
      </c>
      <c r="P262" s="8">
        <v>344</v>
      </c>
      <c r="Q262" s="8">
        <v>14</v>
      </c>
      <c r="R262" s="11">
        <v>0.115</v>
      </c>
      <c r="S262" s="11">
        <v>0.14</v>
      </c>
      <c r="T262" s="11">
        <v>0.08</v>
      </c>
      <c r="U262" s="11">
        <v>0.292</v>
      </c>
      <c r="V262" s="11">
        <v>0.226</v>
      </c>
      <c r="W262" s="8">
        <v>1</v>
      </c>
      <c r="X262" s="8">
        <v>1</v>
      </c>
      <c r="Y262" s="8">
        <v>0</v>
      </c>
      <c r="Z262" s="8">
        <v>0</v>
      </c>
      <c r="AA262" s="11">
        <v>0.04</v>
      </c>
      <c r="AB262" s="11">
        <v>1</v>
      </c>
      <c r="AC262" s="11">
        <v>0</v>
      </c>
      <c r="AD262" s="11">
        <v>0</v>
      </c>
    </row>
    <row r="263" customFormat="1" ht="22" customHeight="1" spans="1:30">
      <c r="A263" s="8" t="s">
        <v>31</v>
      </c>
      <c r="B263" s="8" t="str">
        <f>VLOOKUP(E263,[1]Sheet1!$C:$E,2,FALSE)</f>
        <v>刘欢</v>
      </c>
      <c r="C263" s="8" t="str">
        <f>VLOOKUP(E263,[1]Sheet1!$C:$E,3,FALSE)</f>
        <v>B</v>
      </c>
      <c r="D263" s="12" t="s">
        <v>292</v>
      </c>
      <c r="E263" s="13">
        <v>1325691653</v>
      </c>
      <c r="F263" s="12">
        <v>4.5</v>
      </c>
      <c r="G263" s="8">
        <v>41</v>
      </c>
      <c r="H263" s="8">
        <v>744.73</v>
      </c>
      <c r="I263" s="8">
        <v>26</v>
      </c>
      <c r="J263" s="8">
        <v>18.16</v>
      </c>
      <c r="K263" s="8">
        <v>1379</v>
      </c>
      <c r="L263" s="11">
        <v>0.089</v>
      </c>
      <c r="M263" s="11">
        <v>0.341</v>
      </c>
      <c r="N263" s="11">
        <v>0.0303</v>
      </c>
      <c r="O263" s="8">
        <v>1049</v>
      </c>
      <c r="P263" s="8">
        <v>330</v>
      </c>
      <c r="Q263" s="8">
        <v>25</v>
      </c>
      <c r="R263" s="11">
        <v>0.064</v>
      </c>
      <c r="S263" s="11">
        <v>0.17</v>
      </c>
      <c r="T263" s="11">
        <v>0.254</v>
      </c>
      <c r="U263" s="11">
        <v>0.446</v>
      </c>
      <c r="V263" s="11">
        <v>0.164</v>
      </c>
      <c r="W263" s="8">
        <v>0</v>
      </c>
      <c r="X263" s="8">
        <v>0</v>
      </c>
      <c r="Y263" s="8">
        <v>0</v>
      </c>
      <c r="Z263" s="8">
        <v>0</v>
      </c>
      <c r="AA263" s="11">
        <v>0</v>
      </c>
      <c r="AB263" s="11">
        <v>0</v>
      </c>
      <c r="AC263" s="11">
        <v>0</v>
      </c>
      <c r="AD263" s="11">
        <v>0</v>
      </c>
    </row>
    <row r="264" customFormat="1" ht="22" customHeight="1" spans="1:30">
      <c r="A264" s="8" t="s">
        <v>31</v>
      </c>
      <c r="B264" s="8" t="str">
        <f>VLOOKUP(E264,[1]Sheet1!$C:$E,2,FALSE)</f>
        <v>岳贝贝</v>
      </c>
      <c r="C264" s="9" t="str">
        <f>VLOOKUP(E264,[1]Sheet1!$C:$E,3,FALSE)</f>
        <v>A</v>
      </c>
      <c r="D264" s="12" t="s">
        <v>293</v>
      </c>
      <c r="E264" s="13">
        <v>516305161</v>
      </c>
      <c r="F264" s="12">
        <v>4.7</v>
      </c>
      <c r="G264" s="8">
        <v>5</v>
      </c>
      <c r="H264" s="8">
        <v>742.96</v>
      </c>
      <c r="I264" s="8">
        <v>0</v>
      </c>
      <c r="J264" s="8">
        <v>148.59</v>
      </c>
      <c r="K264" s="8">
        <v>735</v>
      </c>
      <c r="L264" s="11">
        <v>0.053</v>
      </c>
      <c r="M264" s="11">
        <v>0.128</v>
      </c>
      <c r="N264" s="11">
        <v>0.0068</v>
      </c>
      <c r="O264" s="8">
        <v>0</v>
      </c>
      <c r="P264" s="8">
        <v>0</v>
      </c>
      <c r="Q264" s="8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0.092</v>
      </c>
      <c r="W264" s="8">
        <v>0</v>
      </c>
      <c r="X264" s="8">
        <v>0</v>
      </c>
      <c r="Y264" s="8">
        <v>0</v>
      </c>
      <c r="Z264" s="8">
        <v>0</v>
      </c>
      <c r="AA264" s="11">
        <v>0</v>
      </c>
      <c r="AB264" s="11">
        <v>0</v>
      </c>
      <c r="AC264" s="11">
        <v>0</v>
      </c>
      <c r="AD264" s="11">
        <v>0</v>
      </c>
    </row>
    <row r="265" customFormat="1" ht="22" customHeight="1" spans="1:30">
      <c r="A265" s="8" t="s">
        <v>31</v>
      </c>
      <c r="B265" s="8" t="str">
        <f>VLOOKUP(E265,[1]Sheet1!$C:$E,2,FALSE)</f>
        <v>岳贝贝</v>
      </c>
      <c r="C265" s="9" t="str">
        <f>VLOOKUP(E265,[1]Sheet1!$C:$E,3,FALSE)</f>
        <v>A</v>
      </c>
      <c r="D265" s="12" t="s">
        <v>294</v>
      </c>
      <c r="E265" s="13">
        <v>1335785268</v>
      </c>
      <c r="F265" s="12">
        <v>4.7</v>
      </c>
      <c r="G265" s="8">
        <v>22</v>
      </c>
      <c r="H265" s="8">
        <v>739.35</v>
      </c>
      <c r="I265" s="8">
        <v>39.45</v>
      </c>
      <c r="J265" s="8">
        <v>33.61</v>
      </c>
      <c r="K265" s="8">
        <v>2647</v>
      </c>
      <c r="L265" s="11">
        <v>0.046</v>
      </c>
      <c r="M265" s="11">
        <v>0.18</v>
      </c>
      <c r="N265" s="11">
        <v>0.0083</v>
      </c>
      <c r="O265" s="8">
        <v>2305</v>
      </c>
      <c r="P265" s="8">
        <v>342</v>
      </c>
      <c r="Q265" s="8">
        <v>11</v>
      </c>
      <c r="R265" s="11">
        <v>0.034</v>
      </c>
      <c r="S265" s="11">
        <v>0.126</v>
      </c>
      <c r="T265" s="11">
        <v>0.139</v>
      </c>
      <c r="U265" s="11">
        <v>0.256</v>
      </c>
      <c r="V265" s="11">
        <v>0.257</v>
      </c>
      <c r="W265" s="8">
        <v>1</v>
      </c>
      <c r="X265" s="8">
        <v>1</v>
      </c>
      <c r="Y265" s="8">
        <v>0</v>
      </c>
      <c r="Z265" s="8">
        <v>0</v>
      </c>
      <c r="AA265" s="11">
        <v>0.0455</v>
      </c>
      <c r="AB265" s="11">
        <v>1</v>
      </c>
      <c r="AC265" s="11">
        <v>0</v>
      </c>
      <c r="AD265" s="11">
        <v>0</v>
      </c>
    </row>
    <row r="266" customFormat="1" ht="22" customHeight="1" spans="1:30">
      <c r="A266" s="8" t="s">
        <v>31</v>
      </c>
      <c r="B266" s="8" t="str">
        <f>VLOOKUP(E266,[1]Sheet1!$C:$E,2,FALSE)</f>
        <v>徐从众</v>
      </c>
      <c r="C266" s="8">
        <f>VLOOKUP(E266,[1]Sheet1!$C:$E,3,FALSE)</f>
        <v>0</v>
      </c>
      <c r="D266" s="8" t="s">
        <v>295</v>
      </c>
      <c r="E266" s="10">
        <v>537085733</v>
      </c>
      <c r="F266" s="8">
        <v>4.9</v>
      </c>
      <c r="G266" s="8">
        <v>43</v>
      </c>
      <c r="H266" s="8">
        <v>737.13</v>
      </c>
      <c r="I266" s="8">
        <v>0</v>
      </c>
      <c r="J266" s="8">
        <v>17.14</v>
      </c>
      <c r="K266" s="8">
        <v>1705</v>
      </c>
      <c r="L266" s="11">
        <v>0.076</v>
      </c>
      <c r="M266" s="11">
        <v>0.333</v>
      </c>
      <c r="N266" s="11">
        <v>0.0253</v>
      </c>
      <c r="O266" s="8">
        <v>0</v>
      </c>
      <c r="P266" s="8">
        <v>0</v>
      </c>
      <c r="Q266" s="8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0.342</v>
      </c>
      <c r="W266" s="8">
        <v>0</v>
      </c>
      <c r="X266" s="8">
        <v>0</v>
      </c>
      <c r="Y266" s="8">
        <v>0</v>
      </c>
      <c r="Z266" s="8">
        <v>0</v>
      </c>
      <c r="AA266" s="11">
        <v>0</v>
      </c>
      <c r="AB266" s="11">
        <v>0</v>
      </c>
      <c r="AC266" s="11">
        <v>0</v>
      </c>
      <c r="AD266" s="11">
        <v>0</v>
      </c>
    </row>
    <row r="267" customFormat="1" ht="22" customHeight="1" spans="1:30">
      <c r="A267" s="8" t="s">
        <v>31</v>
      </c>
      <c r="B267" s="8" t="e">
        <f>VLOOKUP(E267,[1]Sheet1!$C:$E,2,FALSE)</f>
        <v>#N/A</v>
      </c>
      <c r="C267" s="8" t="e">
        <f>VLOOKUP(E267,[1]Sheet1!$C:$E,3,FALSE)</f>
        <v>#N/A</v>
      </c>
      <c r="D267" s="12" t="s">
        <v>296</v>
      </c>
      <c r="E267" s="13">
        <v>2043106187</v>
      </c>
      <c r="F267" s="12">
        <v>4.6</v>
      </c>
      <c r="G267" s="8">
        <v>20</v>
      </c>
      <c r="H267" s="8">
        <v>731.4</v>
      </c>
      <c r="I267" s="8">
        <v>0</v>
      </c>
      <c r="J267" s="8">
        <v>36.57</v>
      </c>
      <c r="K267" s="8">
        <v>1517</v>
      </c>
      <c r="L267" s="11">
        <v>0.067</v>
      </c>
      <c r="M267" s="11">
        <v>0.196</v>
      </c>
      <c r="N267" s="11">
        <v>0.0131</v>
      </c>
      <c r="O267" s="8">
        <v>0</v>
      </c>
      <c r="P267" s="8">
        <v>0</v>
      </c>
      <c r="Q267" s="8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0.189</v>
      </c>
      <c r="W267" s="8">
        <v>2</v>
      </c>
      <c r="X267" s="8">
        <v>2</v>
      </c>
      <c r="Y267" s="8">
        <v>0</v>
      </c>
      <c r="Z267" s="8">
        <v>0</v>
      </c>
      <c r="AA267" s="11">
        <v>0.1</v>
      </c>
      <c r="AB267" s="11">
        <v>1</v>
      </c>
      <c r="AC267" s="11">
        <v>0</v>
      </c>
      <c r="AD267" s="11">
        <v>0</v>
      </c>
    </row>
    <row r="268" customFormat="1" ht="22" customHeight="1" spans="1:30">
      <c r="A268" s="8" t="s">
        <v>31</v>
      </c>
      <c r="B268" s="8" t="str">
        <f>VLOOKUP(E268,[1]Sheet1!$C:$E,2,FALSE)</f>
        <v>刘欢</v>
      </c>
      <c r="C268" s="8" t="str">
        <f>VLOOKUP(E268,[1]Sheet1!$C:$E,3,FALSE)</f>
        <v>C</v>
      </c>
      <c r="D268" s="8" t="s">
        <v>297</v>
      </c>
      <c r="E268" s="10">
        <v>170689870</v>
      </c>
      <c r="F268" s="8">
        <v>5</v>
      </c>
      <c r="G268" s="8">
        <v>17</v>
      </c>
      <c r="H268" s="8">
        <v>726.54</v>
      </c>
      <c r="I268" s="8">
        <v>0</v>
      </c>
      <c r="J268" s="8">
        <v>42.74</v>
      </c>
      <c r="K268" s="8">
        <v>996</v>
      </c>
      <c r="L268" s="11">
        <v>0.071</v>
      </c>
      <c r="M268" s="11">
        <v>0.239</v>
      </c>
      <c r="N268" s="11">
        <v>0.017</v>
      </c>
      <c r="O268" s="8">
        <v>0</v>
      </c>
      <c r="P268" s="8">
        <v>0</v>
      </c>
      <c r="Q268" s="8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0.154</v>
      </c>
      <c r="W268" s="8">
        <v>1</v>
      </c>
      <c r="X268" s="8">
        <v>1</v>
      </c>
      <c r="Y268" s="8">
        <v>0</v>
      </c>
      <c r="Z268" s="8">
        <v>0</v>
      </c>
      <c r="AA268" s="11">
        <v>0.0588</v>
      </c>
      <c r="AB268" s="11">
        <v>1</v>
      </c>
      <c r="AC268" s="11">
        <v>0</v>
      </c>
      <c r="AD268" s="11">
        <v>0</v>
      </c>
    </row>
    <row r="269" customFormat="1" ht="22" customHeight="1" spans="1:30">
      <c r="A269" s="8" t="s">
        <v>31</v>
      </c>
      <c r="B269" s="8" t="str">
        <f>VLOOKUP(E269,[1]Sheet1!$C:$E,2,FALSE)</f>
        <v>王森</v>
      </c>
      <c r="C269" s="9" t="str">
        <f>VLOOKUP(E269,[1]Sheet1!$C:$E,3,FALSE)</f>
        <v>A</v>
      </c>
      <c r="D269" s="8" t="s">
        <v>298</v>
      </c>
      <c r="E269" s="10">
        <v>1344260009</v>
      </c>
      <c r="F269" s="8">
        <v>4.8</v>
      </c>
      <c r="G269" s="8">
        <v>63</v>
      </c>
      <c r="H269" s="8">
        <v>723.95</v>
      </c>
      <c r="I269" s="8">
        <v>19.09</v>
      </c>
      <c r="J269" s="8">
        <v>11.49</v>
      </c>
      <c r="K269" s="8">
        <v>3315</v>
      </c>
      <c r="L269" s="11">
        <v>0.057</v>
      </c>
      <c r="M269" s="11">
        <v>0.333</v>
      </c>
      <c r="N269" s="11">
        <v>0.019</v>
      </c>
      <c r="O269" s="8">
        <v>2749</v>
      </c>
      <c r="P269" s="8">
        <v>566</v>
      </c>
      <c r="Q269" s="8">
        <v>37</v>
      </c>
      <c r="R269" s="11">
        <v>0.037</v>
      </c>
      <c r="S269" s="11">
        <v>0.155</v>
      </c>
      <c r="T269" s="11">
        <v>0.257</v>
      </c>
      <c r="U269" s="11">
        <v>0.42</v>
      </c>
      <c r="V269" s="11">
        <v>0.274</v>
      </c>
      <c r="W269" s="8">
        <v>2</v>
      </c>
      <c r="X269" s="8">
        <v>2</v>
      </c>
      <c r="Y269" s="8">
        <v>0</v>
      </c>
      <c r="Z269" s="8">
        <v>0</v>
      </c>
      <c r="AA269" s="11">
        <v>0.0317</v>
      </c>
      <c r="AB269" s="11">
        <v>1</v>
      </c>
      <c r="AC269" s="11">
        <v>0</v>
      </c>
      <c r="AD269" s="11">
        <v>0</v>
      </c>
    </row>
    <row r="270" customFormat="1" ht="22" customHeight="1" spans="1:30">
      <c r="A270" s="8" t="s">
        <v>31</v>
      </c>
      <c r="B270" s="8" t="str">
        <f>VLOOKUP(E270,[1]Sheet1!$C:$E,2,FALSE)</f>
        <v>徐从众</v>
      </c>
      <c r="C270" s="9" t="str">
        <f>VLOOKUP(E270,[1]Sheet1!$C:$E,3,FALSE)</f>
        <v>S</v>
      </c>
      <c r="D270" s="12" t="s">
        <v>299</v>
      </c>
      <c r="E270" s="13">
        <v>1213799082</v>
      </c>
      <c r="F270" s="12">
        <v>4.6</v>
      </c>
      <c r="G270" s="8">
        <v>35</v>
      </c>
      <c r="H270" s="8">
        <v>717.3</v>
      </c>
      <c r="I270" s="8">
        <v>29.41</v>
      </c>
      <c r="J270" s="8">
        <v>20.49</v>
      </c>
      <c r="K270" s="8">
        <v>1657</v>
      </c>
      <c r="L270" s="11">
        <v>0.087</v>
      </c>
      <c r="M270" s="11">
        <v>0.243</v>
      </c>
      <c r="N270" s="11">
        <v>0.0211</v>
      </c>
      <c r="O270" s="8">
        <v>1140</v>
      </c>
      <c r="P270" s="8">
        <v>517</v>
      </c>
      <c r="Q270" s="8">
        <v>22</v>
      </c>
      <c r="R270" s="11">
        <v>0.068</v>
      </c>
      <c r="S270" s="11">
        <v>0.128</v>
      </c>
      <c r="T270" s="11">
        <v>0.167</v>
      </c>
      <c r="U270" s="11">
        <v>0.333</v>
      </c>
      <c r="V270" s="11">
        <v>0.226</v>
      </c>
      <c r="W270" s="8">
        <v>1</v>
      </c>
      <c r="X270" s="8">
        <v>1</v>
      </c>
      <c r="Y270" s="8">
        <v>0</v>
      </c>
      <c r="Z270" s="8">
        <v>0</v>
      </c>
      <c r="AA270" s="11">
        <v>0.0286</v>
      </c>
      <c r="AB270" s="11">
        <v>1</v>
      </c>
      <c r="AC270" s="11">
        <v>0</v>
      </c>
      <c r="AD270" s="11">
        <v>0</v>
      </c>
    </row>
    <row r="271" customFormat="1" ht="22" customHeight="1" spans="1:30">
      <c r="A271" s="8" t="s">
        <v>31</v>
      </c>
      <c r="B271" s="8" t="e">
        <f>VLOOKUP(E271,[1]Sheet1!$C:$E,2,FALSE)</f>
        <v>#N/A</v>
      </c>
      <c r="C271" s="8" t="e">
        <f>VLOOKUP(E271,[1]Sheet1!$C:$E,3,FALSE)</f>
        <v>#N/A</v>
      </c>
      <c r="D271" s="8" t="s">
        <v>300</v>
      </c>
      <c r="E271" s="10">
        <v>1349201410</v>
      </c>
      <c r="F271" s="8">
        <v>5</v>
      </c>
      <c r="G271" s="8">
        <v>33</v>
      </c>
      <c r="H271" s="8">
        <v>713.57</v>
      </c>
      <c r="I271" s="8">
        <v>0</v>
      </c>
      <c r="J271" s="8">
        <v>21.62</v>
      </c>
      <c r="K271" s="8">
        <v>2210</v>
      </c>
      <c r="L271" s="11">
        <v>0.068</v>
      </c>
      <c r="M271" s="11">
        <v>0.219</v>
      </c>
      <c r="N271" s="11">
        <v>0.0149</v>
      </c>
      <c r="O271" s="8">
        <v>0</v>
      </c>
      <c r="P271" s="8">
        <v>0</v>
      </c>
      <c r="Q271" s="8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0.122</v>
      </c>
      <c r="W271" s="8">
        <v>14</v>
      </c>
      <c r="X271" s="8">
        <v>14</v>
      </c>
      <c r="Y271" s="8">
        <v>0</v>
      </c>
      <c r="Z271" s="8">
        <v>0</v>
      </c>
      <c r="AA271" s="11">
        <v>0.4242</v>
      </c>
      <c r="AB271" s="11">
        <v>1</v>
      </c>
      <c r="AC271" s="11">
        <v>0</v>
      </c>
      <c r="AD271" s="11">
        <v>0</v>
      </c>
    </row>
    <row r="272" customFormat="1" ht="22" customHeight="1" spans="1:30">
      <c r="A272" s="8" t="s">
        <v>31</v>
      </c>
      <c r="B272" s="8" t="str">
        <f>VLOOKUP(E272,[1]Sheet1!$C:$E,2,FALSE)</f>
        <v>刘欢</v>
      </c>
      <c r="C272" s="9" t="str">
        <f>VLOOKUP(E272,[1]Sheet1!$C:$E,3,FALSE)</f>
        <v>A</v>
      </c>
      <c r="D272" s="8" t="s">
        <v>301</v>
      </c>
      <c r="E272" s="10">
        <v>1310950588</v>
      </c>
      <c r="F272" s="8">
        <v>4.8</v>
      </c>
      <c r="G272" s="8">
        <v>43</v>
      </c>
      <c r="H272" s="8">
        <v>708.8</v>
      </c>
      <c r="I272" s="8">
        <v>19.66</v>
      </c>
      <c r="J272" s="8">
        <v>16.48</v>
      </c>
      <c r="K272" s="8">
        <v>2341</v>
      </c>
      <c r="L272" s="11">
        <v>0.079</v>
      </c>
      <c r="M272" s="11">
        <v>0.223</v>
      </c>
      <c r="N272" s="11">
        <v>0.0176</v>
      </c>
      <c r="O272" s="8">
        <v>2085</v>
      </c>
      <c r="P272" s="8">
        <v>256</v>
      </c>
      <c r="Q272" s="8">
        <v>16</v>
      </c>
      <c r="R272" s="11">
        <v>0.068</v>
      </c>
      <c r="S272" s="11">
        <v>0.168</v>
      </c>
      <c r="T272" s="11">
        <v>0.177</v>
      </c>
      <c r="U272" s="11">
        <v>0.372</v>
      </c>
      <c r="V272" s="11">
        <v>0.206</v>
      </c>
      <c r="W272" s="8">
        <v>1</v>
      </c>
      <c r="X272" s="8">
        <v>1</v>
      </c>
      <c r="Y272" s="8">
        <v>0</v>
      </c>
      <c r="Z272" s="8">
        <v>0</v>
      </c>
      <c r="AA272" s="11">
        <v>0.0233</v>
      </c>
      <c r="AB272" s="11">
        <v>1</v>
      </c>
      <c r="AC272" s="11">
        <v>0</v>
      </c>
      <c r="AD272" s="11">
        <v>0</v>
      </c>
    </row>
    <row r="273" customFormat="1" ht="22" customHeight="1" spans="1:30">
      <c r="A273" s="8" t="s">
        <v>31</v>
      </c>
      <c r="B273" s="8" t="str">
        <f>VLOOKUP(E273,[1]Sheet1!$C:$E,2,FALSE)</f>
        <v>刘欢</v>
      </c>
      <c r="C273" s="8">
        <f>VLOOKUP(E273,[1]Sheet1!$C:$E,3,FALSE)</f>
        <v>0</v>
      </c>
      <c r="D273" s="12" t="s">
        <v>302</v>
      </c>
      <c r="E273" s="13">
        <v>1347825635</v>
      </c>
      <c r="F273" s="12">
        <v>4.6</v>
      </c>
      <c r="G273" s="8">
        <v>6</v>
      </c>
      <c r="H273" s="8">
        <v>706.6</v>
      </c>
      <c r="I273" s="8">
        <v>127.27</v>
      </c>
      <c r="J273" s="8">
        <v>117.77</v>
      </c>
      <c r="K273" s="8">
        <v>2137</v>
      </c>
      <c r="L273" s="11">
        <v>0.038</v>
      </c>
      <c r="M273" s="11">
        <v>0.074</v>
      </c>
      <c r="N273" s="11">
        <v>0.0028</v>
      </c>
      <c r="O273" s="8">
        <v>2069</v>
      </c>
      <c r="P273" s="8">
        <v>68</v>
      </c>
      <c r="Q273" s="8">
        <v>0</v>
      </c>
      <c r="R273" s="11">
        <v>0.036</v>
      </c>
      <c r="S273" s="11">
        <v>0.103</v>
      </c>
      <c r="T273" s="11">
        <v>0.081</v>
      </c>
      <c r="U273" s="11">
        <v>0</v>
      </c>
      <c r="V273" s="11">
        <v>0.039</v>
      </c>
      <c r="W273" s="8">
        <v>0</v>
      </c>
      <c r="X273" s="8">
        <v>0</v>
      </c>
      <c r="Y273" s="8">
        <v>0</v>
      </c>
      <c r="Z273" s="8">
        <v>0</v>
      </c>
      <c r="AA273" s="11">
        <v>0</v>
      </c>
      <c r="AB273" s="11">
        <v>0</v>
      </c>
      <c r="AC273" s="11">
        <v>0</v>
      </c>
      <c r="AD273" s="11">
        <v>0</v>
      </c>
    </row>
    <row r="274" customFormat="1" ht="22" customHeight="1" spans="1:30">
      <c r="A274" s="8" t="s">
        <v>31</v>
      </c>
      <c r="B274" s="8" t="str">
        <f>VLOOKUP(E274,[1]Sheet1!$C:$E,2,FALSE)</f>
        <v>刘欢</v>
      </c>
      <c r="C274" s="9" t="str">
        <f>VLOOKUP(E274,[1]Sheet1!$C:$E,3,FALSE)</f>
        <v>A</v>
      </c>
      <c r="D274" s="12" t="s">
        <v>303</v>
      </c>
      <c r="E274" s="13">
        <v>541196321</v>
      </c>
      <c r="F274" s="12">
        <v>4.3</v>
      </c>
      <c r="G274" s="8">
        <v>11</v>
      </c>
      <c r="H274" s="8">
        <v>706.43</v>
      </c>
      <c r="I274" s="8">
        <v>79.72</v>
      </c>
      <c r="J274" s="8">
        <v>64.22</v>
      </c>
      <c r="K274" s="8">
        <v>3689</v>
      </c>
      <c r="L274" s="11">
        <v>0.045</v>
      </c>
      <c r="M274" s="11">
        <v>0.066</v>
      </c>
      <c r="N274" s="11">
        <v>0.003</v>
      </c>
      <c r="O274" s="8">
        <v>3362</v>
      </c>
      <c r="P274" s="8">
        <v>327</v>
      </c>
      <c r="Q274" s="8">
        <v>6</v>
      </c>
      <c r="R274" s="11">
        <v>0.041</v>
      </c>
      <c r="S274" s="11">
        <v>0.083</v>
      </c>
      <c r="T274" s="11">
        <v>0.036</v>
      </c>
      <c r="U274" s="11">
        <v>0.222</v>
      </c>
      <c r="V274" s="11">
        <v>0.136</v>
      </c>
      <c r="W274" s="8">
        <v>1</v>
      </c>
      <c r="X274" s="8">
        <v>1</v>
      </c>
      <c r="Y274" s="8">
        <v>0</v>
      </c>
      <c r="Z274" s="8">
        <v>0</v>
      </c>
      <c r="AA274" s="11">
        <v>0.0909</v>
      </c>
      <c r="AB274" s="11">
        <v>1</v>
      </c>
      <c r="AC274" s="11">
        <v>0</v>
      </c>
      <c r="AD274" s="11">
        <v>0</v>
      </c>
    </row>
    <row r="275" customFormat="1" ht="22" customHeight="1" spans="1:30">
      <c r="A275" s="8" t="s">
        <v>31</v>
      </c>
      <c r="B275" s="8" t="str">
        <f>VLOOKUP(E275,[1]Sheet1!$C:$E,2,FALSE)</f>
        <v>徐从众</v>
      </c>
      <c r="C275" s="9" t="str">
        <f>VLOOKUP(E275,[1]Sheet1!$C:$E,3,FALSE)</f>
        <v>S</v>
      </c>
      <c r="D275" s="8" t="s">
        <v>304</v>
      </c>
      <c r="E275" s="10">
        <v>1338435343</v>
      </c>
      <c r="F275" s="8">
        <v>4.9</v>
      </c>
      <c r="G275" s="8">
        <v>46</v>
      </c>
      <c r="H275" s="8">
        <v>703.98</v>
      </c>
      <c r="I275" s="8">
        <v>20.59</v>
      </c>
      <c r="J275" s="8">
        <v>15.3</v>
      </c>
      <c r="K275" s="8">
        <v>1526</v>
      </c>
      <c r="L275" s="11">
        <v>0.073</v>
      </c>
      <c r="M275" s="11">
        <v>0.405</v>
      </c>
      <c r="N275" s="11">
        <v>0.0296</v>
      </c>
      <c r="O275" s="8">
        <v>1263</v>
      </c>
      <c r="P275" s="8">
        <v>263</v>
      </c>
      <c r="Q275" s="8">
        <v>36</v>
      </c>
      <c r="R275" s="11">
        <v>0.045</v>
      </c>
      <c r="S275" s="11">
        <v>0.205</v>
      </c>
      <c r="T275" s="11">
        <v>0.158</v>
      </c>
      <c r="U275" s="11">
        <v>0.667</v>
      </c>
      <c r="V275" s="11">
        <v>0.362</v>
      </c>
      <c r="W275" s="8">
        <v>2</v>
      </c>
      <c r="X275" s="8">
        <v>2</v>
      </c>
      <c r="Y275" s="8">
        <v>0</v>
      </c>
      <c r="Z275" s="8">
        <v>0</v>
      </c>
      <c r="AA275" s="11">
        <v>0.0435</v>
      </c>
      <c r="AB275" s="11">
        <v>1</v>
      </c>
      <c r="AC275" s="11">
        <v>0</v>
      </c>
      <c r="AD275" s="11">
        <v>0</v>
      </c>
    </row>
    <row r="276" customFormat="1" ht="22" customHeight="1" spans="1:30">
      <c r="A276" s="8" t="s">
        <v>31</v>
      </c>
      <c r="B276" s="8" t="str">
        <f>VLOOKUP(E276,[1]Sheet1!$C:$E,2,FALSE)</f>
        <v>徐从众</v>
      </c>
      <c r="C276" s="9" t="str">
        <f>VLOOKUP(E276,[1]Sheet1!$C:$E,3,FALSE)</f>
        <v>A</v>
      </c>
      <c r="D276" s="12" t="s">
        <v>305</v>
      </c>
      <c r="E276" s="13">
        <v>538915853</v>
      </c>
      <c r="F276" s="12">
        <v>4.4</v>
      </c>
      <c r="G276" s="8">
        <v>19</v>
      </c>
      <c r="H276" s="8">
        <v>703.81</v>
      </c>
      <c r="I276" s="8">
        <v>44.1</v>
      </c>
      <c r="J276" s="8">
        <v>37.04</v>
      </c>
      <c r="K276" s="8">
        <v>1842</v>
      </c>
      <c r="L276" s="11">
        <v>0.054</v>
      </c>
      <c r="M276" s="11">
        <v>0.19</v>
      </c>
      <c r="N276" s="11">
        <v>0.0103</v>
      </c>
      <c r="O276" s="8">
        <v>1653</v>
      </c>
      <c r="P276" s="8">
        <v>189</v>
      </c>
      <c r="Q276" s="8">
        <v>8</v>
      </c>
      <c r="R276" s="11">
        <v>0.041</v>
      </c>
      <c r="S276" s="11">
        <v>0.169</v>
      </c>
      <c r="T276" s="11">
        <v>0.162</v>
      </c>
      <c r="U276" s="11">
        <v>0.25</v>
      </c>
      <c r="V276" s="11">
        <v>0.218</v>
      </c>
      <c r="W276" s="8">
        <v>0</v>
      </c>
      <c r="X276" s="8">
        <v>0</v>
      </c>
      <c r="Y276" s="8">
        <v>0</v>
      </c>
      <c r="Z276" s="8">
        <v>0</v>
      </c>
      <c r="AA276" s="11">
        <v>0</v>
      </c>
      <c r="AB276" s="11">
        <v>0</v>
      </c>
      <c r="AC276" s="11">
        <v>0</v>
      </c>
      <c r="AD276" s="11">
        <v>0</v>
      </c>
    </row>
    <row r="277" customFormat="1" ht="22" customHeight="1" spans="1:30">
      <c r="A277" s="8" t="s">
        <v>31</v>
      </c>
      <c r="B277" s="8" t="str">
        <f>VLOOKUP(E277,[1]Sheet1!$C:$E,2,FALSE)</f>
        <v>岳贝贝</v>
      </c>
      <c r="C277" s="9" t="str">
        <f>VLOOKUP(E277,[1]Sheet1!$C:$E,3,FALSE)</f>
        <v>A</v>
      </c>
      <c r="D277" s="12" t="s">
        <v>306</v>
      </c>
      <c r="E277" s="13">
        <v>1323195520</v>
      </c>
      <c r="F277" s="12">
        <v>4.5</v>
      </c>
      <c r="G277" s="8">
        <v>22</v>
      </c>
      <c r="H277" s="8">
        <v>697.11</v>
      </c>
      <c r="I277" s="8">
        <v>39.07</v>
      </c>
      <c r="J277" s="8">
        <v>31.69</v>
      </c>
      <c r="K277" s="8">
        <v>1725</v>
      </c>
      <c r="L277" s="11">
        <v>0.084</v>
      </c>
      <c r="M277" s="11">
        <v>0.152</v>
      </c>
      <c r="N277" s="11">
        <v>0.0128</v>
      </c>
      <c r="O277" s="8">
        <v>1532</v>
      </c>
      <c r="P277" s="8">
        <v>193</v>
      </c>
      <c r="Q277" s="8">
        <v>11</v>
      </c>
      <c r="R277" s="11">
        <v>0.074</v>
      </c>
      <c r="S277" s="11">
        <v>0.161</v>
      </c>
      <c r="T277" s="11">
        <v>0.096</v>
      </c>
      <c r="U277" s="11">
        <v>0.355</v>
      </c>
      <c r="V277" s="11">
        <v>0.169</v>
      </c>
      <c r="W277" s="8">
        <v>1</v>
      </c>
      <c r="X277" s="8">
        <v>1</v>
      </c>
      <c r="Y277" s="8">
        <v>0</v>
      </c>
      <c r="Z277" s="8">
        <v>0</v>
      </c>
      <c r="AA277" s="11">
        <v>0.0455</v>
      </c>
      <c r="AB277" s="11">
        <v>1</v>
      </c>
      <c r="AC277" s="11">
        <v>0</v>
      </c>
      <c r="AD277" s="11">
        <v>0</v>
      </c>
    </row>
    <row r="278" customFormat="1" ht="22" customHeight="1" spans="1:30">
      <c r="A278" s="8" t="s">
        <v>31</v>
      </c>
      <c r="B278" s="8" t="str">
        <f>VLOOKUP(E278,[1]Sheet1!$C:$E,2,FALSE)</f>
        <v>徐从众</v>
      </c>
      <c r="C278" s="9" t="str">
        <f>VLOOKUP(E278,[1]Sheet1!$C:$E,3,FALSE)</f>
        <v>S</v>
      </c>
      <c r="D278" s="12" t="s">
        <v>307</v>
      </c>
      <c r="E278" s="13">
        <v>2000718880</v>
      </c>
      <c r="F278" s="12">
        <v>4.6</v>
      </c>
      <c r="G278" s="8">
        <v>15</v>
      </c>
      <c r="H278" s="8">
        <v>695</v>
      </c>
      <c r="I278" s="8">
        <v>56.27</v>
      </c>
      <c r="J278" s="8">
        <v>46.33</v>
      </c>
      <c r="K278" s="8">
        <v>1477</v>
      </c>
      <c r="L278" s="11">
        <v>0.082</v>
      </c>
      <c r="M278" s="11">
        <v>0.124</v>
      </c>
      <c r="N278" s="11">
        <v>0.0102</v>
      </c>
      <c r="O278" s="8">
        <v>1175</v>
      </c>
      <c r="P278" s="8">
        <v>302</v>
      </c>
      <c r="Q278" s="8">
        <v>6</v>
      </c>
      <c r="R278" s="11">
        <v>0.076</v>
      </c>
      <c r="S278" s="11">
        <v>0.106</v>
      </c>
      <c r="T278" s="11">
        <v>0.101</v>
      </c>
      <c r="U278" s="11">
        <v>0.188</v>
      </c>
      <c r="V278" s="11">
        <v>0.151</v>
      </c>
      <c r="W278" s="8">
        <v>0</v>
      </c>
      <c r="X278" s="8">
        <v>0</v>
      </c>
      <c r="Y278" s="8">
        <v>0</v>
      </c>
      <c r="Z278" s="8">
        <v>0</v>
      </c>
      <c r="AA278" s="11">
        <v>0</v>
      </c>
      <c r="AB278" s="11">
        <v>0</v>
      </c>
      <c r="AC278" s="11">
        <v>0</v>
      </c>
      <c r="AD278" s="11">
        <v>0</v>
      </c>
    </row>
    <row r="279" customFormat="1" ht="22" customHeight="1" spans="1:30">
      <c r="A279" s="8" t="s">
        <v>31</v>
      </c>
      <c r="B279" s="8" t="str">
        <f>VLOOKUP(E279,[1]Sheet1!$C:$E,2,FALSE)</f>
        <v>徐从众</v>
      </c>
      <c r="C279" s="9" t="str">
        <f>VLOOKUP(E279,[1]Sheet1!$C:$E,3,FALSE)</f>
        <v>S</v>
      </c>
      <c r="D279" s="12" t="s">
        <v>308</v>
      </c>
      <c r="E279" s="13">
        <v>1258934689</v>
      </c>
      <c r="F279" s="12">
        <v>4.6</v>
      </c>
      <c r="G279" s="8">
        <v>20</v>
      </c>
      <c r="H279" s="8">
        <v>693.4</v>
      </c>
      <c r="I279" s="8">
        <v>40.84</v>
      </c>
      <c r="J279" s="8">
        <v>34.67</v>
      </c>
      <c r="K279" s="8">
        <v>813</v>
      </c>
      <c r="L279" s="11">
        <v>0.089</v>
      </c>
      <c r="M279" s="11">
        <v>0.278</v>
      </c>
      <c r="N279" s="11">
        <v>0.0247</v>
      </c>
      <c r="O279" s="8">
        <v>550</v>
      </c>
      <c r="P279" s="8">
        <v>263</v>
      </c>
      <c r="Q279" s="8">
        <v>18</v>
      </c>
      <c r="R279" s="11">
        <v>0.055</v>
      </c>
      <c r="S279" s="11">
        <v>0.16</v>
      </c>
      <c r="T279" s="11">
        <v>0.067</v>
      </c>
      <c r="U279" s="11">
        <v>0.429</v>
      </c>
      <c r="V279" s="11">
        <v>0.297</v>
      </c>
      <c r="W279" s="8">
        <v>0</v>
      </c>
      <c r="X279" s="8">
        <v>0</v>
      </c>
      <c r="Y279" s="8">
        <v>0</v>
      </c>
      <c r="Z279" s="8">
        <v>0</v>
      </c>
      <c r="AA279" s="11">
        <v>0</v>
      </c>
      <c r="AB279" s="11">
        <v>0</v>
      </c>
      <c r="AC279" s="11">
        <v>0</v>
      </c>
      <c r="AD279" s="11">
        <v>0</v>
      </c>
    </row>
    <row r="280" customFormat="1" ht="22" customHeight="1" spans="1:30">
      <c r="A280" s="8" t="s">
        <v>31</v>
      </c>
      <c r="B280" s="8" t="str">
        <f>VLOOKUP(E280,[1]Sheet1!$C:$E,2,FALSE)</f>
        <v>徐从众</v>
      </c>
      <c r="C280" s="9" t="str">
        <f>VLOOKUP(E280,[1]Sheet1!$C:$E,3,FALSE)</f>
        <v>S</v>
      </c>
      <c r="D280" s="12" t="s">
        <v>309</v>
      </c>
      <c r="E280" s="13">
        <v>542498188</v>
      </c>
      <c r="F280" s="12">
        <v>4.4</v>
      </c>
      <c r="G280" s="8">
        <v>44</v>
      </c>
      <c r="H280" s="8">
        <v>689.06</v>
      </c>
      <c r="I280" s="8">
        <v>21.44</v>
      </c>
      <c r="J280" s="8">
        <v>15.66</v>
      </c>
      <c r="K280" s="8">
        <v>2625</v>
      </c>
      <c r="L280" s="11">
        <v>0.063</v>
      </c>
      <c r="M280" s="11">
        <v>0.265</v>
      </c>
      <c r="N280" s="11">
        <v>0.0167</v>
      </c>
      <c r="O280" s="8">
        <v>2462</v>
      </c>
      <c r="P280" s="8">
        <v>163</v>
      </c>
      <c r="Q280" s="8">
        <v>10</v>
      </c>
      <c r="R280" s="11">
        <v>0.059</v>
      </c>
      <c r="S280" s="11">
        <v>0.129</v>
      </c>
      <c r="T280" s="11">
        <v>0.234</v>
      </c>
      <c r="U280" s="11">
        <v>0.476</v>
      </c>
      <c r="V280" s="11">
        <v>0.141</v>
      </c>
      <c r="W280" s="8">
        <v>10</v>
      </c>
      <c r="X280" s="8">
        <v>10</v>
      </c>
      <c r="Y280" s="8">
        <v>0</v>
      </c>
      <c r="Z280" s="8">
        <v>0</v>
      </c>
      <c r="AA280" s="11">
        <v>0.2273</v>
      </c>
      <c r="AB280" s="11">
        <v>1</v>
      </c>
      <c r="AC280" s="11">
        <v>0</v>
      </c>
      <c r="AD280" s="11">
        <v>0</v>
      </c>
    </row>
    <row r="281" customFormat="1" ht="22" customHeight="1" spans="1:30">
      <c r="A281" s="8" t="s">
        <v>31</v>
      </c>
      <c r="B281" s="8" t="str">
        <f>VLOOKUP(E281,[1]Sheet1!$C:$E,2,FALSE)</f>
        <v>徐从众</v>
      </c>
      <c r="C281" s="9" t="str">
        <f>VLOOKUP(E281,[1]Sheet1!$C:$E,3,FALSE)</f>
        <v>A</v>
      </c>
      <c r="D281" s="12" t="s">
        <v>310</v>
      </c>
      <c r="E281" s="13">
        <v>521875448</v>
      </c>
      <c r="F281" s="12">
        <v>4.7</v>
      </c>
      <c r="G281" s="8">
        <v>14</v>
      </c>
      <c r="H281" s="8">
        <v>666.05</v>
      </c>
      <c r="I281" s="8">
        <v>54.65</v>
      </c>
      <c r="J281" s="8">
        <v>47.58</v>
      </c>
      <c r="K281" s="8">
        <v>1030</v>
      </c>
      <c r="L281" s="11">
        <v>0.075</v>
      </c>
      <c r="M281" s="11">
        <v>0.182</v>
      </c>
      <c r="N281" s="11">
        <v>0.0137</v>
      </c>
      <c r="O281" s="8">
        <v>834</v>
      </c>
      <c r="P281" s="8">
        <v>196</v>
      </c>
      <c r="Q281" s="8">
        <v>7</v>
      </c>
      <c r="R281" s="11">
        <v>0.059</v>
      </c>
      <c r="S281" s="11">
        <v>0.143</v>
      </c>
      <c r="T281" s="11">
        <v>0.143</v>
      </c>
      <c r="U281" s="11">
        <v>0.25</v>
      </c>
      <c r="V281" s="11">
        <v>0.294</v>
      </c>
      <c r="W281" s="8">
        <v>2</v>
      </c>
      <c r="X281" s="8">
        <v>2</v>
      </c>
      <c r="Y281" s="8">
        <v>0</v>
      </c>
      <c r="Z281" s="8">
        <v>0</v>
      </c>
      <c r="AA281" s="11">
        <v>0.1429</v>
      </c>
      <c r="AB281" s="11">
        <v>1</v>
      </c>
      <c r="AC281" s="11">
        <v>0</v>
      </c>
      <c r="AD281" s="11">
        <v>0</v>
      </c>
    </row>
    <row r="282" customFormat="1" ht="22" customHeight="1" spans="1:30">
      <c r="A282" s="8" t="s">
        <v>31</v>
      </c>
      <c r="B282" s="8" t="str">
        <f>VLOOKUP(E282,[1]Sheet1!$C:$E,2,FALSE)</f>
        <v>徐从众</v>
      </c>
      <c r="C282" s="9" t="str">
        <f>VLOOKUP(E282,[1]Sheet1!$C:$E,3,FALSE)</f>
        <v>S</v>
      </c>
      <c r="D282" s="8" t="s">
        <v>311</v>
      </c>
      <c r="E282" s="10">
        <v>531341138</v>
      </c>
      <c r="F282" s="8">
        <v>4.9</v>
      </c>
      <c r="G282" s="8">
        <v>37</v>
      </c>
      <c r="H282" s="8">
        <v>658.06</v>
      </c>
      <c r="I282" s="8">
        <v>0</v>
      </c>
      <c r="J282" s="8">
        <v>17.79</v>
      </c>
      <c r="K282" s="8">
        <v>1283</v>
      </c>
      <c r="L282" s="11">
        <v>0.083</v>
      </c>
      <c r="M282" s="11">
        <v>0.336</v>
      </c>
      <c r="N282" s="11">
        <v>0.0279</v>
      </c>
      <c r="O282" s="8">
        <v>0</v>
      </c>
      <c r="P282" s="8">
        <v>0</v>
      </c>
      <c r="Q282" s="8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0.338</v>
      </c>
      <c r="W282" s="8">
        <v>1</v>
      </c>
      <c r="X282" s="8">
        <v>1</v>
      </c>
      <c r="Y282" s="8">
        <v>0</v>
      </c>
      <c r="Z282" s="8">
        <v>0</v>
      </c>
      <c r="AA282" s="11">
        <v>0.027</v>
      </c>
      <c r="AB282" s="11">
        <v>1</v>
      </c>
      <c r="AC282" s="11">
        <v>0</v>
      </c>
      <c r="AD282" s="11">
        <v>0</v>
      </c>
    </row>
    <row r="283" customFormat="1" ht="22" customHeight="1" spans="1:30">
      <c r="A283" s="8" t="s">
        <v>31</v>
      </c>
      <c r="B283" s="8" t="str">
        <f>VLOOKUP(E283,[1]Sheet1!$C:$E,2,FALSE)</f>
        <v>岳贝贝</v>
      </c>
      <c r="C283" s="8" t="str">
        <f>VLOOKUP(E283,[1]Sheet1!$C:$E,3,FALSE)</f>
        <v>B</v>
      </c>
      <c r="D283" s="8" t="s">
        <v>312</v>
      </c>
      <c r="E283" s="10">
        <v>526920273</v>
      </c>
      <c r="F283" s="8">
        <v>5</v>
      </c>
      <c r="G283" s="8">
        <v>40</v>
      </c>
      <c r="H283" s="8">
        <v>658.04</v>
      </c>
      <c r="I283" s="8">
        <v>0</v>
      </c>
      <c r="J283" s="8">
        <v>16.45</v>
      </c>
      <c r="K283" s="8">
        <v>1537</v>
      </c>
      <c r="L283" s="11">
        <v>0.091</v>
      </c>
      <c r="M283" s="11">
        <v>0.279</v>
      </c>
      <c r="N283" s="11">
        <v>0.0254</v>
      </c>
      <c r="O283" s="8">
        <v>0</v>
      </c>
      <c r="P283" s="8">
        <v>0</v>
      </c>
      <c r="Q283" s="8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0.148</v>
      </c>
      <c r="W283" s="8">
        <v>2</v>
      </c>
      <c r="X283" s="8">
        <v>2</v>
      </c>
      <c r="Y283" s="8">
        <v>0</v>
      </c>
      <c r="Z283" s="8">
        <v>0</v>
      </c>
      <c r="AA283" s="11">
        <v>0.05</v>
      </c>
      <c r="AB283" s="11">
        <v>1</v>
      </c>
      <c r="AC283" s="11">
        <v>0</v>
      </c>
      <c r="AD283" s="11">
        <v>0</v>
      </c>
    </row>
    <row r="284" customFormat="1" ht="22" customHeight="1" spans="1:30">
      <c r="A284" s="8" t="s">
        <v>31</v>
      </c>
      <c r="B284" s="8" t="str">
        <f>VLOOKUP(E284,[1]Sheet1!$C:$E,2,FALSE)</f>
        <v>徐从众</v>
      </c>
      <c r="C284" s="9" t="str">
        <f>VLOOKUP(E284,[1]Sheet1!$C:$E,3,FALSE)</f>
        <v>S</v>
      </c>
      <c r="D284" s="8" t="s">
        <v>313</v>
      </c>
      <c r="E284" s="10">
        <v>1261974560</v>
      </c>
      <c r="F284" s="8">
        <v>4.9</v>
      </c>
      <c r="G284" s="8">
        <v>39</v>
      </c>
      <c r="H284" s="8">
        <v>657.49</v>
      </c>
      <c r="I284" s="8">
        <v>0</v>
      </c>
      <c r="J284" s="8">
        <v>16.86</v>
      </c>
      <c r="K284" s="8">
        <v>1211</v>
      </c>
      <c r="L284" s="11">
        <v>0.086</v>
      </c>
      <c r="M284" s="11">
        <v>0.365</v>
      </c>
      <c r="N284" s="11">
        <v>0.0314</v>
      </c>
      <c r="O284" s="8">
        <v>0</v>
      </c>
      <c r="P284" s="8">
        <v>0</v>
      </c>
      <c r="Q284" s="8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0.345</v>
      </c>
      <c r="W284" s="8">
        <v>6</v>
      </c>
      <c r="X284" s="8">
        <v>6</v>
      </c>
      <c r="Y284" s="8">
        <v>0</v>
      </c>
      <c r="Z284" s="8">
        <v>0</v>
      </c>
      <c r="AA284" s="11">
        <v>0.1538</v>
      </c>
      <c r="AB284" s="11">
        <v>1</v>
      </c>
      <c r="AC284" s="11">
        <v>0</v>
      </c>
      <c r="AD284" s="11">
        <v>0</v>
      </c>
    </row>
    <row r="285" customFormat="1" ht="22" customHeight="1" spans="1:30">
      <c r="A285" s="8" t="s">
        <v>31</v>
      </c>
      <c r="B285" s="8" t="str">
        <f>VLOOKUP(E285,[1]Sheet1!$C:$E,2,FALSE)</f>
        <v>岳贝贝</v>
      </c>
      <c r="C285" s="9" t="str">
        <f>VLOOKUP(E285,[1]Sheet1!$C:$E,3,FALSE)</f>
        <v>A</v>
      </c>
      <c r="D285" s="8" t="s">
        <v>314</v>
      </c>
      <c r="E285" s="10">
        <v>542877176</v>
      </c>
      <c r="F285" s="8">
        <v>4.8</v>
      </c>
      <c r="G285" s="8">
        <v>18</v>
      </c>
      <c r="H285" s="8">
        <v>653.22</v>
      </c>
      <c r="I285" s="8">
        <v>42.84</v>
      </c>
      <c r="J285" s="8">
        <v>36.29</v>
      </c>
      <c r="K285" s="8">
        <v>1943</v>
      </c>
      <c r="L285" s="11">
        <v>0.054</v>
      </c>
      <c r="M285" s="11">
        <v>0.173</v>
      </c>
      <c r="N285" s="11">
        <v>0.0093</v>
      </c>
      <c r="O285" s="8">
        <v>1665</v>
      </c>
      <c r="P285" s="8">
        <v>278</v>
      </c>
      <c r="Q285" s="8">
        <v>13</v>
      </c>
      <c r="R285" s="11">
        <v>0.042</v>
      </c>
      <c r="S285" s="11">
        <v>0.122</v>
      </c>
      <c r="T285" s="11">
        <v>0.071</v>
      </c>
      <c r="U285" s="11">
        <v>0.382</v>
      </c>
      <c r="V285" s="11">
        <v>0.182</v>
      </c>
      <c r="W285" s="8">
        <v>0</v>
      </c>
      <c r="X285" s="8">
        <v>0</v>
      </c>
      <c r="Y285" s="8">
        <v>0</v>
      </c>
      <c r="Z285" s="8">
        <v>0</v>
      </c>
      <c r="AA285" s="11">
        <v>0</v>
      </c>
      <c r="AB285" s="11">
        <v>0</v>
      </c>
      <c r="AC285" s="11">
        <v>0</v>
      </c>
      <c r="AD285" s="11">
        <v>0</v>
      </c>
    </row>
    <row r="286" customFormat="1" ht="22" customHeight="1" spans="1:30">
      <c r="A286" s="8" t="s">
        <v>31</v>
      </c>
      <c r="B286" s="8" t="str">
        <f>VLOOKUP(E286,[1]Sheet1!$C:$E,2,FALSE)</f>
        <v>刘欢</v>
      </c>
      <c r="C286" s="8" t="str">
        <f>VLOOKUP(E286,[1]Sheet1!$C:$E,3,FALSE)</f>
        <v>B</v>
      </c>
      <c r="D286" s="12" t="s">
        <v>315</v>
      </c>
      <c r="E286" s="13">
        <v>1333690508</v>
      </c>
      <c r="F286" s="12">
        <v>4.4</v>
      </c>
      <c r="G286" s="8">
        <v>21</v>
      </c>
      <c r="H286" s="8">
        <v>651.64</v>
      </c>
      <c r="I286" s="8">
        <v>40.62</v>
      </c>
      <c r="J286" s="8">
        <v>31.03</v>
      </c>
      <c r="K286" s="8">
        <v>2075</v>
      </c>
      <c r="L286" s="11">
        <v>0.08</v>
      </c>
      <c r="M286" s="11">
        <v>0.127</v>
      </c>
      <c r="N286" s="11">
        <v>0.0102</v>
      </c>
      <c r="O286" s="8">
        <v>1921</v>
      </c>
      <c r="P286" s="8">
        <v>154</v>
      </c>
      <c r="Q286" s="8">
        <v>5</v>
      </c>
      <c r="R286" s="11">
        <v>0.077</v>
      </c>
      <c r="S286" s="11">
        <v>0.11</v>
      </c>
      <c r="T286" s="11">
        <v>0.108</v>
      </c>
      <c r="U286" s="11">
        <v>0.294</v>
      </c>
      <c r="V286" s="11">
        <v>0.089</v>
      </c>
      <c r="W286" s="8">
        <v>2</v>
      </c>
      <c r="X286" s="8">
        <v>2</v>
      </c>
      <c r="Y286" s="8">
        <v>0</v>
      </c>
      <c r="Z286" s="8">
        <v>0</v>
      </c>
      <c r="AA286" s="11">
        <v>0.0952</v>
      </c>
      <c r="AB286" s="11">
        <v>1</v>
      </c>
      <c r="AC286" s="11">
        <v>0</v>
      </c>
      <c r="AD286" s="11">
        <v>0</v>
      </c>
    </row>
    <row r="287" customFormat="1" ht="22" customHeight="1" spans="1:30">
      <c r="A287" s="8" t="s">
        <v>31</v>
      </c>
      <c r="B287" s="8" t="str">
        <f>VLOOKUP(E287,[1]Sheet1!$C:$E,2,FALSE)</f>
        <v>王森</v>
      </c>
      <c r="C287" s="8">
        <f>VLOOKUP(E287,[1]Sheet1!$C:$E,3,FALSE)</f>
        <v>0</v>
      </c>
      <c r="D287" s="8" t="s">
        <v>316</v>
      </c>
      <c r="E287" s="10">
        <v>531206450</v>
      </c>
      <c r="F287" s="8">
        <v>4.8</v>
      </c>
      <c r="G287" s="8">
        <v>24</v>
      </c>
      <c r="H287" s="8">
        <v>645.56</v>
      </c>
      <c r="I287" s="8">
        <v>33.95</v>
      </c>
      <c r="J287" s="8">
        <v>26.9</v>
      </c>
      <c r="K287" s="8">
        <v>1804</v>
      </c>
      <c r="L287" s="11">
        <v>0.082</v>
      </c>
      <c r="M287" s="11">
        <v>0.155</v>
      </c>
      <c r="N287" s="11">
        <v>0.0127</v>
      </c>
      <c r="O287" s="8">
        <v>1635</v>
      </c>
      <c r="P287" s="8">
        <v>169</v>
      </c>
      <c r="Q287" s="8">
        <v>11</v>
      </c>
      <c r="R287" s="11">
        <v>0.076</v>
      </c>
      <c r="S287" s="11">
        <v>0.136</v>
      </c>
      <c r="T287" s="11">
        <v>0.096</v>
      </c>
      <c r="U287" s="11">
        <v>0.478</v>
      </c>
      <c r="V287" s="11">
        <v>0.178</v>
      </c>
      <c r="W287" s="8">
        <v>1</v>
      </c>
      <c r="X287" s="8">
        <v>0</v>
      </c>
      <c r="Y287" s="8">
        <v>0</v>
      </c>
      <c r="Z287" s="8">
        <v>1</v>
      </c>
      <c r="AA287" s="11">
        <v>0.0417</v>
      </c>
      <c r="AB287" s="11">
        <v>0</v>
      </c>
      <c r="AC287" s="11">
        <v>0</v>
      </c>
      <c r="AD287" s="11">
        <v>1</v>
      </c>
    </row>
    <row r="288" customFormat="1" ht="22" customHeight="1" spans="1:30">
      <c r="A288" s="8" t="s">
        <v>31</v>
      </c>
      <c r="B288" s="8" t="str">
        <f>VLOOKUP(E288,[1]Sheet1!$C:$E,2,FALSE)</f>
        <v>刘欢</v>
      </c>
      <c r="C288" s="9" t="str">
        <f>VLOOKUP(E288,[1]Sheet1!$C:$E,3,FALSE)</f>
        <v>A</v>
      </c>
      <c r="D288" s="8" t="s">
        <v>317</v>
      </c>
      <c r="E288" s="10">
        <v>1289301344</v>
      </c>
      <c r="F288" s="8">
        <v>4.9</v>
      </c>
      <c r="G288" s="8">
        <v>36</v>
      </c>
      <c r="H288" s="8">
        <v>644.1</v>
      </c>
      <c r="I288" s="8">
        <v>0</v>
      </c>
      <c r="J288" s="8">
        <v>17.89</v>
      </c>
      <c r="K288" s="8">
        <v>1833</v>
      </c>
      <c r="L288" s="11">
        <v>0.103</v>
      </c>
      <c r="M288" s="11">
        <v>0.19</v>
      </c>
      <c r="N288" s="11">
        <v>0.0196</v>
      </c>
      <c r="O288" s="8">
        <v>0</v>
      </c>
      <c r="P288" s="8">
        <v>0</v>
      </c>
      <c r="Q288" s="8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0.219</v>
      </c>
      <c r="W288" s="8">
        <v>0</v>
      </c>
      <c r="X288" s="8">
        <v>0</v>
      </c>
      <c r="Y288" s="8">
        <v>0</v>
      </c>
      <c r="Z288" s="8">
        <v>0</v>
      </c>
      <c r="AA288" s="11">
        <v>0</v>
      </c>
      <c r="AB288" s="11">
        <v>0</v>
      </c>
      <c r="AC288" s="11">
        <v>0</v>
      </c>
      <c r="AD288" s="11">
        <v>0</v>
      </c>
    </row>
    <row r="289" customFormat="1" ht="22" customHeight="1" spans="1:30">
      <c r="A289" s="8" t="s">
        <v>31</v>
      </c>
      <c r="B289" s="8" t="str">
        <f>VLOOKUP(E289,[1]Sheet1!$C:$E,2,FALSE)</f>
        <v>徐从众</v>
      </c>
      <c r="C289" s="9" t="str">
        <f>VLOOKUP(E289,[1]Sheet1!$C:$E,3,FALSE)</f>
        <v>S</v>
      </c>
      <c r="D289" s="12" t="s">
        <v>318</v>
      </c>
      <c r="E289" s="13">
        <v>1176282221</v>
      </c>
      <c r="F289" s="12">
        <v>4.5</v>
      </c>
      <c r="G289" s="8">
        <v>47</v>
      </c>
      <c r="H289" s="8">
        <v>636.87</v>
      </c>
      <c r="I289" s="8">
        <v>16.51</v>
      </c>
      <c r="J289" s="8">
        <v>13.55</v>
      </c>
      <c r="K289" s="8">
        <v>1491</v>
      </c>
      <c r="L289" s="11">
        <v>0.089</v>
      </c>
      <c r="M289" s="11">
        <v>0.346</v>
      </c>
      <c r="N289" s="11">
        <v>0.0308</v>
      </c>
      <c r="O289" s="8">
        <v>1186</v>
      </c>
      <c r="P289" s="8">
        <v>305</v>
      </c>
      <c r="Q289" s="8">
        <v>36</v>
      </c>
      <c r="R289" s="11">
        <v>0.056</v>
      </c>
      <c r="S289" s="11">
        <v>0.22</v>
      </c>
      <c r="T289" s="11">
        <v>0.152</v>
      </c>
      <c r="U289" s="11">
        <v>0.537</v>
      </c>
      <c r="V289" s="11">
        <v>0.318</v>
      </c>
      <c r="W289" s="8">
        <v>1</v>
      </c>
      <c r="X289" s="8">
        <v>1</v>
      </c>
      <c r="Y289" s="8">
        <v>0</v>
      </c>
      <c r="Z289" s="8">
        <v>0</v>
      </c>
      <c r="AA289" s="11">
        <v>0.0213</v>
      </c>
      <c r="AB289" s="11">
        <v>1</v>
      </c>
      <c r="AC289" s="11">
        <v>0</v>
      </c>
      <c r="AD289" s="11">
        <v>0</v>
      </c>
    </row>
    <row r="290" customFormat="1" ht="22" customHeight="1" spans="1:30">
      <c r="A290" s="8" t="s">
        <v>31</v>
      </c>
      <c r="B290" s="8" t="str">
        <f>VLOOKUP(E290,[1]Sheet1!$C:$E,2,FALSE)</f>
        <v>徐从众</v>
      </c>
      <c r="C290" s="9" t="str">
        <f>VLOOKUP(E290,[1]Sheet1!$C:$E,3,FALSE)</f>
        <v>S</v>
      </c>
      <c r="D290" s="8" t="s">
        <v>319</v>
      </c>
      <c r="E290" s="10">
        <v>538764150</v>
      </c>
      <c r="F290" s="8">
        <v>4.8</v>
      </c>
      <c r="G290" s="8">
        <v>21</v>
      </c>
      <c r="H290" s="8">
        <v>633.11</v>
      </c>
      <c r="I290" s="8">
        <v>0</v>
      </c>
      <c r="J290" s="8">
        <v>30.15</v>
      </c>
      <c r="K290" s="8">
        <v>716</v>
      </c>
      <c r="L290" s="11">
        <v>0.119</v>
      </c>
      <c r="M290" s="11">
        <v>0.247</v>
      </c>
      <c r="N290" s="11">
        <v>0.0294</v>
      </c>
      <c r="O290" s="8">
        <v>0</v>
      </c>
      <c r="P290" s="8">
        <v>0</v>
      </c>
      <c r="Q290" s="8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0.208</v>
      </c>
      <c r="W290" s="8">
        <v>0</v>
      </c>
      <c r="X290" s="8">
        <v>0</v>
      </c>
      <c r="Y290" s="8">
        <v>0</v>
      </c>
      <c r="Z290" s="8">
        <v>0</v>
      </c>
      <c r="AA290" s="11">
        <v>0</v>
      </c>
      <c r="AB290" s="11">
        <v>0</v>
      </c>
      <c r="AC290" s="11">
        <v>0</v>
      </c>
      <c r="AD290" s="11">
        <v>0</v>
      </c>
    </row>
    <row r="291" customFormat="1" ht="22" customHeight="1" spans="1:30">
      <c r="A291" s="8" t="s">
        <v>31</v>
      </c>
      <c r="B291" s="8" t="e">
        <f>VLOOKUP(E291,[1]Sheet1!$C:$E,2,FALSE)</f>
        <v>#N/A</v>
      </c>
      <c r="C291" s="8" t="e">
        <f>VLOOKUP(E291,[1]Sheet1!$C:$E,3,FALSE)</f>
        <v>#N/A</v>
      </c>
      <c r="D291" s="12" t="s">
        <v>320</v>
      </c>
      <c r="E291" s="13">
        <v>1190102276</v>
      </c>
      <c r="F291" s="12">
        <v>4.7</v>
      </c>
      <c r="G291" s="8">
        <v>58</v>
      </c>
      <c r="H291" s="8">
        <v>632.08</v>
      </c>
      <c r="I291" s="8">
        <v>15.6</v>
      </c>
      <c r="J291" s="8">
        <v>10.9</v>
      </c>
      <c r="K291" s="8">
        <v>2836</v>
      </c>
      <c r="L291" s="11">
        <v>0.066</v>
      </c>
      <c r="M291" s="11">
        <v>0.289</v>
      </c>
      <c r="N291" s="11">
        <v>0.0191</v>
      </c>
      <c r="O291" s="8">
        <v>2519</v>
      </c>
      <c r="P291" s="8">
        <v>317</v>
      </c>
      <c r="Q291" s="8">
        <v>18</v>
      </c>
      <c r="R291" s="11">
        <v>0.058</v>
      </c>
      <c r="S291" s="11">
        <v>0.129</v>
      </c>
      <c r="T291" s="11">
        <v>0.247</v>
      </c>
      <c r="U291" s="11">
        <v>0.439</v>
      </c>
      <c r="V291" s="11">
        <v>0.104</v>
      </c>
      <c r="W291" s="8">
        <v>0</v>
      </c>
      <c r="X291" s="8">
        <v>0</v>
      </c>
      <c r="Y291" s="8">
        <v>0</v>
      </c>
      <c r="Z291" s="8">
        <v>0</v>
      </c>
      <c r="AA291" s="11">
        <v>0</v>
      </c>
      <c r="AB291" s="11">
        <v>0</v>
      </c>
      <c r="AC291" s="11">
        <v>0</v>
      </c>
      <c r="AD291" s="11">
        <v>0</v>
      </c>
    </row>
    <row r="292" customFormat="1" ht="22" customHeight="1" spans="1:30">
      <c r="A292" s="8" t="s">
        <v>31</v>
      </c>
      <c r="B292" s="8" t="str">
        <f>VLOOKUP(E292,[1]Sheet1!$C:$E,2,FALSE)</f>
        <v>岳贝贝</v>
      </c>
      <c r="C292" s="9" t="str">
        <f>VLOOKUP(E292,[1]Sheet1!$C:$E,3,FALSE)</f>
        <v>A</v>
      </c>
      <c r="D292" s="12" t="s">
        <v>321</v>
      </c>
      <c r="E292" s="13">
        <v>1346071843</v>
      </c>
      <c r="F292" s="12">
        <v>4.6</v>
      </c>
      <c r="G292" s="8">
        <v>18</v>
      </c>
      <c r="H292" s="8">
        <v>624.41</v>
      </c>
      <c r="I292" s="8">
        <v>48.28</v>
      </c>
      <c r="J292" s="8">
        <v>34.69</v>
      </c>
      <c r="K292" s="8">
        <v>2025</v>
      </c>
      <c r="L292" s="11">
        <v>0.073</v>
      </c>
      <c r="M292" s="11">
        <v>0.122</v>
      </c>
      <c r="N292" s="11">
        <v>0.0089</v>
      </c>
      <c r="O292" s="8">
        <v>1858</v>
      </c>
      <c r="P292" s="8">
        <v>167</v>
      </c>
      <c r="Q292" s="8">
        <v>5</v>
      </c>
      <c r="R292" s="11">
        <v>0.068</v>
      </c>
      <c r="S292" s="11">
        <v>0.12</v>
      </c>
      <c r="T292" s="11">
        <v>0.102</v>
      </c>
      <c r="U292" s="11">
        <v>0.25</v>
      </c>
      <c r="V292" s="11">
        <v>0.136</v>
      </c>
      <c r="W292" s="8">
        <v>0</v>
      </c>
      <c r="X292" s="8">
        <v>0</v>
      </c>
      <c r="Y292" s="8">
        <v>0</v>
      </c>
      <c r="Z292" s="8">
        <v>0</v>
      </c>
      <c r="AA292" s="11">
        <v>0</v>
      </c>
      <c r="AB292" s="11">
        <v>0</v>
      </c>
      <c r="AC292" s="11">
        <v>0</v>
      </c>
      <c r="AD292" s="11">
        <v>0</v>
      </c>
    </row>
    <row r="293" customFormat="1" ht="22" customHeight="1" spans="1:30">
      <c r="A293" s="8" t="s">
        <v>31</v>
      </c>
      <c r="B293" s="8" t="str">
        <f>VLOOKUP(E293,[1]Sheet1!$C:$E,2,FALSE)</f>
        <v>刘欢</v>
      </c>
      <c r="C293" s="8" t="str">
        <f>VLOOKUP(E293,[1]Sheet1!$C:$E,3,FALSE)</f>
        <v>B</v>
      </c>
      <c r="D293" s="12" t="s">
        <v>322</v>
      </c>
      <c r="E293" s="13">
        <v>1341870559</v>
      </c>
      <c r="F293" s="12">
        <v>4.7</v>
      </c>
      <c r="G293" s="8">
        <v>29</v>
      </c>
      <c r="H293" s="8">
        <v>617.17</v>
      </c>
      <c r="I293" s="8">
        <v>29.86</v>
      </c>
      <c r="J293" s="8">
        <v>21.28</v>
      </c>
      <c r="K293" s="8">
        <v>2733</v>
      </c>
      <c r="L293" s="11">
        <v>0.062</v>
      </c>
      <c r="M293" s="11">
        <v>0.171</v>
      </c>
      <c r="N293" s="11">
        <v>0.0106</v>
      </c>
      <c r="O293" s="8">
        <v>2595</v>
      </c>
      <c r="P293" s="8">
        <v>138</v>
      </c>
      <c r="Q293" s="8">
        <v>9</v>
      </c>
      <c r="R293" s="11">
        <v>0.057</v>
      </c>
      <c r="S293" s="11">
        <v>0.152</v>
      </c>
      <c r="T293" s="11">
        <v>0.134</v>
      </c>
      <c r="U293" s="11">
        <v>0.429</v>
      </c>
      <c r="V293" s="11">
        <v>0.157</v>
      </c>
      <c r="W293" s="8">
        <v>0</v>
      </c>
      <c r="X293" s="8">
        <v>0</v>
      </c>
      <c r="Y293" s="8">
        <v>0</v>
      </c>
      <c r="Z293" s="8">
        <v>0</v>
      </c>
      <c r="AA293" s="11">
        <v>0</v>
      </c>
      <c r="AB293" s="11">
        <v>0</v>
      </c>
      <c r="AC293" s="11">
        <v>0</v>
      </c>
      <c r="AD293" s="11">
        <v>0</v>
      </c>
    </row>
    <row r="294" customFormat="1" ht="22" customHeight="1" spans="1:30">
      <c r="A294" s="8" t="s">
        <v>31</v>
      </c>
      <c r="B294" s="8" t="e">
        <f>VLOOKUP(E294,[1]Sheet1!$C:$E,2,FALSE)</f>
        <v>#N/A</v>
      </c>
      <c r="C294" s="8" t="e">
        <f>VLOOKUP(E294,[1]Sheet1!$C:$E,3,FALSE)</f>
        <v>#N/A</v>
      </c>
      <c r="D294" s="8" t="s">
        <v>323</v>
      </c>
      <c r="E294" s="10">
        <v>545630887</v>
      </c>
      <c r="F294" s="8">
        <v>4.8</v>
      </c>
      <c r="G294" s="8">
        <v>14</v>
      </c>
      <c r="H294" s="8">
        <v>614.92</v>
      </c>
      <c r="I294" s="8">
        <v>54.84</v>
      </c>
      <c r="J294" s="8">
        <v>43.92</v>
      </c>
      <c r="K294" s="8">
        <v>2395</v>
      </c>
      <c r="L294" s="11">
        <v>0.058</v>
      </c>
      <c r="M294" s="11">
        <v>0.101</v>
      </c>
      <c r="N294" s="11">
        <v>0.0059</v>
      </c>
      <c r="O294" s="8">
        <v>2361</v>
      </c>
      <c r="P294" s="8">
        <v>34</v>
      </c>
      <c r="Q294" s="8">
        <v>1</v>
      </c>
      <c r="R294" s="11">
        <v>0.056</v>
      </c>
      <c r="S294" s="11">
        <v>0.147</v>
      </c>
      <c r="T294" s="11">
        <v>0.098</v>
      </c>
      <c r="U294" s="11">
        <v>0.2</v>
      </c>
      <c r="V294" s="11">
        <v>0.113</v>
      </c>
      <c r="W294" s="8">
        <v>1</v>
      </c>
      <c r="X294" s="8">
        <v>1</v>
      </c>
      <c r="Y294" s="8">
        <v>0</v>
      </c>
      <c r="Z294" s="8">
        <v>0</v>
      </c>
      <c r="AA294" s="11">
        <v>0.0714</v>
      </c>
      <c r="AB294" s="11">
        <v>1</v>
      </c>
      <c r="AC294" s="11">
        <v>0</v>
      </c>
      <c r="AD294" s="11">
        <v>0</v>
      </c>
    </row>
    <row r="295" customFormat="1" ht="22" customHeight="1" spans="1:30">
      <c r="A295" s="8" t="s">
        <v>31</v>
      </c>
      <c r="B295" s="8" t="str">
        <f>VLOOKUP(E295,[1]Sheet1!$C:$E,2,FALSE)</f>
        <v>徐从众</v>
      </c>
      <c r="C295" s="8">
        <f>VLOOKUP(E295,[1]Sheet1!$C:$E,3,FALSE)</f>
        <v>0</v>
      </c>
      <c r="D295" s="12" t="s">
        <v>324</v>
      </c>
      <c r="E295" s="13">
        <v>1241204120</v>
      </c>
      <c r="F295" s="12">
        <v>4.5</v>
      </c>
      <c r="G295" s="8">
        <v>21</v>
      </c>
      <c r="H295" s="8">
        <v>607.86</v>
      </c>
      <c r="I295" s="8">
        <v>36.01</v>
      </c>
      <c r="J295" s="8">
        <v>28.95</v>
      </c>
      <c r="K295" s="8">
        <v>1132</v>
      </c>
      <c r="L295" s="11">
        <v>0.08</v>
      </c>
      <c r="M295" s="11">
        <v>0.211</v>
      </c>
      <c r="N295" s="11">
        <v>0.0169</v>
      </c>
      <c r="O295" s="8">
        <v>962</v>
      </c>
      <c r="P295" s="8">
        <v>170</v>
      </c>
      <c r="Q295" s="8">
        <v>12</v>
      </c>
      <c r="R295" s="11">
        <v>0.06</v>
      </c>
      <c r="S295" s="11">
        <v>0.188</v>
      </c>
      <c r="T295" s="11">
        <v>0.121</v>
      </c>
      <c r="U295" s="11">
        <v>0.375</v>
      </c>
      <c r="V295" s="11">
        <v>0.257</v>
      </c>
      <c r="W295" s="8">
        <v>0</v>
      </c>
      <c r="X295" s="8">
        <v>0</v>
      </c>
      <c r="Y295" s="8">
        <v>0</v>
      </c>
      <c r="Z295" s="8">
        <v>0</v>
      </c>
      <c r="AA295" s="11">
        <v>0</v>
      </c>
      <c r="AB295" s="11">
        <v>0</v>
      </c>
      <c r="AC295" s="11">
        <v>0</v>
      </c>
      <c r="AD295" s="11">
        <v>0</v>
      </c>
    </row>
    <row r="296" customFormat="1" ht="22" customHeight="1" spans="1:30">
      <c r="A296" s="8" t="s">
        <v>31</v>
      </c>
      <c r="B296" s="8" t="e">
        <f>VLOOKUP(E296,[1]Sheet1!$C:$E,2,FALSE)</f>
        <v>#N/A</v>
      </c>
      <c r="C296" s="8" t="e">
        <f>VLOOKUP(E296,[1]Sheet1!$C:$E,3,FALSE)</f>
        <v>#N/A</v>
      </c>
      <c r="D296" s="12" t="s">
        <v>325</v>
      </c>
      <c r="E296" s="13">
        <v>536581807</v>
      </c>
      <c r="F296" s="12">
        <v>4.7</v>
      </c>
      <c r="G296" s="8">
        <v>29</v>
      </c>
      <c r="H296" s="8">
        <v>603.92</v>
      </c>
      <c r="I296" s="8">
        <v>0</v>
      </c>
      <c r="J296" s="8">
        <v>20.82</v>
      </c>
      <c r="K296" s="8">
        <v>1814</v>
      </c>
      <c r="L296" s="11">
        <v>0.091</v>
      </c>
      <c r="M296" s="11">
        <v>0.164</v>
      </c>
      <c r="N296" s="11">
        <v>0.0149</v>
      </c>
      <c r="O296" s="8">
        <v>0</v>
      </c>
      <c r="P296" s="8">
        <v>0</v>
      </c>
      <c r="Q296" s="8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0.207</v>
      </c>
      <c r="W296" s="8">
        <v>4</v>
      </c>
      <c r="X296" s="8">
        <v>4</v>
      </c>
      <c r="Y296" s="8">
        <v>0</v>
      </c>
      <c r="Z296" s="8">
        <v>0</v>
      </c>
      <c r="AA296" s="11">
        <v>0.1379</v>
      </c>
      <c r="AB296" s="11">
        <v>1</v>
      </c>
      <c r="AC296" s="11">
        <v>0</v>
      </c>
      <c r="AD296" s="11">
        <v>0</v>
      </c>
    </row>
    <row r="297" customFormat="1" ht="22" customHeight="1" spans="1:30">
      <c r="A297" s="8" t="s">
        <v>31</v>
      </c>
      <c r="B297" s="8" t="str">
        <f>VLOOKUP(E297,[1]Sheet1!$C:$E,2,FALSE)</f>
        <v>徐从众</v>
      </c>
      <c r="C297" s="9" t="str">
        <f>VLOOKUP(E297,[1]Sheet1!$C:$E,3,FALSE)</f>
        <v>A</v>
      </c>
      <c r="D297" s="8" t="s">
        <v>326</v>
      </c>
      <c r="E297" s="10">
        <v>1213880654</v>
      </c>
      <c r="F297" s="8">
        <v>4.8</v>
      </c>
      <c r="G297" s="8">
        <v>16</v>
      </c>
      <c r="H297" s="8">
        <v>592.39</v>
      </c>
      <c r="I297" s="8">
        <v>0</v>
      </c>
      <c r="J297" s="8">
        <v>37.02</v>
      </c>
      <c r="K297" s="8">
        <v>1541</v>
      </c>
      <c r="L297" s="11">
        <v>0.056</v>
      </c>
      <c r="M297" s="11">
        <v>0.184</v>
      </c>
      <c r="N297" s="11">
        <v>0.0103</v>
      </c>
      <c r="O297" s="8">
        <v>0</v>
      </c>
      <c r="P297" s="8">
        <v>0</v>
      </c>
      <c r="Q297" s="8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0.209</v>
      </c>
      <c r="W297" s="8">
        <v>3</v>
      </c>
      <c r="X297" s="8">
        <v>2</v>
      </c>
      <c r="Y297" s="8">
        <v>0</v>
      </c>
      <c r="Z297" s="8">
        <v>1</v>
      </c>
      <c r="AA297" s="11">
        <v>0.1875</v>
      </c>
      <c r="AB297" s="11">
        <v>0.6667</v>
      </c>
      <c r="AC297" s="11">
        <v>0</v>
      </c>
      <c r="AD297" s="11">
        <v>0.3333</v>
      </c>
    </row>
    <row r="298" customFormat="1" ht="22" customHeight="1" spans="1:30">
      <c r="A298" s="8" t="s">
        <v>31</v>
      </c>
      <c r="B298" s="8" t="str">
        <f>VLOOKUP(E298,[1]Sheet1!$C:$E,2,FALSE)</f>
        <v>岳贝贝</v>
      </c>
      <c r="C298" s="9" t="str">
        <f>VLOOKUP(E298,[1]Sheet1!$C:$E,3,FALSE)</f>
        <v>A</v>
      </c>
      <c r="D298" s="8" t="s">
        <v>327</v>
      </c>
      <c r="E298" s="10">
        <v>1197815007</v>
      </c>
      <c r="F298" s="8">
        <v>4.8</v>
      </c>
      <c r="G298" s="8">
        <v>7</v>
      </c>
      <c r="H298" s="8">
        <v>588.57</v>
      </c>
      <c r="I298" s="8">
        <v>0</v>
      </c>
      <c r="J298" s="8">
        <v>84.08</v>
      </c>
      <c r="K298" s="8">
        <v>650</v>
      </c>
      <c r="L298" s="11">
        <v>0.06</v>
      </c>
      <c r="M298" s="11">
        <v>0.179</v>
      </c>
      <c r="N298" s="11">
        <v>0.0107</v>
      </c>
      <c r="O298" s="8">
        <v>0</v>
      </c>
      <c r="P298" s="8">
        <v>0</v>
      </c>
      <c r="Q298" s="8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0.132</v>
      </c>
      <c r="W298" s="8">
        <v>0</v>
      </c>
      <c r="X298" s="8">
        <v>0</v>
      </c>
      <c r="Y298" s="8">
        <v>0</v>
      </c>
      <c r="Z298" s="8">
        <v>0</v>
      </c>
      <c r="AA298" s="11">
        <v>0</v>
      </c>
      <c r="AB298" s="11">
        <v>0</v>
      </c>
      <c r="AC298" s="11">
        <v>0</v>
      </c>
      <c r="AD298" s="11">
        <v>0</v>
      </c>
    </row>
    <row r="299" customFormat="1" ht="22" customHeight="1" spans="1:30">
      <c r="A299" s="8" t="s">
        <v>31</v>
      </c>
      <c r="B299" s="8" t="str">
        <f>VLOOKUP(E299,[1]Sheet1!$C:$E,2,FALSE)</f>
        <v>徐从众</v>
      </c>
      <c r="C299" s="9" t="str">
        <f>VLOOKUP(E299,[1]Sheet1!$C:$E,3,FALSE)</f>
        <v>S</v>
      </c>
      <c r="D299" s="12" t="s">
        <v>328</v>
      </c>
      <c r="E299" s="13">
        <v>1334941123</v>
      </c>
      <c r="F299" s="12">
        <v>4.5</v>
      </c>
      <c r="G299" s="8">
        <v>40</v>
      </c>
      <c r="H299" s="8">
        <v>587.31</v>
      </c>
      <c r="I299" s="8">
        <v>21.08</v>
      </c>
      <c r="J299" s="8">
        <v>14.68</v>
      </c>
      <c r="K299" s="8">
        <v>1458</v>
      </c>
      <c r="L299" s="11">
        <v>0.067</v>
      </c>
      <c r="M299" s="11">
        <v>0.371</v>
      </c>
      <c r="N299" s="11">
        <v>0.0249</v>
      </c>
      <c r="O299" s="8">
        <v>1202</v>
      </c>
      <c r="P299" s="8">
        <v>256</v>
      </c>
      <c r="Q299" s="8">
        <v>24</v>
      </c>
      <c r="R299" s="11">
        <v>0.044</v>
      </c>
      <c r="S299" s="11">
        <v>0.172</v>
      </c>
      <c r="T299" s="11">
        <v>0.226</v>
      </c>
      <c r="U299" s="11">
        <v>0.545</v>
      </c>
      <c r="V299" s="11">
        <v>0.34</v>
      </c>
      <c r="W299" s="8">
        <v>0</v>
      </c>
      <c r="X299" s="8">
        <v>0</v>
      </c>
      <c r="Y299" s="8">
        <v>0</v>
      </c>
      <c r="Z299" s="8">
        <v>0</v>
      </c>
      <c r="AA299" s="11">
        <v>0</v>
      </c>
      <c r="AB299" s="11">
        <v>0</v>
      </c>
      <c r="AC299" s="11">
        <v>0</v>
      </c>
      <c r="AD299" s="11">
        <v>0</v>
      </c>
    </row>
    <row r="300" customFormat="1" ht="22" customHeight="1" spans="1:30">
      <c r="A300" s="8" t="s">
        <v>31</v>
      </c>
      <c r="B300" s="8" t="str">
        <f>VLOOKUP(E300,[1]Sheet1!$C:$E,2,FALSE)</f>
        <v>王森</v>
      </c>
      <c r="C300" s="9" t="str">
        <f>VLOOKUP(E300,[1]Sheet1!$C:$E,3,FALSE)</f>
        <v>A</v>
      </c>
      <c r="D300" s="8" t="s">
        <v>329</v>
      </c>
      <c r="E300" s="10">
        <v>1288044802</v>
      </c>
      <c r="F300" s="8">
        <v>5</v>
      </c>
      <c r="G300" s="8">
        <v>19</v>
      </c>
      <c r="H300" s="8">
        <v>586.22</v>
      </c>
      <c r="I300" s="8">
        <v>0</v>
      </c>
      <c r="J300" s="8">
        <v>30.85</v>
      </c>
      <c r="K300" s="8">
        <v>1640</v>
      </c>
      <c r="L300" s="11">
        <v>0.114</v>
      </c>
      <c r="M300" s="11">
        <v>0.102</v>
      </c>
      <c r="N300" s="11">
        <v>0.0116</v>
      </c>
      <c r="O300" s="8">
        <v>0</v>
      </c>
      <c r="P300" s="8">
        <v>0</v>
      </c>
      <c r="Q300" s="8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0.121</v>
      </c>
      <c r="W300" s="8">
        <v>2</v>
      </c>
      <c r="X300" s="8">
        <v>2</v>
      </c>
      <c r="Y300" s="8">
        <v>0</v>
      </c>
      <c r="Z300" s="8">
        <v>0</v>
      </c>
      <c r="AA300" s="11">
        <v>0.1053</v>
      </c>
      <c r="AB300" s="11">
        <v>1</v>
      </c>
      <c r="AC300" s="11">
        <v>0</v>
      </c>
      <c r="AD300" s="11">
        <v>0</v>
      </c>
    </row>
    <row r="301" customFormat="1" ht="22" customHeight="1" spans="1:30">
      <c r="A301" s="8" t="s">
        <v>31</v>
      </c>
      <c r="B301" s="8" t="str">
        <f>VLOOKUP(E301,[1]Sheet1!$C:$E,2,FALSE)</f>
        <v>刘欢</v>
      </c>
      <c r="C301" s="8" t="str">
        <f>VLOOKUP(E301,[1]Sheet1!$C:$E,3,FALSE)</f>
        <v>C</v>
      </c>
      <c r="D301" s="12" t="s">
        <v>330</v>
      </c>
      <c r="E301" s="13">
        <v>1318766817</v>
      </c>
      <c r="F301" s="12">
        <v>4.4</v>
      </c>
      <c r="G301" s="8">
        <v>61</v>
      </c>
      <c r="H301" s="8">
        <v>585.93</v>
      </c>
      <c r="I301" s="8">
        <v>16.19</v>
      </c>
      <c r="J301" s="8">
        <v>9.61</v>
      </c>
      <c r="K301" s="8">
        <v>2789</v>
      </c>
      <c r="L301" s="11">
        <v>0.077</v>
      </c>
      <c r="M301" s="11">
        <v>0.274</v>
      </c>
      <c r="N301" s="11">
        <v>0.0211</v>
      </c>
      <c r="O301" s="8">
        <v>2396</v>
      </c>
      <c r="P301" s="8">
        <v>393</v>
      </c>
      <c r="Q301" s="8">
        <v>26</v>
      </c>
      <c r="R301" s="11">
        <v>0.062</v>
      </c>
      <c r="S301" s="11">
        <v>0.17</v>
      </c>
      <c r="T301" s="11">
        <v>0.223</v>
      </c>
      <c r="U301" s="11">
        <v>0.388</v>
      </c>
      <c r="V301" s="11">
        <v>0.204</v>
      </c>
      <c r="W301" s="8">
        <v>4</v>
      </c>
      <c r="X301" s="8">
        <v>2</v>
      </c>
      <c r="Y301" s="8">
        <v>0</v>
      </c>
      <c r="Z301" s="8">
        <v>2</v>
      </c>
      <c r="AA301" s="11">
        <v>0.0656</v>
      </c>
      <c r="AB301" s="11">
        <v>0.5</v>
      </c>
      <c r="AC301" s="11">
        <v>0</v>
      </c>
      <c r="AD301" s="11">
        <v>0.5</v>
      </c>
    </row>
    <row r="302" customFormat="1" ht="22" customHeight="1" spans="1:30">
      <c r="A302" s="8" t="s">
        <v>31</v>
      </c>
      <c r="B302" s="8" t="str">
        <f>VLOOKUP(E302,[1]Sheet1!$C:$E,2,FALSE)</f>
        <v>徐从众</v>
      </c>
      <c r="C302" s="9" t="str">
        <f>VLOOKUP(E302,[1]Sheet1!$C:$E,3,FALSE)</f>
        <v>A</v>
      </c>
      <c r="D302" s="8" t="s">
        <v>331</v>
      </c>
      <c r="E302" s="10">
        <v>1248041415</v>
      </c>
      <c r="F302" s="8">
        <v>4.9</v>
      </c>
      <c r="G302" s="8">
        <v>28</v>
      </c>
      <c r="H302" s="8">
        <v>583.82</v>
      </c>
      <c r="I302" s="8">
        <v>27.16</v>
      </c>
      <c r="J302" s="8">
        <v>20.85</v>
      </c>
      <c r="K302" s="8">
        <v>2096</v>
      </c>
      <c r="L302" s="11">
        <v>0.087</v>
      </c>
      <c r="M302" s="11">
        <v>0.148</v>
      </c>
      <c r="N302" s="11">
        <v>0.0129</v>
      </c>
      <c r="O302" s="8">
        <v>1697</v>
      </c>
      <c r="P302" s="8">
        <v>399</v>
      </c>
      <c r="Q302" s="8">
        <v>18</v>
      </c>
      <c r="R302" s="11">
        <v>0.072</v>
      </c>
      <c r="S302" s="11">
        <v>0.148</v>
      </c>
      <c r="T302" s="11">
        <v>0.073</v>
      </c>
      <c r="U302" s="11">
        <v>0.305</v>
      </c>
      <c r="V302" s="11">
        <v>0.238</v>
      </c>
      <c r="W302" s="8">
        <v>0</v>
      </c>
      <c r="X302" s="8">
        <v>0</v>
      </c>
      <c r="Y302" s="8">
        <v>0</v>
      </c>
      <c r="Z302" s="8">
        <v>0</v>
      </c>
      <c r="AA302" s="11">
        <v>0</v>
      </c>
      <c r="AB302" s="11">
        <v>0</v>
      </c>
      <c r="AC302" s="11">
        <v>0</v>
      </c>
      <c r="AD302" s="11">
        <v>0</v>
      </c>
    </row>
    <row r="303" customFormat="1" ht="22" customHeight="1" spans="1:30">
      <c r="A303" s="8" t="s">
        <v>31</v>
      </c>
      <c r="B303" s="8" t="str">
        <f>VLOOKUP(E303,[1]Sheet1!$C:$E,2,FALSE)</f>
        <v>徐从众</v>
      </c>
      <c r="C303" s="9" t="str">
        <f>VLOOKUP(E303,[1]Sheet1!$C:$E,3,FALSE)</f>
        <v>S</v>
      </c>
      <c r="D303" s="8" t="s">
        <v>332</v>
      </c>
      <c r="E303" s="10">
        <v>1345607766</v>
      </c>
      <c r="F303" s="8">
        <v>4.9</v>
      </c>
      <c r="G303" s="8">
        <v>15</v>
      </c>
      <c r="H303" s="8">
        <v>580.3</v>
      </c>
      <c r="I303" s="8">
        <v>47.71</v>
      </c>
      <c r="J303" s="8">
        <v>38.69</v>
      </c>
      <c r="K303" s="8">
        <v>1218</v>
      </c>
      <c r="L303" s="11">
        <v>0.082</v>
      </c>
      <c r="M303" s="11">
        <v>0.15</v>
      </c>
      <c r="N303" s="11">
        <v>0.0123</v>
      </c>
      <c r="O303" s="8">
        <v>1052</v>
      </c>
      <c r="P303" s="8">
        <v>166</v>
      </c>
      <c r="Q303" s="8">
        <v>9</v>
      </c>
      <c r="R303" s="11">
        <v>0.065</v>
      </c>
      <c r="S303" s="11">
        <v>0.193</v>
      </c>
      <c r="T303" s="11">
        <v>0.088</v>
      </c>
      <c r="U303" s="11">
        <v>0.281</v>
      </c>
      <c r="V303" s="11">
        <v>0.201</v>
      </c>
      <c r="W303" s="8">
        <v>0</v>
      </c>
      <c r="X303" s="8">
        <v>0</v>
      </c>
      <c r="Y303" s="8">
        <v>0</v>
      </c>
      <c r="Z303" s="8">
        <v>0</v>
      </c>
      <c r="AA303" s="11">
        <v>0</v>
      </c>
      <c r="AB303" s="11">
        <v>0</v>
      </c>
      <c r="AC303" s="11">
        <v>0</v>
      </c>
      <c r="AD303" s="11">
        <v>0</v>
      </c>
    </row>
    <row r="304" customFormat="1" ht="22" customHeight="1" spans="1:30">
      <c r="A304" s="8" t="s">
        <v>31</v>
      </c>
      <c r="B304" s="8" t="e">
        <f>VLOOKUP(E304,[1]Sheet1!$C:$E,2,FALSE)</f>
        <v>#N/A</v>
      </c>
      <c r="C304" s="8" t="e">
        <f>VLOOKUP(E304,[1]Sheet1!$C:$E,3,FALSE)</f>
        <v>#N/A</v>
      </c>
      <c r="D304" s="12" t="s">
        <v>333</v>
      </c>
      <c r="E304" s="13">
        <v>520495309</v>
      </c>
      <c r="F304" s="12">
        <v>4.6</v>
      </c>
      <c r="G304" s="8">
        <v>11</v>
      </c>
      <c r="H304" s="8">
        <v>568.56</v>
      </c>
      <c r="I304" s="8">
        <v>63.57</v>
      </c>
      <c r="J304" s="8">
        <v>51.69</v>
      </c>
      <c r="K304" s="8">
        <v>1340</v>
      </c>
      <c r="L304" s="11">
        <v>0.073</v>
      </c>
      <c r="M304" s="11">
        <v>0.112</v>
      </c>
      <c r="N304" s="11">
        <v>0.0082</v>
      </c>
      <c r="O304" s="8">
        <v>1166</v>
      </c>
      <c r="P304" s="8">
        <v>174</v>
      </c>
      <c r="Q304" s="8">
        <v>3</v>
      </c>
      <c r="R304" s="11">
        <v>0.069</v>
      </c>
      <c r="S304" s="11">
        <v>0.103</v>
      </c>
      <c r="T304" s="11">
        <v>0.1</v>
      </c>
      <c r="U304" s="11">
        <v>0.167</v>
      </c>
      <c r="V304" s="11">
        <v>0.177</v>
      </c>
      <c r="W304" s="8">
        <v>1</v>
      </c>
      <c r="X304" s="8">
        <v>0</v>
      </c>
      <c r="Y304" s="8">
        <v>0</v>
      </c>
      <c r="Z304" s="8">
        <v>1</v>
      </c>
      <c r="AA304" s="11">
        <v>0.0909</v>
      </c>
      <c r="AB304" s="11">
        <v>0</v>
      </c>
      <c r="AC304" s="11">
        <v>0</v>
      </c>
      <c r="AD304" s="11">
        <v>1</v>
      </c>
    </row>
    <row r="305" customFormat="1" ht="22" customHeight="1" spans="1:30">
      <c r="A305" s="8" t="s">
        <v>31</v>
      </c>
      <c r="B305" s="8" t="str">
        <f>VLOOKUP(E305,[1]Sheet1!$C:$E,2,FALSE)</f>
        <v>刘欢</v>
      </c>
      <c r="C305" s="9" t="str">
        <f>VLOOKUP(E305,[1]Sheet1!$C:$E,3,FALSE)</f>
        <v>S</v>
      </c>
      <c r="D305" s="8" t="s">
        <v>334</v>
      </c>
      <c r="E305" s="10">
        <v>1269769673</v>
      </c>
      <c r="F305" s="8">
        <v>4.8</v>
      </c>
      <c r="G305" s="8">
        <v>31</v>
      </c>
      <c r="H305" s="8">
        <v>568.13</v>
      </c>
      <c r="I305" s="8">
        <v>24.96</v>
      </c>
      <c r="J305" s="8">
        <v>18.33</v>
      </c>
      <c r="K305" s="8">
        <v>2505</v>
      </c>
      <c r="L305" s="11">
        <v>0.051</v>
      </c>
      <c r="M305" s="11">
        <v>0.244</v>
      </c>
      <c r="N305" s="11">
        <v>0.0124</v>
      </c>
      <c r="O305" s="8">
        <v>2205</v>
      </c>
      <c r="P305" s="8">
        <v>300</v>
      </c>
      <c r="Q305" s="8">
        <v>14</v>
      </c>
      <c r="R305" s="11">
        <v>0.04</v>
      </c>
      <c r="S305" s="11">
        <v>0.13</v>
      </c>
      <c r="T305" s="11">
        <v>0.193</v>
      </c>
      <c r="U305" s="11">
        <v>0.359</v>
      </c>
      <c r="V305" s="11">
        <v>0.228</v>
      </c>
      <c r="W305" s="8">
        <v>1</v>
      </c>
      <c r="X305" s="8">
        <v>1</v>
      </c>
      <c r="Y305" s="8">
        <v>0</v>
      </c>
      <c r="Z305" s="8">
        <v>0</v>
      </c>
      <c r="AA305" s="11">
        <v>0.0323</v>
      </c>
      <c r="AB305" s="11">
        <v>1</v>
      </c>
      <c r="AC305" s="11">
        <v>0</v>
      </c>
      <c r="AD305" s="11">
        <v>0</v>
      </c>
    </row>
    <row r="306" customFormat="1" ht="22" customHeight="1" spans="1:30">
      <c r="A306" s="8" t="s">
        <v>31</v>
      </c>
      <c r="B306" s="8" t="str">
        <f>VLOOKUP(E306,[1]Sheet1!$C:$E,2,FALSE)</f>
        <v>徐从众</v>
      </c>
      <c r="C306" s="9" t="str">
        <f>VLOOKUP(E306,[1]Sheet1!$C:$E,3,FALSE)</f>
        <v>S</v>
      </c>
      <c r="D306" s="12" t="s">
        <v>335</v>
      </c>
      <c r="E306" s="13">
        <v>1344248966</v>
      </c>
      <c r="F306" s="12">
        <v>4.5</v>
      </c>
      <c r="G306" s="8">
        <v>15</v>
      </c>
      <c r="H306" s="8">
        <v>566.56</v>
      </c>
      <c r="I306" s="8">
        <v>47.59</v>
      </c>
      <c r="J306" s="8">
        <v>37.77</v>
      </c>
      <c r="K306" s="8">
        <v>1514</v>
      </c>
      <c r="L306" s="11">
        <v>0.075</v>
      </c>
      <c r="M306" s="11">
        <v>0.133</v>
      </c>
      <c r="N306" s="11">
        <v>0.01</v>
      </c>
      <c r="O306" s="8">
        <v>1338</v>
      </c>
      <c r="P306" s="8">
        <v>176</v>
      </c>
      <c r="Q306" s="8">
        <v>9</v>
      </c>
      <c r="R306" s="11">
        <v>0.068</v>
      </c>
      <c r="S306" s="11">
        <v>0.125</v>
      </c>
      <c r="T306" s="11">
        <v>0.066</v>
      </c>
      <c r="U306" s="11">
        <v>0.409</v>
      </c>
      <c r="V306" s="11">
        <v>0.213</v>
      </c>
      <c r="W306" s="8">
        <v>0</v>
      </c>
      <c r="X306" s="8">
        <v>0</v>
      </c>
      <c r="Y306" s="8">
        <v>0</v>
      </c>
      <c r="Z306" s="8">
        <v>0</v>
      </c>
      <c r="AA306" s="11">
        <v>0</v>
      </c>
      <c r="AB306" s="11">
        <v>0</v>
      </c>
      <c r="AC306" s="11">
        <v>0</v>
      </c>
      <c r="AD306" s="11">
        <v>0</v>
      </c>
    </row>
    <row r="307" customFormat="1" ht="22" customHeight="1" spans="1:30">
      <c r="A307" s="8" t="s">
        <v>31</v>
      </c>
      <c r="B307" s="8" t="e">
        <f>VLOOKUP(E307,[1]Sheet1!$C:$E,2,FALSE)</f>
        <v>#N/A</v>
      </c>
      <c r="C307" s="8" t="e">
        <f>VLOOKUP(E307,[1]Sheet1!$C:$E,3,FALSE)</f>
        <v>#N/A</v>
      </c>
      <c r="D307" s="8" t="s">
        <v>336</v>
      </c>
      <c r="E307" s="10">
        <v>1343025986</v>
      </c>
      <c r="F307" s="8">
        <v>4.8</v>
      </c>
      <c r="G307" s="8">
        <v>5</v>
      </c>
      <c r="H307" s="8">
        <v>561.62</v>
      </c>
      <c r="I307" s="8">
        <v>139.06</v>
      </c>
      <c r="J307" s="8">
        <v>112.32</v>
      </c>
      <c r="K307" s="8">
        <v>1580</v>
      </c>
      <c r="L307" s="11">
        <v>0.036</v>
      </c>
      <c r="M307" s="11">
        <v>0.088</v>
      </c>
      <c r="N307" s="11">
        <v>0.0032</v>
      </c>
      <c r="O307" s="8">
        <v>1562</v>
      </c>
      <c r="P307" s="8">
        <v>18</v>
      </c>
      <c r="Q307" s="8">
        <v>1</v>
      </c>
      <c r="R307" s="11">
        <v>0.035</v>
      </c>
      <c r="S307" s="11">
        <v>0.111</v>
      </c>
      <c r="T307" s="11">
        <v>0.073</v>
      </c>
      <c r="U307" s="11">
        <v>0.5</v>
      </c>
      <c r="V307" s="11">
        <v>0.136</v>
      </c>
      <c r="W307" s="8">
        <v>1</v>
      </c>
      <c r="X307" s="8">
        <v>0</v>
      </c>
      <c r="Y307" s="8">
        <v>0</v>
      </c>
      <c r="Z307" s="8">
        <v>1</v>
      </c>
      <c r="AA307" s="11">
        <v>0.2</v>
      </c>
      <c r="AB307" s="11">
        <v>0</v>
      </c>
      <c r="AC307" s="11">
        <v>0</v>
      </c>
      <c r="AD307" s="11">
        <v>1</v>
      </c>
    </row>
    <row r="308" customFormat="1" ht="22" customHeight="1" spans="1:30">
      <c r="A308" s="8" t="s">
        <v>31</v>
      </c>
      <c r="B308" s="8" t="str">
        <f>VLOOKUP(E308,[1]Sheet1!$C:$E,2,FALSE)</f>
        <v>刘欢</v>
      </c>
      <c r="C308" s="9" t="str">
        <f>VLOOKUP(E308,[1]Sheet1!$C:$E,3,FALSE)</f>
        <v>A</v>
      </c>
      <c r="D308" s="8" t="s">
        <v>337</v>
      </c>
      <c r="E308" s="10">
        <v>157807900</v>
      </c>
      <c r="F308" s="8">
        <v>4.9</v>
      </c>
      <c r="G308" s="8">
        <v>19</v>
      </c>
      <c r="H308" s="8">
        <v>550.54</v>
      </c>
      <c r="I308" s="8">
        <v>36.23</v>
      </c>
      <c r="J308" s="8">
        <v>28.98</v>
      </c>
      <c r="K308" s="8">
        <v>1158</v>
      </c>
      <c r="L308" s="11">
        <v>0.075</v>
      </c>
      <c r="M308" s="11">
        <v>0.218</v>
      </c>
      <c r="N308" s="11">
        <v>0.0164</v>
      </c>
      <c r="O308" s="8">
        <v>933</v>
      </c>
      <c r="P308" s="8">
        <v>225</v>
      </c>
      <c r="Q308" s="8">
        <v>13</v>
      </c>
      <c r="R308" s="11">
        <v>0.068</v>
      </c>
      <c r="S308" s="11">
        <v>0.107</v>
      </c>
      <c r="T308" s="11">
        <v>0.095</v>
      </c>
      <c r="U308" s="11">
        <v>0.542</v>
      </c>
      <c r="V308" s="11">
        <v>0.238</v>
      </c>
      <c r="W308" s="8">
        <v>0</v>
      </c>
      <c r="X308" s="8">
        <v>0</v>
      </c>
      <c r="Y308" s="8">
        <v>0</v>
      </c>
      <c r="Z308" s="8">
        <v>0</v>
      </c>
      <c r="AA308" s="11">
        <v>0</v>
      </c>
      <c r="AB308" s="11">
        <v>0</v>
      </c>
      <c r="AC308" s="11">
        <v>0</v>
      </c>
      <c r="AD308" s="11">
        <v>0</v>
      </c>
    </row>
    <row r="309" customFormat="1" ht="22" customHeight="1" spans="1:30">
      <c r="A309" s="8" t="s">
        <v>31</v>
      </c>
      <c r="B309" s="8" t="e">
        <f>VLOOKUP(E309,[1]Sheet1!$C:$E,2,FALSE)</f>
        <v>#N/A</v>
      </c>
      <c r="C309" s="8" t="e">
        <f>VLOOKUP(E309,[1]Sheet1!$C:$E,3,FALSE)</f>
        <v>#N/A</v>
      </c>
      <c r="D309" s="8" t="s">
        <v>338</v>
      </c>
      <c r="E309" s="10">
        <v>520560739</v>
      </c>
      <c r="F309" s="8">
        <v>4.9</v>
      </c>
      <c r="G309" s="8">
        <v>34</v>
      </c>
      <c r="H309" s="8">
        <v>546.46</v>
      </c>
      <c r="I309" s="8">
        <v>21.11</v>
      </c>
      <c r="J309" s="8">
        <v>16.07</v>
      </c>
      <c r="K309" s="8">
        <v>2213</v>
      </c>
      <c r="L309" s="11">
        <v>0.079</v>
      </c>
      <c r="M309" s="11">
        <v>0.189</v>
      </c>
      <c r="N309" s="11">
        <v>0.0149</v>
      </c>
      <c r="O309" s="8">
        <v>1798</v>
      </c>
      <c r="P309" s="8">
        <v>415</v>
      </c>
      <c r="Q309" s="8">
        <v>20</v>
      </c>
      <c r="R309" s="11">
        <v>0.063</v>
      </c>
      <c r="S309" s="11">
        <v>0.149</v>
      </c>
      <c r="T309" s="11">
        <v>0.115</v>
      </c>
      <c r="U309" s="11">
        <v>0.323</v>
      </c>
      <c r="V309" s="11">
        <v>0.249</v>
      </c>
      <c r="W309" s="8">
        <v>0</v>
      </c>
      <c r="X309" s="8">
        <v>0</v>
      </c>
      <c r="Y309" s="8">
        <v>0</v>
      </c>
      <c r="Z309" s="8">
        <v>0</v>
      </c>
      <c r="AA309" s="11">
        <v>0</v>
      </c>
      <c r="AB309" s="11">
        <v>0</v>
      </c>
      <c r="AC309" s="11">
        <v>0</v>
      </c>
      <c r="AD309" s="11">
        <v>0</v>
      </c>
    </row>
    <row r="310" customFormat="1" ht="22" customHeight="1" spans="1:30">
      <c r="A310" s="8" t="s">
        <v>31</v>
      </c>
      <c r="B310" s="8" t="str">
        <f>VLOOKUP(E310,[1]Sheet1!$C:$E,2,FALSE)</f>
        <v>刘欢</v>
      </c>
      <c r="C310" s="9" t="str">
        <f>VLOOKUP(E310,[1]Sheet1!$C:$E,3,FALSE)</f>
        <v>A</v>
      </c>
      <c r="D310" s="8" t="s">
        <v>339</v>
      </c>
      <c r="E310" s="10">
        <v>2042752597</v>
      </c>
      <c r="F310" s="8">
        <v>4.8</v>
      </c>
      <c r="G310" s="8">
        <v>18</v>
      </c>
      <c r="H310" s="8">
        <v>543.18</v>
      </c>
      <c r="I310" s="8">
        <v>32.73</v>
      </c>
      <c r="J310" s="8">
        <v>30.18</v>
      </c>
      <c r="K310" s="8">
        <v>1321</v>
      </c>
      <c r="L310" s="11">
        <v>0.079</v>
      </c>
      <c r="M310" s="11">
        <v>0.171</v>
      </c>
      <c r="N310" s="11">
        <v>0.0135</v>
      </c>
      <c r="O310" s="8">
        <v>1122</v>
      </c>
      <c r="P310" s="8">
        <v>199</v>
      </c>
      <c r="Q310" s="8">
        <v>7</v>
      </c>
      <c r="R310" s="11">
        <v>0.067</v>
      </c>
      <c r="S310" s="11">
        <v>0.151</v>
      </c>
      <c r="T310" s="11">
        <v>0.147</v>
      </c>
      <c r="U310" s="11">
        <v>0.233</v>
      </c>
      <c r="V310" s="11">
        <v>0.22</v>
      </c>
      <c r="W310" s="8">
        <v>0</v>
      </c>
      <c r="X310" s="8">
        <v>0</v>
      </c>
      <c r="Y310" s="8">
        <v>0</v>
      </c>
      <c r="Z310" s="8">
        <v>0</v>
      </c>
      <c r="AA310" s="11">
        <v>0</v>
      </c>
      <c r="AB310" s="11">
        <v>0</v>
      </c>
      <c r="AC310" s="11">
        <v>0</v>
      </c>
      <c r="AD310" s="11">
        <v>0</v>
      </c>
    </row>
    <row r="311" customFormat="1" ht="22" customHeight="1" spans="1:30">
      <c r="A311" s="8" t="s">
        <v>31</v>
      </c>
      <c r="B311" s="8" t="e">
        <f>VLOOKUP(E311,[1]Sheet1!$C:$E,2,FALSE)</f>
        <v>#N/A</v>
      </c>
      <c r="C311" s="8" t="e">
        <f>VLOOKUP(E311,[1]Sheet1!$C:$E,3,FALSE)</f>
        <v>#N/A</v>
      </c>
      <c r="D311" s="12" t="s">
        <v>340</v>
      </c>
      <c r="E311" s="13">
        <v>502013225</v>
      </c>
      <c r="F311" s="12">
        <v>4.3</v>
      </c>
      <c r="G311" s="8">
        <v>16</v>
      </c>
      <c r="H311" s="8">
        <v>539.11</v>
      </c>
      <c r="I311" s="8">
        <v>0</v>
      </c>
      <c r="J311" s="8">
        <v>33.69</v>
      </c>
      <c r="K311" s="8">
        <v>1367</v>
      </c>
      <c r="L311" s="11">
        <v>0.068</v>
      </c>
      <c r="M311" s="11">
        <v>0.172</v>
      </c>
      <c r="N311" s="11">
        <v>0.0117</v>
      </c>
      <c r="O311" s="8">
        <v>0</v>
      </c>
      <c r="P311" s="8">
        <v>0</v>
      </c>
      <c r="Q311" s="8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0.174</v>
      </c>
      <c r="W311" s="8">
        <v>0</v>
      </c>
      <c r="X311" s="8">
        <v>0</v>
      </c>
      <c r="Y311" s="8">
        <v>0</v>
      </c>
      <c r="Z311" s="8">
        <v>0</v>
      </c>
      <c r="AA311" s="11">
        <v>0</v>
      </c>
      <c r="AB311" s="11">
        <v>0</v>
      </c>
      <c r="AC311" s="11">
        <v>0</v>
      </c>
      <c r="AD311" s="11">
        <v>0</v>
      </c>
    </row>
    <row r="312" customFormat="1" ht="22" customHeight="1" spans="1:30">
      <c r="A312" s="8" t="s">
        <v>31</v>
      </c>
      <c r="B312" s="8" t="str">
        <f>VLOOKUP(E312,[1]Sheet1!$C:$E,2,FALSE)</f>
        <v>徐从众</v>
      </c>
      <c r="C312" s="9" t="str">
        <f>VLOOKUP(E312,[1]Sheet1!$C:$E,3,FALSE)</f>
        <v>A</v>
      </c>
      <c r="D312" s="12" t="s">
        <v>341</v>
      </c>
      <c r="E312" s="13">
        <v>1259225244</v>
      </c>
      <c r="F312" s="12">
        <v>4.5</v>
      </c>
      <c r="G312" s="8">
        <v>36</v>
      </c>
      <c r="H312" s="8">
        <v>538.48</v>
      </c>
      <c r="I312" s="8">
        <v>23.03</v>
      </c>
      <c r="J312" s="8">
        <v>14.96</v>
      </c>
      <c r="K312" s="8">
        <v>2019</v>
      </c>
      <c r="L312" s="11">
        <v>0.067</v>
      </c>
      <c r="M312" s="11">
        <v>0.274</v>
      </c>
      <c r="N312" s="11">
        <v>0.0184</v>
      </c>
      <c r="O312" s="8">
        <v>1727</v>
      </c>
      <c r="P312" s="8">
        <v>292</v>
      </c>
      <c r="Q312" s="8">
        <v>20</v>
      </c>
      <c r="R312" s="11">
        <v>0.056</v>
      </c>
      <c r="S312" s="11">
        <v>0.134</v>
      </c>
      <c r="T312" s="11">
        <v>0.177</v>
      </c>
      <c r="U312" s="11">
        <v>0.513</v>
      </c>
      <c r="V312" s="11">
        <v>0.203</v>
      </c>
      <c r="W312" s="8">
        <v>0</v>
      </c>
      <c r="X312" s="8">
        <v>0</v>
      </c>
      <c r="Y312" s="8">
        <v>0</v>
      </c>
      <c r="Z312" s="8">
        <v>0</v>
      </c>
      <c r="AA312" s="11">
        <v>0</v>
      </c>
      <c r="AB312" s="11">
        <v>0</v>
      </c>
      <c r="AC312" s="11">
        <v>0</v>
      </c>
      <c r="AD312" s="11">
        <v>0</v>
      </c>
    </row>
    <row r="313" customFormat="1" ht="22" customHeight="1" spans="1:30">
      <c r="A313" s="8" t="s">
        <v>31</v>
      </c>
      <c r="B313" s="8" t="e">
        <f>VLOOKUP(E313,[1]Sheet1!$C:$E,2,FALSE)</f>
        <v>#N/A</v>
      </c>
      <c r="C313" s="8" t="e">
        <f>VLOOKUP(E313,[1]Sheet1!$C:$E,3,FALSE)</f>
        <v>#N/A</v>
      </c>
      <c r="D313" s="8" t="s">
        <v>342</v>
      </c>
      <c r="E313" s="10">
        <v>544788483</v>
      </c>
      <c r="F313" s="8">
        <v>4.9</v>
      </c>
      <c r="G313" s="8">
        <v>31</v>
      </c>
      <c r="H313" s="8">
        <v>537.89</v>
      </c>
      <c r="I313" s="8">
        <v>23.81</v>
      </c>
      <c r="J313" s="8">
        <v>17.35</v>
      </c>
      <c r="K313" s="8">
        <v>1800</v>
      </c>
      <c r="L313" s="11">
        <v>0.088</v>
      </c>
      <c r="M313" s="11">
        <v>0.189</v>
      </c>
      <c r="N313" s="11">
        <v>0.0166</v>
      </c>
      <c r="O313" s="8">
        <v>1701</v>
      </c>
      <c r="P313" s="8">
        <v>99</v>
      </c>
      <c r="Q313" s="8">
        <v>10</v>
      </c>
      <c r="R313" s="11">
        <v>0.081</v>
      </c>
      <c r="S313" s="11">
        <v>0.222</v>
      </c>
      <c r="T313" s="11">
        <v>0.146</v>
      </c>
      <c r="U313" s="11">
        <v>0.455</v>
      </c>
      <c r="V313" s="11">
        <v>0.225</v>
      </c>
      <c r="W313" s="8">
        <v>1</v>
      </c>
      <c r="X313" s="8">
        <v>1</v>
      </c>
      <c r="Y313" s="8">
        <v>0</v>
      </c>
      <c r="Z313" s="8">
        <v>0</v>
      </c>
      <c r="AA313" s="11">
        <v>0.0323</v>
      </c>
      <c r="AB313" s="11">
        <v>1</v>
      </c>
      <c r="AC313" s="11">
        <v>0</v>
      </c>
      <c r="AD313" s="11">
        <v>0</v>
      </c>
    </row>
    <row r="314" customFormat="1" ht="22" customHeight="1" spans="1:30">
      <c r="A314" s="8" t="s">
        <v>31</v>
      </c>
      <c r="B314" s="8" t="str">
        <f>VLOOKUP(E314,[1]Sheet1!$C:$E,2,FALSE)</f>
        <v>刘欢</v>
      </c>
      <c r="C314" s="9" t="str">
        <f>VLOOKUP(E314,[1]Sheet1!$C:$E,3,FALSE)</f>
        <v>A</v>
      </c>
      <c r="D314" s="8" t="s">
        <v>343</v>
      </c>
      <c r="E314" s="10">
        <v>537081693</v>
      </c>
      <c r="F314" s="8">
        <v>4.9</v>
      </c>
      <c r="G314" s="8">
        <v>26</v>
      </c>
      <c r="H314" s="8">
        <v>532.05</v>
      </c>
      <c r="I314" s="8">
        <v>26.79</v>
      </c>
      <c r="J314" s="8">
        <v>20.46</v>
      </c>
      <c r="K314" s="8">
        <v>1192</v>
      </c>
      <c r="L314" s="11">
        <v>0.085</v>
      </c>
      <c r="M314" s="11">
        <v>0.248</v>
      </c>
      <c r="N314" s="11">
        <v>0.0211</v>
      </c>
      <c r="O314" s="8">
        <v>937</v>
      </c>
      <c r="P314" s="8">
        <v>255</v>
      </c>
      <c r="Q314" s="8">
        <v>16</v>
      </c>
      <c r="R314" s="11">
        <v>0.066</v>
      </c>
      <c r="S314" s="11">
        <v>0.153</v>
      </c>
      <c r="T314" s="11">
        <v>0.145</v>
      </c>
      <c r="U314" s="11">
        <v>0.41</v>
      </c>
      <c r="V314" s="11">
        <v>0.252</v>
      </c>
      <c r="W314" s="8">
        <v>2</v>
      </c>
      <c r="X314" s="8">
        <v>2</v>
      </c>
      <c r="Y314" s="8">
        <v>0</v>
      </c>
      <c r="Z314" s="8">
        <v>0</v>
      </c>
      <c r="AA314" s="11">
        <v>0.0769</v>
      </c>
      <c r="AB314" s="11">
        <v>1</v>
      </c>
      <c r="AC314" s="11">
        <v>0</v>
      </c>
      <c r="AD314" s="11">
        <v>0</v>
      </c>
    </row>
    <row r="315" customFormat="1" ht="22" customHeight="1" spans="1:30">
      <c r="A315" s="8" t="s">
        <v>31</v>
      </c>
      <c r="B315" s="8" t="e">
        <f>VLOOKUP(E315,[1]Sheet1!$C:$E,2,FALSE)</f>
        <v>#N/A</v>
      </c>
      <c r="C315" s="8" t="e">
        <f>VLOOKUP(E315,[1]Sheet1!$C:$E,3,FALSE)</f>
        <v>#N/A</v>
      </c>
      <c r="D315" s="8" t="s">
        <v>344</v>
      </c>
      <c r="E315" s="10">
        <v>544197264</v>
      </c>
      <c r="F315" s="8">
        <v>4.8</v>
      </c>
      <c r="G315" s="8">
        <v>29</v>
      </c>
      <c r="H315" s="8">
        <v>531.84</v>
      </c>
      <c r="I315" s="8">
        <v>24.61</v>
      </c>
      <c r="J315" s="8">
        <v>18.34</v>
      </c>
      <c r="K315" s="8">
        <v>1146</v>
      </c>
      <c r="L315" s="11">
        <v>0.076</v>
      </c>
      <c r="M315" s="11">
        <v>0.333</v>
      </c>
      <c r="N315" s="11">
        <v>0.0253</v>
      </c>
      <c r="O315" s="8">
        <v>988</v>
      </c>
      <c r="P315" s="8">
        <v>158</v>
      </c>
      <c r="Q315" s="8">
        <v>14</v>
      </c>
      <c r="R315" s="11">
        <v>0.068</v>
      </c>
      <c r="S315" s="11">
        <v>0.127</v>
      </c>
      <c r="T315" s="11">
        <v>0.224</v>
      </c>
      <c r="U315" s="11">
        <v>0.7</v>
      </c>
      <c r="V315" s="11">
        <v>0.217</v>
      </c>
      <c r="W315" s="8">
        <v>1</v>
      </c>
      <c r="X315" s="8">
        <v>0</v>
      </c>
      <c r="Y315" s="8">
        <v>1</v>
      </c>
      <c r="Z315" s="8">
        <v>0</v>
      </c>
      <c r="AA315" s="11">
        <v>0.0345</v>
      </c>
      <c r="AB315" s="11">
        <v>0</v>
      </c>
      <c r="AC315" s="11">
        <v>1</v>
      </c>
      <c r="AD315" s="11">
        <v>0</v>
      </c>
    </row>
    <row r="316" customFormat="1" ht="22" customHeight="1" spans="1:30">
      <c r="A316" s="8" t="s">
        <v>31</v>
      </c>
      <c r="B316" s="8" t="str">
        <f>VLOOKUP(E316,[1]Sheet1!$C:$E,2,FALSE)</f>
        <v>徐从众</v>
      </c>
      <c r="C316" s="9" t="str">
        <f>VLOOKUP(E316,[1]Sheet1!$C:$E,3,FALSE)</f>
        <v>S</v>
      </c>
      <c r="D316" s="8" t="s">
        <v>345</v>
      </c>
      <c r="E316" s="10">
        <v>527766108</v>
      </c>
      <c r="F316" s="8">
        <v>4.9</v>
      </c>
      <c r="G316" s="8">
        <v>11</v>
      </c>
      <c r="H316" s="8">
        <v>524.91</v>
      </c>
      <c r="I316" s="8">
        <v>0</v>
      </c>
      <c r="J316" s="8">
        <v>47.72</v>
      </c>
      <c r="K316" s="8">
        <v>1210</v>
      </c>
      <c r="L316" s="11">
        <v>0.096</v>
      </c>
      <c r="M316" s="11">
        <v>0.095</v>
      </c>
      <c r="N316" s="11">
        <v>0.0091</v>
      </c>
      <c r="O316" s="8">
        <v>0</v>
      </c>
      <c r="P316" s="8">
        <v>0</v>
      </c>
      <c r="Q316" s="8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0.204</v>
      </c>
      <c r="W316" s="8">
        <v>0</v>
      </c>
      <c r="X316" s="8">
        <v>0</v>
      </c>
      <c r="Y316" s="8">
        <v>0</v>
      </c>
      <c r="Z316" s="8">
        <v>0</v>
      </c>
      <c r="AA316" s="11">
        <v>0</v>
      </c>
      <c r="AB316" s="11">
        <v>0</v>
      </c>
      <c r="AC316" s="11">
        <v>0</v>
      </c>
      <c r="AD316" s="11">
        <v>0</v>
      </c>
    </row>
    <row r="317" customFormat="1" ht="22" customHeight="1" spans="1:30">
      <c r="A317" s="8" t="s">
        <v>31</v>
      </c>
      <c r="B317" s="8" t="e">
        <f>VLOOKUP(E317,[1]Sheet1!$C:$E,2,FALSE)</f>
        <v>#N/A</v>
      </c>
      <c r="C317" s="8" t="e">
        <f>VLOOKUP(E317,[1]Sheet1!$C:$E,3,FALSE)</f>
        <v>#N/A</v>
      </c>
      <c r="D317" s="12" t="s">
        <v>346</v>
      </c>
      <c r="E317" s="13">
        <v>1340382008</v>
      </c>
      <c r="F317" s="12">
        <v>4.7</v>
      </c>
      <c r="G317" s="8">
        <v>28</v>
      </c>
      <c r="H317" s="8">
        <v>519.74</v>
      </c>
      <c r="I317" s="8">
        <v>25.32</v>
      </c>
      <c r="J317" s="8">
        <v>18.56</v>
      </c>
      <c r="K317" s="8">
        <v>1538</v>
      </c>
      <c r="L317" s="11">
        <v>0.062</v>
      </c>
      <c r="M317" s="11">
        <v>0.292</v>
      </c>
      <c r="N317" s="11">
        <v>0.0181</v>
      </c>
      <c r="O317" s="8">
        <v>1384</v>
      </c>
      <c r="P317" s="8">
        <v>154</v>
      </c>
      <c r="Q317" s="8">
        <v>12</v>
      </c>
      <c r="R317" s="11">
        <v>0.053</v>
      </c>
      <c r="S317" s="11">
        <v>0.149</v>
      </c>
      <c r="T317" s="11">
        <v>0.219</v>
      </c>
      <c r="U317" s="11">
        <v>0.522</v>
      </c>
      <c r="V317" s="11">
        <v>0.176</v>
      </c>
      <c r="W317" s="8">
        <v>0</v>
      </c>
      <c r="X317" s="8">
        <v>0</v>
      </c>
      <c r="Y317" s="8">
        <v>0</v>
      </c>
      <c r="Z317" s="8">
        <v>0</v>
      </c>
      <c r="AA317" s="11">
        <v>0</v>
      </c>
      <c r="AB317" s="11">
        <v>0</v>
      </c>
      <c r="AC317" s="11">
        <v>0</v>
      </c>
      <c r="AD317" s="11">
        <v>0</v>
      </c>
    </row>
    <row r="318" customFormat="1" ht="22" customHeight="1" spans="1:30">
      <c r="A318" s="8" t="s">
        <v>31</v>
      </c>
      <c r="B318" s="8" t="str">
        <f>VLOOKUP(E318,[1]Sheet1!$C:$E,2,FALSE)</f>
        <v>刘欢</v>
      </c>
      <c r="C318" s="8" t="str">
        <f>VLOOKUP(E318,[1]Sheet1!$C:$E,3,FALSE)</f>
        <v>C</v>
      </c>
      <c r="D318" s="12" t="s">
        <v>347</v>
      </c>
      <c r="E318" s="13">
        <v>1341432985</v>
      </c>
      <c r="F318" s="12">
        <v>4.5</v>
      </c>
      <c r="G318" s="8">
        <v>30</v>
      </c>
      <c r="H318" s="8">
        <v>506.26</v>
      </c>
      <c r="I318" s="8">
        <v>24.53</v>
      </c>
      <c r="J318" s="8">
        <v>16.88</v>
      </c>
      <c r="K318" s="8">
        <v>3236</v>
      </c>
      <c r="L318" s="11">
        <v>0.064</v>
      </c>
      <c r="M318" s="11">
        <v>0.139</v>
      </c>
      <c r="N318" s="11">
        <v>0.0089</v>
      </c>
      <c r="O318" s="8">
        <v>2942</v>
      </c>
      <c r="P318" s="8">
        <v>294</v>
      </c>
      <c r="Q318" s="8">
        <v>9</v>
      </c>
      <c r="R318" s="11">
        <v>0.057</v>
      </c>
      <c r="S318" s="11">
        <v>0.133</v>
      </c>
      <c r="T318" s="11">
        <v>0.118</v>
      </c>
      <c r="U318" s="11">
        <v>0.231</v>
      </c>
      <c r="V318" s="11">
        <v>0.164</v>
      </c>
      <c r="W318" s="8">
        <v>0</v>
      </c>
      <c r="X318" s="8">
        <v>0</v>
      </c>
      <c r="Y318" s="8">
        <v>0</v>
      </c>
      <c r="Z318" s="8">
        <v>0</v>
      </c>
      <c r="AA318" s="11">
        <v>0</v>
      </c>
      <c r="AB318" s="11">
        <v>0</v>
      </c>
      <c r="AC318" s="11">
        <v>0</v>
      </c>
      <c r="AD318" s="11">
        <v>0</v>
      </c>
    </row>
    <row r="319" customFormat="1" ht="22" customHeight="1" spans="1:30">
      <c r="A319" s="8" t="s">
        <v>31</v>
      </c>
      <c r="B319" s="8" t="e">
        <f>VLOOKUP(E319,[1]Sheet1!$C:$E,2,FALSE)</f>
        <v>#N/A</v>
      </c>
      <c r="C319" s="8" t="e">
        <f>VLOOKUP(E319,[1]Sheet1!$C:$E,3,FALSE)</f>
        <v>#N/A</v>
      </c>
      <c r="D319" s="12" t="s">
        <v>348</v>
      </c>
      <c r="E319" s="13">
        <v>1294864398</v>
      </c>
      <c r="F319" s="12">
        <v>4.7</v>
      </c>
      <c r="G319" s="8">
        <v>15</v>
      </c>
      <c r="H319" s="8">
        <v>496.06</v>
      </c>
      <c r="I319" s="8">
        <v>39.19</v>
      </c>
      <c r="J319" s="8">
        <v>33.07</v>
      </c>
      <c r="K319" s="8">
        <v>1170</v>
      </c>
      <c r="L319" s="11">
        <v>0.079</v>
      </c>
      <c r="M319" s="11">
        <v>0.161</v>
      </c>
      <c r="N319" s="11">
        <v>0.0127</v>
      </c>
      <c r="O319" s="8">
        <v>960</v>
      </c>
      <c r="P319" s="8">
        <v>210</v>
      </c>
      <c r="Q319" s="8">
        <v>12</v>
      </c>
      <c r="R319" s="11">
        <v>0.064</v>
      </c>
      <c r="S319" s="11">
        <v>0.152</v>
      </c>
      <c r="T319" s="11">
        <v>0.049</v>
      </c>
      <c r="U319" s="11">
        <v>0.375</v>
      </c>
      <c r="V319" s="11">
        <v>0.218</v>
      </c>
      <c r="W319" s="8">
        <v>1</v>
      </c>
      <c r="X319" s="8">
        <v>1</v>
      </c>
      <c r="Y319" s="8">
        <v>0</v>
      </c>
      <c r="Z319" s="8">
        <v>0</v>
      </c>
      <c r="AA319" s="11">
        <v>0.0667</v>
      </c>
      <c r="AB319" s="11">
        <v>1</v>
      </c>
      <c r="AC319" s="11">
        <v>0</v>
      </c>
      <c r="AD319" s="11">
        <v>0</v>
      </c>
    </row>
    <row r="320" customFormat="1" ht="22" customHeight="1" spans="1:30">
      <c r="A320" s="8" t="s">
        <v>31</v>
      </c>
      <c r="B320" s="8" t="str">
        <f>VLOOKUP(E320,[1]Sheet1!$C:$E,2,FALSE)</f>
        <v>徐从众</v>
      </c>
      <c r="C320" s="8" t="str">
        <f>VLOOKUP(E320,[1]Sheet1!$C:$E,3,FALSE)</f>
        <v>B</v>
      </c>
      <c r="D320" s="12" t="s">
        <v>349</v>
      </c>
      <c r="E320" s="13">
        <v>540341636</v>
      </c>
      <c r="F320" s="12">
        <v>4.7</v>
      </c>
      <c r="G320" s="8">
        <v>30</v>
      </c>
      <c r="H320" s="8">
        <v>492.47</v>
      </c>
      <c r="I320" s="8">
        <v>22.09</v>
      </c>
      <c r="J320" s="8">
        <v>16.42</v>
      </c>
      <c r="K320" s="8">
        <v>1973</v>
      </c>
      <c r="L320" s="11">
        <v>0.063</v>
      </c>
      <c r="M320" s="11">
        <v>0.242</v>
      </c>
      <c r="N320" s="11">
        <v>0.0152</v>
      </c>
      <c r="O320" s="8">
        <v>1624</v>
      </c>
      <c r="P320" s="8">
        <v>349</v>
      </c>
      <c r="Q320" s="8">
        <v>13</v>
      </c>
      <c r="R320" s="11">
        <v>0.049</v>
      </c>
      <c r="S320" s="11">
        <v>0.126</v>
      </c>
      <c r="T320" s="11">
        <v>0.213</v>
      </c>
      <c r="U320" s="11">
        <v>0.295</v>
      </c>
      <c r="V320" s="11">
        <v>0.208</v>
      </c>
      <c r="W320" s="8">
        <v>1</v>
      </c>
      <c r="X320" s="8">
        <v>1</v>
      </c>
      <c r="Y320" s="8">
        <v>0</v>
      </c>
      <c r="Z320" s="8">
        <v>0</v>
      </c>
      <c r="AA320" s="11">
        <v>0.0333</v>
      </c>
      <c r="AB320" s="11">
        <v>1</v>
      </c>
      <c r="AC320" s="11">
        <v>0</v>
      </c>
      <c r="AD320" s="11">
        <v>0</v>
      </c>
    </row>
    <row r="321" customFormat="1" ht="22" customHeight="1" spans="1:30">
      <c r="A321" s="8" t="s">
        <v>31</v>
      </c>
      <c r="B321" s="8" t="str">
        <f>VLOOKUP(E321,[1]Sheet1!$C:$E,2,FALSE)</f>
        <v>徐从众</v>
      </c>
      <c r="C321" s="9" t="str">
        <f>VLOOKUP(E321,[1]Sheet1!$C:$E,3,FALSE)</f>
        <v>S</v>
      </c>
      <c r="D321" s="8" t="s">
        <v>350</v>
      </c>
      <c r="E321" s="10">
        <v>1346126304</v>
      </c>
      <c r="F321" s="8">
        <v>5</v>
      </c>
      <c r="G321" s="8">
        <v>29</v>
      </c>
      <c r="H321" s="8">
        <v>489.45</v>
      </c>
      <c r="I321" s="8">
        <v>22.21</v>
      </c>
      <c r="J321" s="8">
        <v>16.88</v>
      </c>
      <c r="K321" s="8">
        <v>680</v>
      </c>
      <c r="L321" s="11">
        <v>0.103</v>
      </c>
      <c r="M321" s="11">
        <v>0.4</v>
      </c>
      <c r="N321" s="11">
        <v>0.0412</v>
      </c>
      <c r="O321" s="8">
        <v>543</v>
      </c>
      <c r="P321" s="8">
        <v>137</v>
      </c>
      <c r="Q321" s="8">
        <v>26</v>
      </c>
      <c r="R321" s="11">
        <v>0.055</v>
      </c>
      <c r="S321" s="11">
        <v>0.292</v>
      </c>
      <c r="T321" s="11">
        <v>0.067</v>
      </c>
      <c r="U321" s="11">
        <v>0.65</v>
      </c>
      <c r="V321" s="11">
        <v>0.428</v>
      </c>
      <c r="W321" s="8">
        <v>1</v>
      </c>
      <c r="X321" s="8">
        <v>1</v>
      </c>
      <c r="Y321" s="8">
        <v>0</v>
      </c>
      <c r="Z321" s="8">
        <v>0</v>
      </c>
      <c r="AA321" s="11">
        <v>0.0345</v>
      </c>
      <c r="AB321" s="11">
        <v>1</v>
      </c>
      <c r="AC321" s="11">
        <v>0</v>
      </c>
      <c r="AD321" s="11">
        <v>0</v>
      </c>
    </row>
    <row r="322" customFormat="1" ht="22" customHeight="1" spans="1:30">
      <c r="A322" s="8" t="s">
        <v>31</v>
      </c>
      <c r="B322" s="8" t="str">
        <f>VLOOKUP(E322,[1]Sheet1!$C:$E,2,FALSE)</f>
        <v>王森</v>
      </c>
      <c r="C322" s="9" t="str">
        <f>VLOOKUP(E322,[1]Sheet1!$C:$E,3,FALSE)</f>
        <v>A</v>
      </c>
      <c r="D322" s="12" t="s">
        <v>351</v>
      </c>
      <c r="E322" s="13">
        <v>1246544856</v>
      </c>
      <c r="F322" s="12">
        <v>4.6</v>
      </c>
      <c r="G322" s="8">
        <v>23</v>
      </c>
      <c r="H322" s="8">
        <v>487.77</v>
      </c>
      <c r="I322" s="8">
        <v>0</v>
      </c>
      <c r="J322" s="8">
        <v>21.21</v>
      </c>
      <c r="K322" s="8">
        <v>1849</v>
      </c>
      <c r="L322" s="11">
        <v>0.078</v>
      </c>
      <c r="M322" s="11">
        <v>0.159</v>
      </c>
      <c r="N322" s="11">
        <v>0.0124</v>
      </c>
      <c r="O322" s="8">
        <v>0</v>
      </c>
      <c r="P322" s="8">
        <v>0</v>
      </c>
      <c r="Q322" s="8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0.188</v>
      </c>
      <c r="W322" s="8">
        <v>0</v>
      </c>
      <c r="X322" s="8">
        <v>0</v>
      </c>
      <c r="Y322" s="8">
        <v>0</v>
      </c>
      <c r="Z322" s="8">
        <v>0</v>
      </c>
      <c r="AA322" s="11">
        <v>0</v>
      </c>
      <c r="AB322" s="11">
        <v>0</v>
      </c>
      <c r="AC322" s="11">
        <v>0</v>
      </c>
      <c r="AD322" s="11">
        <v>0</v>
      </c>
    </row>
    <row r="323" customFormat="1" ht="22" customHeight="1" spans="1:30">
      <c r="A323" s="8" t="s">
        <v>31</v>
      </c>
      <c r="B323" s="8" t="str">
        <f>VLOOKUP(E323,[1]Sheet1!$C:$E,2,FALSE)</f>
        <v>刘欢</v>
      </c>
      <c r="C323" s="9" t="str">
        <f>VLOOKUP(E323,[1]Sheet1!$C:$E,3,FALSE)</f>
        <v>A</v>
      </c>
      <c r="D323" s="8" t="s">
        <v>352</v>
      </c>
      <c r="E323" s="10">
        <v>162149018</v>
      </c>
      <c r="F323" s="8">
        <v>4.9</v>
      </c>
      <c r="G323" s="8">
        <v>9</v>
      </c>
      <c r="H323" s="8">
        <v>486.31</v>
      </c>
      <c r="I323" s="8">
        <v>53.62</v>
      </c>
      <c r="J323" s="8">
        <v>54.03</v>
      </c>
      <c r="K323" s="8">
        <v>755</v>
      </c>
      <c r="L323" s="11">
        <v>0.069</v>
      </c>
      <c r="M323" s="11">
        <v>0.173</v>
      </c>
      <c r="N323" s="11">
        <v>0.0119</v>
      </c>
      <c r="O323" s="8">
        <v>661</v>
      </c>
      <c r="P323" s="8">
        <v>94</v>
      </c>
      <c r="Q323" s="8">
        <v>3</v>
      </c>
      <c r="R323" s="11">
        <v>0.056</v>
      </c>
      <c r="S323" s="11">
        <v>0.16</v>
      </c>
      <c r="T323" s="11">
        <v>0.162</v>
      </c>
      <c r="U323" s="11">
        <v>0.2</v>
      </c>
      <c r="V323" s="11">
        <v>0.24</v>
      </c>
      <c r="W323" s="8">
        <v>0</v>
      </c>
      <c r="X323" s="8">
        <v>0</v>
      </c>
      <c r="Y323" s="8">
        <v>0</v>
      </c>
      <c r="Z323" s="8">
        <v>0</v>
      </c>
      <c r="AA323" s="11">
        <v>0</v>
      </c>
      <c r="AB323" s="11">
        <v>0</v>
      </c>
      <c r="AC323" s="11">
        <v>0</v>
      </c>
      <c r="AD323" s="11">
        <v>0</v>
      </c>
    </row>
    <row r="324" customFormat="1" ht="22" customHeight="1" spans="1:30">
      <c r="A324" s="8" t="s">
        <v>31</v>
      </c>
      <c r="B324" s="8" t="str">
        <f>VLOOKUP(E324,[1]Sheet1!$C:$E,2,FALSE)</f>
        <v>王森</v>
      </c>
      <c r="C324" s="9" t="str">
        <f>VLOOKUP(E324,[1]Sheet1!$C:$E,3,FALSE)</f>
        <v>A</v>
      </c>
      <c r="D324" s="12" t="s">
        <v>353</v>
      </c>
      <c r="E324" s="13">
        <v>1194299711</v>
      </c>
      <c r="F324" s="12">
        <v>4.7</v>
      </c>
      <c r="G324" s="8">
        <v>13</v>
      </c>
      <c r="H324" s="8">
        <v>484.71</v>
      </c>
      <c r="I324" s="8">
        <v>41.31</v>
      </c>
      <c r="J324" s="8">
        <v>37.29</v>
      </c>
      <c r="K324" s="8">
        <v>1736</v>
      </c>
      <c r="L324" s="11">
        <v>0.084</v>
      </c>
      <c r="M324" s="11">
        <v>0.089</v>
      </c>
      <c r="N324" s="11">
        <v>0.0075</v>
      </c>
      <c r="O324" s="8">
        <v>1462</v>
      </c>
      <c r="P324" s="8">
        <v>274</v>
      </c>
      <c r="Q324" s="8">
        <v>3</v>
      </c>
      <c r="R324" s="11">
        <v>0.07</v>
      </c>
      <c r="S324" s="11">
        <v>0.161</v>
      </c>
      <c r="T324" s="11">
        <v>0.098</v>
      </c>
      <c r="U324" s="11">
        <v>0.068</v>
      </c>
      <c r="V324" s="11">
        <v>0.21</v>
      </c>
      <c r="W324" s="8">
        <v>4</v>
      </c>
      <c r="X324" s="8">
        <v>4</v>
      </c>
      <c r="Y324" s="8">
        <v>0</v>
      </c>
      <c r="Z324" s="8">
        <v>0</v>
      </c>
      <c r="AA324" s="11">
        <v>0.3077</v>
      </c>
      <c r="AB324" s="11">
        <v>1</v>
      </c>
      <c r="AC324" s="11">
        <v>0</v>
      </c>
      <c r="AD324" s="11">
        <v>0</v>
      </c>
    </row>
    <row r="325" customFormat="1" ht="22" customHeight="1" spans="1:30">
      <c r="A325" s="8" t="s">
        <v>31</v>
      </c>
      <c r="B325" s="8" t="str">
        <f>VLOOKUP(E325,[1]Sheet1!$C:$E,2,FALSE)</f>
        <v>岳贝贝</v>
      </c>
      <c r="C325" s="8" t="str">
        <f>VLOOKUP(E325,[1]Sheet1!$C:$E,3,FALSE)</f>
        <v>B</v>
      </c>
      <c r="D325" s="8" t="s">
        <v>354</v>
      </c>
      <c r="E325" s="10">
        <v>541778143</v>
      </c>
      <c r="F325" s="8">
        <v>4.9</v>
      </c>
      <c r="G325" s="8">
        <v>25</v>
      </c>
      <c r="H325" s="8">
        <v>483.29</v>
      </c>
      <c r="I325" s="8">
        <v>0</v>
      </c>
      <c r="J325" s="8">
        <v>19.33</v>
      </c>
      <c r="K325" s="8">
        <v>1759</v>
      </c>
      <c r="L325" s="11">
        <v>0.065</v>
      </c>
      <c r="M325" s="11">
        <v>0.217</v>
      </c>
      <c r="N325" s="11">
        <v>0.0141</v>
      </c>
      <c r="O325" s="8">
        <v>0</v>
      </c>
      <c r="P325" s="8">
        <v>0</v>
      </c>
      <c r="Q325" s="8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0.149</v>
      </c>
      <c r="W325" s="8">
        <v>1</v>
      </c>
      <c r="X325" s="8">
        <v>1</v>
      </c>
      <c r="Y325" s="8">
        <v>0</v>
      </c>
      <c r="Z325" s="8">
        <v>0</v>
      </c>
      <c r="AA325" s="11">
        <v>0.04</v>
      </c>
      <c r="AB325" s="11">
        <v>1</v>
      </c>
      <c r="AC325" s="11">
        <v>0</v>
      </c>
      <c r="AD325" s="11">
        <v>0</v>
      </c>
    </row>
    <row r="326" customFormat="1" ht="22" customHeight="1" spans="1:30">
      <c r="A326" s="8" t="s">
        <v>31</v>
      </c>
      <c r="B326" s="8" t="str">
        <f>VLOOKUP(E326,[1]Sheet1!$C:$E,2,FALSE)</f>
        <v>岳贝贝</v>
      </c>
      <c r="C326" s="8" t="str">
        <f>VLOOKUP(E326,[1]Sheet1!$C:$E,3,FALSE)</f>
        <v>B</v>
      </c>
      <c r="D326" s="12" t="s">
        <v>355</v>
      </c>
      <c r="E326" s="13">
        <v>541042595</v>
      </c>
      <c r="F326" s="12">
        <v>4.6</v>
      </c>
      <c r="G326" s="8">
        <v>27</v>
      </c>
      <c r="H326" s="8">
        <v>479.37</v>
      </c>
      <c r="I326" s="8">
        <v>0</v>
      </c>
      <c r="J326" s="8">
        <v>17.75</v>
      </c>
      <c r="K326" s="8">
        <v>1308</v>
      </c>
      <c r="L326" s="11">
        <v>0.07</v>
      </c>
      <c r="M326" s="11">
        <v>0.286</v>
      </c>
      <c r="N326" s="11">
        <v>0.02</v>
      </c>
      <c r="O326" s="8">
        <v>0</v>
      </c>
      <c r="P326" s="8">
        <v>0</v>
      </c>
      <c r="Q326" s="8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0.153</v>
      </c>
      <c r="W326" s="8">
        <v>0</v>
      </c>
      <c r="X326" s="8">
        <v>0</v>
      </c>
      <c r="Y326" s="8">
        <v>0</v>
      </c>
      <c r="Z326" s="8">
        <v>0</v>
      </c>
      <c r="AA326" s="11">
        <v>0</v>
      </c>
      <c r="AB326" s="11">
        <v>0</v>
      </c>
      <c r="AC326" s="11">
        <v>0</v>
      </c>
      <c r="AD326" s="11">
        <v>0</v>
      </c>
    </row>
    <row r="327" customFormat="1" ht="22" customHeight="1" spans="1:30">
      <c r="A327" s="8" t="s">
        <v>31</v>
      </c>
      <c r="B327" s="8" t="str">
        <f>VLOOKUP(E327,[1]Sheet1!$C:$E,2,FALSE)</f>
        <v>徐从众</v>
      </c>
      <c r="C327" s="9" t="str">
        <f>VLOOKUP(E327,[1]Sheet1!$C:$E,3,FALSE)</f>
        <v>S</v>
      </c>
      <c r="D327" s="12" t="s">
        <v>356</v>
      </c>
      <c r="E327" s="13">
        <v>1265929534</v>
      </c>
      <c r="F327" s="12">
        <v>4.5</v>
      </c>
      <c r="G327" s="8">
        <v>56</v>
      </c>
      <c r="H327" s="8">
        <v>478.67</v>
      </c>
      <c r="I327" s="8">
        <v>16.36</v>
      </c>
      <c r="J327" s="8">
        <v>8.55</v>
      </c>
      <c r="K327" s="8">
        <v>3338</v>
      </c>
      <c r="L327" s="11">
        <v>0.064</v>
      </c>
      <c r="M327" s="11">
        <v>0.259</v>
      </c>
      <c r="N327" s="11">
        <v>0.0166</v>
      </c>
      <c r="O327" s="8">
        <v>2800</v>
      </c>
      <c r="P327" s="8">
        <v>538</v>
      </c>
      <c r="Q327" s="8">
        <v>33</v>
      </c>
      <c r="R327" s="11">
        <v>0.048</v>
      </c>
      <c r="S327" s="11">
        <v>0.147</v>
      </c>
      <c r="T327" s="11">
        <v>0.165</v>
      </c>
      <c r="U327" s="11">
        <v>0.418</v>
      </c>
      <c r="V327" s="11">
        <v>0.213</v>
      </c>
      <c r="W327" s="8">
        <v>0</v>
      </c>
      <c r="X327" s="8">
        <v>0</v>
      </c>
      <c r="Y327" s="8">
        <v>0</v>
      </c>
      <c r="Z327" s="8">
        <v>0</v>
      </c>
      <c r="AA327" s="11">
        <v>0</v>
      </c>
      <c r="AB327" s="11">
        <v>0</v>
      </c>
      <c r="AC327" s="11">
        <v>0</v>
      </c>
      <c r="AD327" s="11">
        <v>0</v>
      </c>
    </row>
    <row r="328" customFormat="1" ht="22" customHeight="1" spans="1:30">
      <c r="A328" s="8" t="s">
        <v>31</v>
      </c>
      <c r="B328" s="8" t="str">
        <f>VLOOKUP(E328,[1]Sheet1!$C:$E,2,FALSE)</f>
        <v>徐从众</v>
      </c>
      <c r="C328" s="9" t="str">
        <f>VLOOKUP(E328,[1]Sheet1!$C:$E,3,FALSE)</f>
        <v>S</v>
      </c>
      <c r="D328" s="12" t="s">
        <v>357</v>
      </c>
      <c r="E328" s="13">
        <v>1340449576</v>
      </c>
      <c r="F328" s="12">
        <v>4.5</v>
      </c>
      <c r="G328" s="8">
        <v>27</v>
      </c>
      <c r="H328" s="8">
        <v>474.24</v>
      </c>
      <c r="I328" s="8">
        <v>23.49</v>
      </c>
      <c r="J328" s="8">
        <v>17.56</v>
      </c>
      <c r="K328" s="8">
        <v>1063</v>
      </c>
      <c r="L328" s="11">
        <v>0.076</v>
      </c>
      <c r="M328" s="11">
        <v>0.333</v>
      </c>
      <c r="N328" s="11">
        <v>0.0253</v>
      </c>
      <c r="O328" s="8">
        <v>858</v>
      </c>
      <c r="P328" s="8">
        <v>205</v>
      </c>
      <c r="Q328" s="8">
        <v>18</v>
      </c>
      <c r="R328" s="11">
        <v>0.062</v>
      </c>
      <c r="S328" s="11">
        <v>0.137</v>
      </c>
      <c r="T328" s="11">
        <v>0.17</v>
      </c>
      <c r="U328" s="11">
        <v>0.643</v>
      </c>
      <c r="V328" s="11">
        <v>0.249</v>
      </c>
      <c r="W328" s="8">
        <v>0</v>
      </c>
      <c r="X328" s="8">
        <v>0</v>
      </c>
      <c r="Y328" s="8">
        <v>0</v>
      </c>
      <c r="Z328" s="8">
        <v>0</v>
      </c>
      <c r="AA328" s="11">
        <v>0</v>
      </c>
      <c r="AB328" s="11">
        <v>0</v>
      </c>
      <c r="AC328" s="11">
        <v>0</v>
      </c>
      <c r="AD328" s="11">
        <v>0</v>
      </c>
    </row>
    <row r="329" customFormat="1" ht="22" customHeight="1" spans="1:30">
      <c r="A329" s="8" t="s">
        <v>31</v>
      </c>
      <c r="B329" s="8" t="str">
        <f>VLOOKUP(E329,[1]Sheet1!$C:$E,2,FALSE)</f>
        <v>徐从众</v>
      </c>
      <c r="C329" s="9" t="str">
        <f>VLOOKUP(E329,[1]Sheet1!$C:$E,3,FALSE)</f>
        <v>S</v>
      </c>
      <c r="D329" s="12" t="s">
        <v>358</v>
      </c>
      <c r="E329" s="13">
        <v>1249307179</v>
      </c>
      <c r="F329" s="12">
        <v>4.5</v>
      </c>
      <c r="G329" s="8">
        <v>11</v>
      </c>
      <c r="H329" s="8">
        <v>468.4</v>
      </c>
      <c r="I329" s="8">
        <v>55.53</v>
      </c>
      <c r="J329" s="8">
        <v>42.58</v>
      </c>
      <c r="K329" s="8">
        <v>983</v>
      </c>
      <c r="L329" s="11">
        <v>0.089</v>
      </c>
      <c r="M329" s="11">
        <v>0.126</v>
      </c>
      <c r="N329" s="11">
        <v>0.0112</v>
      </c>
      <c r="O329" s="8">
        <v>708</v>
      </c>
      <c r="P329" s="8">
        <v>275</v>
      </c>
      <c r="Q329" s="8">
        <v>5</v>
      </c>
      <c r="R329" s="11">
        <v>0.085</v>
      </c>
      <c r="S329" s="11">
        <v>0.098</v>
      </c>
      <c r="T329" s="11">
        <v>0.1</v>
      </c>
      <c r="U329" s="11">
        <v>0.185</v>
      </c>
      <c r="V329" s="11">
        <v>0.215</v>
      </c>
      <c r="W329" s="8">
        <v>0</v>
      </c>
      <c r="X329" s="8">
        <v>0</v>
      </c>
      <c r="Y329" s="8">
        <v>0</v>
      </c>
      <c r="Z329" s="8">
        <v>0</v>
      </c>
      <c r="AA329" s="11">
        <v>0</v>
      </c>
      <c r="AB329" s="11">
        <v>0</v>
      </c>
      <c r="AC329" s="11">
        <v>0</v>
      </c>
      <c r="AD329" s="11">
        <v>0</v>
      </c>
    </row>
    <row r="330" customFormat="1" ht="22" customHeight="1" spans="1:30">
      <c r="A330" s="8" t="s">
        <v>31</v>
      </c>
      <c r="B330" s="8" t="str">
        <f>VLOOKUP(E330,[1]Sheet1!$C:$E,2,FALSE)</f>
        <v>刘欢</v>
      </c>
      <c r="C330" s="9" t="str">
        <f>VLOOKUP(E330,[1]Sheet1!$C:$E,3,FALSE)</f>
        <v>S</v>
      </c>
      <c r="D330" s="12" t="s">
        <v>359</v>
      </c>
      <c r="E330" s="13">
        <v>1238874933</v>
      </c>
      <c r="F330" s="12">
        <v>4.7</v>
      </c>
      <c r="G330" s="8">
        <v>33</v>
      </c>
      <c r="H330" s="8">
        <v>458.12</v>
      </c>
      <c r="I330" s="8">
        <v>17.04</v>
      </c>
      <c r="J330" s="8">
        <v>13.88</v>
      </c>
      <c r="K330" s="8">
        <v>849</v>
      </c>
      <c r="L330" s="11">
        <v>0.102</v>
      </c>
      <c r="M330" s="11">
        <v>0.368</v>
      </c>
      <c r="N330" s="11">
        <v>0.0375</v>
      </c>
      <c r="O330" s="8">
        <v>684</v>
      </c>
      <c r="P330" s="8">
        <v>165</v>
      </c>
      <c r="Q330" s="8">
        <v>24</v>
      </c>
      <c r="R330" s="11">
        <v>0.07</v>
      </c>
      <c r="S330" s="11">
        <v>0.236</v>
      </c>
      <c r="T330" s="11">
        <v>0.167</v>
      </c>
      <c r="U330" s="11">
        <v>0.615</v>
      </c>
      <c r="V330" s="11">
        <v>0.441</v>
      </c>
      <c r="W330" s="8">
        <v>2</v>
      </c>
      <c r="X330" s="8">
        <v>2</v>
      </c>
      <c r="Y330" s="8">
        <v>0</v>
      </c>
      <c r="Z330" s="8">
        <v>0</v>
      </c>
      <c r="AA330" s="11">
        <v>0.0606</v>
      </c>
      <c r="AB330" s="11">
        <v>1</v>
      </c>
      <c r="AC330" s="11">
        <v>0</v>
      </c>
      <c r="AD330" s="11">
        <v>0</v>
      </c>
    </row>
    <row r="331" customFormat="1" ht="22" customHeight="1" spans="1:30">
      <c r="A331" s="8" t="s">
        <v>31</v>
      </c>
      <c r="B331" s="8" t="e">
        <f>VLOOKUP(E331,[1]Sheet1!$C:$E,2,FALSE)</f>
        <v>#N/A</v>
      </c>
      <c r="C331" s="8" t="e">
        <f>VLOOKUP(E331,[1]Sheet1!$C:$E,3,FALSE)</f>
        <v>#N/A</v>
      </c>
      <c r="D331" s="12" t="s">
        <v>360</v>
      </c>
      <c r="E331" s="13">
        <v>538999349</v>
      </c>
      <c r="F331" s="12">
        <v>4.3</v>
      </c>
      <c r="G331" s="8">
        <v>29</v>
      </c>
      <c r="H331" s="8">
        <v>456.22</v>
      </c>
      <c r="I331" s="8">
        <v>23.48</v>
      </c>
      <c r="J331" s="8">
        <v>15.73</v>
      </c>
      <c r="K331" s="8">
        <v>1113</v>
      </c>
      <c r="L331" s="11">
        <v>0.091</v>
      </c>
      <c r="M331" s="11">
        <v>0.287</v>
      </c>
      <c r="N331" s="11">
        <v>0.0261</v>
      </c>
      <c r="O331" s="8">
        <v>852</v>
      </c>
      <c r="P331" s="8">
        <v>261</v>
      </c>
      <c r="Q331" s="8">
        <v>18</v>
      </c>
      <c r="R331" s="11">
        <v>0.07</v>
      </c>
      <c r="S331" s="11">
        <v>0.157</v>
      </c>
      <c r="T331" s="11">
        <v>0.183</v>
      </c>
      <c r="U331" s="11">
        <v>0.439</v>
      </c>
      <c r="V331" s="11">
        <v>0.188</v>
      </c>
      <c r="W331" s="8">
        <v>1</v>
      </c>
      <c r="X331" s="8">
        <v>1</v>
      </c>
      <c r="Y331" s="8">
        <v>0</v>
      </c>
      <c r="Z331" s="8">
        <v>0</v>
      </c>
      <c r="AA331" s="11">
        <v>0.0345</v>
      </c>
      <c r="AB331" s="11">
        <v>1</v>
      </c>
      <c r="AC331" s="11">
        <v>0</v>
      </c>
      <c r="AD331" s="11">
        <v>0</v>
      </c>
    </row>
    <row r="332" customFormat="1" ht="22" customHeight="1" spans="1:30">
      <c r="A332" s="8" t="s">
        <v>31</v>
      </c>
      <c r="B332" s="8" t="str">
        <f>VLOOKUP(E332,[1]Sheet1!$C:$E,2,FALSE)</f>
        <v>王森</v>
      </c>
      <c r="C332" s="9" t="str">
        <f>VLOOKUP(E332,[1]Sheet1!$C:$E,3,FALSE)</f>
        <v>A</v>
      </c>
      <c r="D332" s="12" t="s">
        <v>361</v>
      </c>
      <c r="E332" s="13">
        <v>531768864</v>
      </c>
      <c r="F332" s="12">
        <v>4.6</v>
      </c>
      <c r="G332" s="8">
        <v>24</v>
      </c>
      <c r="H332" s="8">
        <v>455.85</v>
      </c>
      <c r="I332" s="8">
        <v>24.82</v>
      </c>
      <c r="J332" s="8">
        <v>18.99</v>
      </c>
      <c r="K332" s="8">
        <v>1343</v>
      </c>
      <c r="L332" s="11">
        <v>0.097</v>
      </c>
      <c r="M332" s="11">
        <v>0.185</v>
      </c>
      <c r="N332" s="11">
        <v>0.0179</v>
      </c>
      <c r="O332" s="8">
        <v>1018</v>
      </c>
      <c r="P332" s="8">
        <v>325</v>
      </c>
      <c r="Q332" s="8">
        <v>19</v>
      </c>
      <c r="R332" s="11">
        <v>0.068</v>
      </c>
      <c r="S332" s="11">
        <v>0.188</v>
      </c>
      <c r="T332" s="11">
        <v>0.072</v>
      </c>
      <c r="U332" s="11">
        <v>0.311</v>
      </c>
      <c r="V332" s="11">
        <v>0.208</v>
      </c>
      <c r="W332" s="8">
        <v>0</v>
      </c>
      <c r="X332" s="8">
        <v>0</v>
      </c>
      <c r="Y332" s="8">
        <v>0</v>
      </c>
      <c r="Z332" s="8">
        <v>0</v>
      </c>
      <c r="AA332" s="11">
        <v>0</v>
      </c>
      <c r="AB332" s="11">
        <v>0</v>
      </c>
      <c r="AC332" s="11">
        <v>0</v>
      </c>
      <c r="AD332" s="11">
        <v>0</v>
      </c>
    </row>
    <row r="333" customFormat="1" ht="22" customHeight="1" spans="1:30">
      <c r="A333" s="8" t="s">
        <v>31</v>
      </c>
      <c r="B333" s="8" t="str">
        <f>VLOOKUP(E333,[1]Sheet1!$C:$E,2,FALSE)</f>
        <v>王森</v>
      </c>
      <c r="C333" s="8">
        <f>VLOOKUP(E333,[1]Sheet1!$C:$E,3,FALSE)</f>
        <v>0</v>
      </c>
      <c r="D333" s="8" t="s">
        <v>362</v>
      </c>
      <c r="E333" s="10">
        <v>1348185256</v>
      </c>
      <c r="F333" s="8">
        <v>4.9</v>
      </c>
      <c r="G333" s="8">
        <v>28</v>
      </c>
      <c r="H333" s="8">
        <v>453.4</v>
      </c>
      <c r="I333" s="8">
        <v>21.59</v>
      </c>
      <c r="J333" s="8">
        <v>16.19</v>
      </c>
      <c r="K333" s="8">
        <v>5238</v>
      </c>
      <c r="L333" s="11">
        <v>0.037</v>
      </c>
      <c r="M333" s="11">
        <v>0.146</v>
      </c>
      <c r="N333" s="11">
        <v>0.0054</v>
      </c>
      <c r="O333" s="8">
        <v>5097</v>
      </c>
      <c r="P333" s="8">
        <v>141</v>
      </c>
      <c r="Q333" s="8">
        <v>11</v>
      </c>
      <c r="R333" s="11">
        <v>0.032</v>
      </c>
      <c r="S333" s="11">
        <v>0.22</v>
      </c>
      <c r="T333" s="11">
        <v>0.106</v>
      </c>
      <c r="U333" s="11">
        <v>0.355</v>
      </c>
      <c r="V333" s="11">
        <v>0.193</v>
      </c>
      <c r="W333" s="8">
        <v>0</v>
      </c>
      <c r="X333" s="8">
        <v>0</v>
      </c>
      <c r="Y333" s="8">
        <v>0</v>
      </c>
      <c r="Z333" s="8">
        <v>0</v>
      </c>
      <c r="AA333" s="11">
        <v>0</v>
      </c>
      <c r="AB333" s="11">
        <v>0</v>
      </c>
      <c r="AC333" s="11">
        <v>0</v>
      </c>
      <c r="AD333" s="11">
        <v>0</v>
      </c>
    </row>
    <row r="334" customFormat="1" ht="22" customHeight="1" spans="1:30">
      <c r="A334" s="8" t="s">
        <v>31</v>
      </c>
      <c r="B334" s="8" t="str">
        <f>VLOOKUP(E334,[1]Sheet1!$C:$E,2,FALSE)</f>
        <v>王森</v>
      </c>
      <c r="C334" s="8" t="str">
        <f>VLOOKUP(E334,[1]Sheet1!$C:$E,3,FALSE)</f>
        <v>B</v>
      </c>
      <c r="D334" s="8" t="s">
        <v>363</v>
      </c>
      <c r="E334" s="10">
        <v>520540540</v>
      </c>
      <c r="F334" s="8">
        <v>4.9</v>
      </c>
      <c r="G334" s="8">
        <v>10</v>
      </c>
      <c r="H334" s="8">
        <v>447.29</v>
      </c>
      <c r="I334" s="8">
        <v>54.44</v>
      </c>
      <c r="J334" s="8">
        <v>44.73</v>
      </c>
      <c r="K334" s="8">
        <v>1221</v>
      </c>
      <c r="L334" s="11">
        <v>0.073</v>
      </c>
      <c r="M334" s="11">
        <v>0.112</v>
      </c>
      <c r="N334" s="11">
        <v>0.0082</v>
      </c>
      <c r="O334" s="8">
        <v>1059</v>
      </c>
      <c r="P334" s="8">
        <v>162</v>
      </c>
      <c r="Q334" s="8">
        <v>5</v>
      </c>
      <c r="R334" s="11">
        <v>0.076</v>
      </c>
      <c r="S334" s="11">
        <v>0.056</v>
      </c>
      <c r="T334" s="11">
        <v>0.063</v>
      </c>
      <c r="U334" s="11">
        <v>0.556</v>
      </c>
      <c r="V334" s="11">
        <v>0.116</v>
      </c>
      <c r="W334" s="8">
        <v>0</v>
      </c>
      <c r="X334" s="8">
        <v>0</v>
      </c>
      <c r="Y334" s="8">
        <v>0</v>
      </c>
      <c r="Z334" s="8">
        <v>0</v>
      </c>
      <c r="AA334" s="11">
        <v>0</v>
      </c>
      <c r="AB334" s="11">
        <v>0</v>
      </c>
      <c r="AC334" s="11">
        <v>0</v>
      </c>
      <c r="AD334" s="11">
        <v>0</v>
      </c>
    </row>
    <row r="335" customFormat="1" ht="22" customHeight="1" spans="1:30">
      <c r="A335" s="8" t="s">
        <v>31</v>
      </c>
      <c r="B335" s="8" t="str">
        <f>VLOOKUP(E335,[1]Sheet1!$C:$E,2,FALSE)</f>
        <v>王森</v>
      </c>
      <c r="C335" s="9" t="str">
        <f>VLOOKUP(E335,[1]Sheet1!$C:$E,3,FALSE)</f>
        <v>A</v>
      </c>
      <c r="D335" s="8" t="s">
        <v>364</v>
      </c>
      <c r="E335" s="10">
        <v>1257049907</v>
      </c>
      <c r="F335" s="8">
        <v>4.8</v>
      </c>
      <c r="G335" s="8">
        <v>24</v>
      </c>
      <c r="H335" s="8">
        <v>441.48</v>
      </c>
      <c r="I335" s="8">
        <v>0</v>
      </c>
      <c r="J335" s="8">
        <v>18.4</v>
      </c>
      <c r="K335" s="8">
        <v>2685</v>
      </c>
      <c r="L335" s="11">
        <v>0.073</v>
      </c>
      <c r="M335" s="11">
        <v>0.122</v>
      </c>
      <c r="N335" s="11">
        <v>0.0089</v>
      </c>
      <c r="O335" s="8">
        <v>0</v>
      </c>
      <c r="P335" s="8">
        <v>0</v>
      </c>
      <c r="Q335" s="8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0.212</v>
      </c>
      <c r="W335" s="8">
        <v>1</v>
      </c>
      <c r="X335" s="8">
        <v>1</v>
      </c>
      <c r="Y335" s="8">
        <v>0</v>
      </c>
      <c r="Z335" s="8">
        <v>0</v>
      </c>
      <c r="AA335" s="11">
        <v>0.0417</v>
      </c>
      <c r="AB335" s="11">
        <v>1</v>
      </c>
      <c r="AC335" s="11">
        <v>0</v>
      </c>
      <c r="AD335" s="11">
        <v>0</v>
      </c>
    </row>
    <row r="336" customFormat="1" ht="22" customHeight="1" spans="1:30">
      <c r="A336" s="8" t="s">
        <v>31</v>
      </c>
      <c r="B336" s="8" t="e">
        <f>VLOOKUP(E336,[1]Sheet1!$C:$E,2,FALSE)</f>
        <v>#N/A</v>
      </c>
      <c r="C336" s="8" t="e">
        <f>VLOOKUP(E336,[1]Sheet1!$C:$E,3,FALSE)</f>
        <v>#N/A</v>
      </c>
      <c r="D336" s="12" t="s">
        <v>365</v>
      </c>
      <c r="E336" s="13">
        <v>1197789889</v>
      </c>
      <c r="F336" s="12">
        <v>4.6</v>
      </c>
      <c r="G336" s="8">
        <v>13</v>
      </c>
      <c r="H336" s="8">
        <v>437.04</v>
      </c>
      <c r="I336" s="8">
        <v>35.57</v>
      </c>
      <c r="J336" s="8">
        <v>33.62</v>
      </c>
      <c r="K336" s="8">
        <v>1221</v>
      </c>
      <c r="L336" s="11">
        <v>0.089</v>
      </c>
      <c r="M336" s="11">
        <v>0.119</v>
      </c>
      <c r="N336" s="11">
        <v>0.0106</v>
      </c>
      <c r="O336" s="8">
        <v>1122</v>
      </c>
      <c r="P336" s="8">
        <v>99</v>
      </c>
      <c r="Q336" s="8">
        <v>5</v>
      </c>
      <c r="R336" s="11">
        <v>0.086</v>
      </c>
      <c r="S336" s="11">
        <v>0.131</v>
      </c>
      <c r="T336" s="11">
        <v>0.083</v>
      </c>
      <c r="U336" s="11">
        <v>0.385</v>
      </c>
      <c r="V336" s="11">
        <v>0.11</v>
      </c>
      <c r="W336" s="8">
        <v>1</v>
      </c>
      <c r="X336" s="8">
        <v>1</v>
      </c>
      <c r="Y336" s="8">
        <v>0</v>
      </c>
      <c r="Z336" s="8">
        <v>0</v>
      </c>
      <c r="AA336" s="11">
        <v>0.0769</v>
      </c>
      <c r="AB336" s="11">
        <v>1</v>
      </c>
      <c r="AC336" s="11">
        <v>0</v>
      </c>
      <c r="AD336" s="11">
        <v>0</v>
      </c>
    </row>
    <row r="337" customFormat="1" ht="22" customHeight="1" spans="1:30">
      <c r="A337" s="8" t="s">
        <v>31</v>
      </c>
      <c r="B337" s="8" t="e">
        <f>VLOOKUP(E337,[1]Sheet1!$C:$E,2,FALSE)</f>
        <v>#N/A</v>
      </c>
      <c r="C337" s="8" t="e">
        <f>VLOOKUP(E337,[1]Sheet1!$C:$E,3,FALSE)</f>
        <v>#N/A</v>
      </c>
      <c r="D337" s="8" t="s">
        <v>366</v>
      </c>
      <c r="E337" s="10">
        <v>1333723867</v>
      </c>
      <c r="F337" s="8">
        <v>4.8</v>
      </c>
      <c r="G337" s="8">
        <v>35</v>
      </c>
      <c r="H337" s="8">
        <v>435.27</v>
      </c>
      <c r="I337" s="8">
        <v>17.34</v>
      </c>
      <c r="J337" s="8">
        <v>12.44</v>
      </c>
      <c r="K337" s="8">
        <v>2403</v>
      </c>
      <c r="L337" s="11">
        <v>0.053</v>
      </c>
      <c r="M337" s="11">
        <v>0.266</v>
      </c>
      <c r="N337" s="11">
        <v>0.0141</v>
      </c>
      <c r="O337" s="8">
        <v>2102</v>
      </c>
      <c r="P337" s="8">
        <v>301</v>
      </c>
      <c r="Q337" s="8">
        <v>18</v>
      </c>
      <c r="R337" s="11">
        <v>0.042</v>
      </c>
      <c r="S337" s="11">
        <v>0.133</v>
      </c>
      <c r="T337" s="11">
        <v>0.182</v>
      </c>
      <c r="U337" s="11">
        <v>0.45</v>
      </c>
      <c r="V337" s="11">
        <v>0.256</v>
      </c>
      <c r="W337" s="8">
        <v>0</v>
      </c>
      <c r="X337" s="8">
        <v>0</v>
      </c>
      <c r="Y337" s="8">
        <v>0</v>
      </c>
      <c r="Z337" s="8">
        <v>0</v>
      </c>
      <c r="AA337" s="11">
        <v>0</v>
      </c>
      <c r="AB337" s="11">
        <v>0</v>
      </c>
      <c r="AC337" s="11">
        <v>0</v>
      </c>
      <c r="AD337" s="11">
        <v>0</v>
      </c>
    </row>
    <row r="338" customFormat="1" ht="22" customHeight="1" spans="1:30">
      <c r="A338" s="8" t="s">
        <v>31</v>
      </c>
      <c r="B338" s="8" t="e">
        <f>VLOOKUP(E338,[1]Sheet1!$C:$E,2,FALSE)</f>
        <v>#N/A</v>
      </c>
      <c r="C338" s="8" t="e">
        <f>VLOOKUP(E338,[1]Sheet1!$C:$E,3,FALSE)</f>
        <v>#N/A</v>
      </c>
      <c r="D338" s="12" t="s">
        <v>367</v>
      </c>
      <c r="E338" s="13">
        <v>545111076</v>
      </c>
      <c r="F338" s="12">
        <v>4.5</v>
      </c>
      <c r="G338" s="8">
        <v>13</v>
      </c>
      <c r="H338" s="8">
        <v>434.89</v>
      </c>
      <c r="I338" s="8">
        <v>39.88</v>
      </c>
      <c r="J338" s="8">
        <v>33.45</v>
      </c>
      <c r="K338" s="8">
        <v>1973</v>
      </c>
      <c r="L338" s="11">
        <v>0.064</v>
      </c>
      <c r="M338" s="11">
        <v>0.103</v>
      </c>
      <c r="N338" s="11">
        <v>0.0066</v>
      </c>
      <c r="O338" s="8">
        <v>1882</v>
      </c>
      <c r="P338" s="8">
        <v>91</v>
      </c>
      <c r="Q338" s="8">
        <v>3</v>
      </c>
      <c r="R338" s="11">
        <v>0.062</v>
      </c>
      <c r="S338" s="11">
        <v>0.11</v>
      </c>
      <c r="T338" s="11">
        <v>0.086</v>
      </c>
      <c r="U338" s="11">
        <v>0.3</v>
      </c>
      <c r="V338" s="11">
        <v>0.07</v>
      </c>
      <c r="W338" s="8">
        <v>5</v>
      </c>
      <c r="X338" s="8">
        <v>5</v>
      </c>
      <c r="Y338" s="8">
        <v>0</v>
      </c>
      <c r="Z338" s="8">
        <v>0</v>
      </c>
      <c r="AA338" s="11">
        <v>0.3846</v>
      </c>
      <c r="AB338" s="11">
        <v>1</v>
      </c>
      <c r="AC338" s="11">
        <v>0</v>
      </c>
      <c r="AD338" s="11">
        <v>0</v>
      </c>
    </row>
    <row r="339" customFormat="1" ht="22" customHeight="1" spans="1:30">
      <c r="A339" s="8" t="s">
        <v>31</v>
      </c>
      <c r="B339" s="8" t="str">
        <f>VLOOKUP(E339,[1]Sheet1!$C:$E,2,FALSE)</f>
        <v>刘欢</v>
      </c>
      <c r="C339" s="8" t="str">
        <f>VLOOKUP(E339,[1]Sheet1!$C:$E,3,FALSE)</f>
        <v>C</v>
      </c>
      <c r="D339" s="12" t="s">
        <v>368</v>
      </c>
      <c r="E339" s="13">
        <v>1244868424</v>
      </c>
      <c r="F339" s="12">
        <v>4.5</v>
      </c>
      <c r="G339" s="8">
        <v>25</v>
      </c>
      <c r="H339" s="8">
        <v>426.54</v>
      </c>
      <c r="I339" s="8">
        <v>23.07</v>
      </c>
      <c r="J339" s="8">
        <v>17.06</v>
      </c>
      <c r="K339" s="8">
        <v>1288</v>
      </c>
      <c r="L339" s="11">
        <v>0.073</v>
      </c>
      <c r="M339" s="11">
        <v>0.266</v>
      </c>
      <c r="N339" s="11">
        <v>0.0194</v>
      </c>
      <c r="O339" s="8">
        <v>1134</v>
      </c>
      <c r="P339" s="8">
        <v>154</v>
      </c>
      <c r="Q339" s="8">
        <v>11</v>
      </c>
      <c r="R339" s="11">
        <v>0.061</v>
      </c>
      <c r="S339" s="11">
        <v>0.162</v>
      </c>
      <c r="T339" s="11">
        <v>0.203</v>
      </c>
      <c r="U339" s="11">
        <v>0.44</v>
      </c>
      <c r="V339" s="11">
        <v>0.248</v>
      </c>
      <c r="W339" s="8">
        <v>1</v>
      </c>
      <c r="X339" s="8">
        <v>1</v>
      </c>
      <c r="Y339" s="8">
        <v>0</v>
      </c>
      <c r="Z339" s="8">
        <v>0</v>
      </c>
      <c r="AA339" s="11">
        <v>0.04</v>
      </c>
      <c r="AB339" s="11">
        <v>1</v>
      </c>
      <c r="AC339" s="11">
        <v>0</v>
      </c>
      <c r="AD339" s="11">
        <v>0</v>
      </c>
    </row>
    <row r="340" customFormat="1" ht="22" customHeight="1" spans="1:30">
      <c r="A340" s="8" t="s">
        <v>31</v>
      </c>
      <c r="B340" s="8" t="str">
        <f>VLOOKUP(E340,[1]Sheet1!$C:$E,2,FALSE)</f>
        <v>岳贝贝</v>
      </c>
      <c r="C340" s="9" t="str">
        <f>VLOOKUP(E340,[1]Sheet1!$C:$E,3,FALSE)</f>
        <v>A</v>
      </c>
      <c r="D340" s="8" t="s">
        <v>369</v>
      </c>
      <c r="E340" s="10">
        <v>529311235</v>
      </c>
      <c r="F340" s="8">
        <v>5</v>
      </c>
      <c r="G340" s="8">
        <v>22</v>
      </c>
      <c r="H340" s="8">
        <v>422.11</v>
      </c>
      <c r="I340" s="8">
        <v>0</v>
      </c>
      <c r="J340" s="8">
        <v>19.19</v>
      </c>
      <c r="K340" s="8">
        <v>900</v>
      </c>
      <c r="L340" s="11">
        <v>0.082</v>
      </c>
      <c r="M340" s="11">
        <v>0.284</v>
      </c>
      <c r="N340" s="11">
        <v>0.0233</v>
      </c>
      <c r="O340" s="8">
        <v>0</v>
      </c>
      <c r="P340" s="8">
        <v>0</v>
      </c>
      <c r="Q340" s="8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0.181</v>
      </c>
      <c r="W340" s="8">
        <v>1</v>
      </c>
      <c r="X340" s="8">
        <v>0</v>
      </c>
      <c r="Y340" s="8">
        <v>0</v>
      </c>
      <c r="Z340" s="8">
        <v>1</v>
      </c>
      <c r="AA340" s="11">
        <v>0.0455</v>
      </c>
      <c r="AB340" s="11">
        <v>0</v>
      </c>
      <c r="AC340" s="11">
        <v>0</v>
      </c>
      <c r="AD340" s="11">
        <v>1</v>
      </c>
    </row>
    <row r="341" customFormat="1" ht="22" customHeight="1" spans="1:30">
      <c r="A341" s="8" t="s">
        <v>31</v>
      </c>
      <c r="B341" s="8" t="str">
        <f>VLOOKUP(E341,[1]Sheet1!$C:$E,2,FALSE)</f>
        <v>刘欢</v>
      </c>
      <c r="C341" s="8" t="str">
        <f>VLOOKUP(E341,[1]Sheet1!$C:$E,3,FALSE)</f>
        <v>C</v>
      </c>
      <c r="D341" s="12" t="s">
        <v>370</v>
      </c>
      <c r="E341" s="13">
        <v>1303952574</v>
      </c>
      <c r="F341" s="12">
        <v>4.7</v>
      </c>
      <c r="G341" s="8">
        <v>30</v>
      </c>
      <c r="H341" s="8">
        <v>419.77</v>
      </c>
      <c r="I341" s="8">
        <v>18.07</v>
      </c>
      <c r="J341" s="8">
        <v>13.99</v>
      </c>
      <c r="K341" s="8">
        <v>1598</v>
      </c>
      <c r="L341" s="11">
        <v>0.069</v>
      </c>
      <c r="M341" s="11">
        <v>0.255</v>
      </c>
      <c r="N341" s="11">
        <v>0.0176</v>
      </c>
      <c r="O341" s="8">
        <v>1358</v>
      </c>
      <c r="P341" s="8">
        <v>240</v>
      </c>
      <c r="Q341" s="8">
        <v>12</v>
      </c>
      <c r="R341" s="11">
        <v>0.059</v>
      </c>
      <c r="S341" s="11">
        <v>0.125</v>
      </c>
      <c r="T341" s="11">
        <v>0.2</v>
      </c>
      <c r="U341" s="11">
        <v>0.4</v>
      </c>
      <c r="V341" s="11">
        <v>0.22</v>
      </c>
      <c r="W341" s="8">
        <v>2</v>
      </c>
      <c r="X341" s="8">
        <v>1</v>
      </c>
      <c r="Y341" s="8">
        <v>1</v>
      </c>
      <c r="Z341" s="8">
        <v>0</v>
      </c>
      <c r="AA341" s="11">
        <v>0.0667</v>
      </c>
      <c r="AB341" s="11">
        <v>0.5</v>
      </c>
      <c r="AC341" s="11">
        <v>0.5</v>
      </c>
      <c r="AD341" s="11">
        <v>0</v>
      </c>
    </row>
    <row r="342" customFormat="1" ht="22" customHeight="1" spans="1:30">
      <c r="A342" s="8" t="s">
        <v>31</v>
      </c>
      <c r="B342" s="8" t="str">
        <f>VLOOKUP(E342,[1]Sheet1!$C:$E,2,FALSE)</f>
        <v>岳贝贝</v>
      </c>
      <c r="C342" s="9" t="str">
        <f>VLOOKUP(E342,[1]Sheet1!$C:$E,3,FALSE)</f>
        <v>A</v>
      </c>
      <c r="D342" s="8" t="s">
        <v>371</v>
      </c>
      <c r="E342" s="10">
        <v>528920139</v>
      </c>
      <c r="F342" s="8">
        <v>4.8</v>
      </c>
      <c r="G342" s="8">
        <v>19</v>
      </c>
      <c r="H342" s="8">
        <v>416.48</v>
      </c>
      <c r="I342" s="8">
        <v>0</v>
      </c>
      <c r="J342" s="8">
        <v>21.92</v>
      </c>
      <c r="K342" s="8">
        <v>2251</v>
      </c>
      <c r="L342" s="11">
        <v>0.058</v>
      </c>
      <c r="M342" s="11">
        <v>0.154</v>
      </c>
      <c r="N342" s="11">
        <v>0.0089</v>
      </c>
      <c r="O342" s="8">
        <v>0</v>
      </c>
      <c r="P342" s="8">
        <v>0</v>
      </c>
      <c r="Q342" s="8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0.133</v>
      </c>
      <c r="W342" s="8">
        <v>0</v>
      </c>
      <c r="X342" s="8">
        <v>0</v>
      </c>
      <c r="Y342" s="8">
        <v>0</v>
      </c>
      <c r="Z342" s="8">
        <v>0</v>
      </c>
      <c r="AA342" s="11">
        <v>0</v>
      </c>
      <c r="AB342" s="11">
        <v>0</v>
      </c>
      <c r="AC342" s="11">
        <v>0</v>
      </c>
      <c r="AD342" s="11">
        <v>0</v>
      </c>
    </row>
    <row r="343" customFormat="1" ht="22" customHeight="1" spans="1:30">
      <c r="A343" s="8" t="s">
        <v>31</v>
      </c>
      <c r="B343" s="8" t="str">
        <f>VLOOKUP(E343,[1]Sheet1!$C:$E,2,FALSE)</f>
        <v>刘欢</v>
      </c>
      <c r="C343" s="9" t="str">
        <f>VLOOKUP(E343,[1]Sheet1!$C:$E,3,FALSE)</f>
        <v>A</v>
      </c>
      <c r="D343" s="12" t="s">
        <v>372</v>
      </c>
      <c r="E343" s="13">
        <v>1334380066</v>
      </c>
      <c r="F343" s="12">
        <v>4.7</v>
      </c>
      <c r="G343" s="8">
        <v>25</v>
      </c>
      <c r="H343" s="8">
        <v>415.74</v>
      </c>
      <c r="I343" s="8">
        <v>22.85</v>
      </c>
      <c r="J343" s="8">
        <v>16.63</v>
      </c>
      <c r="K343" s="8">
        <v>1582</v>
      </c>
      <c r="L343" s="11">
        <v>0.051</v>
      </c>
      <c r="M343" s="11">
        <v>0.3</v>
      </c>
      <c r="N343" s="11">
        <v>0.0153</v>
      </c>
      <c r="O343" s="8">
        <v>1348</v>
      </c>
      <c r="P343" s="8">
        <v>234</v>
      </c>
      <c r="Q343" s="8">
        <v>13</v>
      </c>
      <c r="R343" s="11">
        <v>0.033</v>
      </c>
      <c r="S343" s="11">
        <v>0.154</v>
      </c>
      <c r="T343" s="11">
        <v>0.25</v>
      </c>
      <c r="U343" s="11">
        <v>0.361</v>
      </c>
      <c r="V343" s="11">
        <v>0.239</v>
      </c>
      <c r="W343" s="8">
        <v>2</v>
      </c>
      <c r="X343" s="8">
        <v>2</v>
      </c>
      <c r="Y343" s="8">
        <v>0</v>
      </c>
      <c r="Z343" s="8">
        <v>0</v>
      </c>
      <c r="AA343" s="11">
        <v>0.08</v>
      </c>
      <c r="AB343" s="11">
        <v>1</v>
      </c>
      <c r="AC343" s="11">
        <v>0</v>
      </c>
      <c r="AD343" s="11">
        <v>0</v>
      </c>
    </row>
    <row r="344" customFormat="1" ht="22" customHeight="1" spans="1:30">
      <c r="A344" s="8" t="s">
        <v>31</v>
      </c>
      <c r="B344" s="8" t="str">
        <f>VLOOKUP(E344,[1]Sheet1!$C:$E,2,FALSE)</f>
        <v>徐从众</v>
      </c>
      <c r="C344" s="8" t="str">
        <f>VLOOKUP(E344,[1]Sheet1!$C:$E,3,FALSE)</f>
        <v>B</v>
      </c>
      <c r="D344" s="8" t="s">
        <v>373</v>
      </c>
      <c r="E344" s="10">
        <v>539180933</v>
      </c>
      <c r="F344" s="8">
        <v>5</v>
      </c>
      <c r="G344" s="8">
        <v>23</v>
      </c>
      <c r="H344" s="8">
        <v>412.73</v>
      </c>
      <c r="I344" s="8">
        <v>27.36</v>
      </c>
      <c r="J344" s="8">
        <v>17.94</v>
      </c>
      <c r="K344" s="8">
        <v>1326</v>
      </c>
      <c r="L344" s="11">
        <v>0.055</v>
      </c>
      <c r="M344" s="11">
        <v>0.315</v>
      </c>
      <c r="N344" s="11">
        <v>0.0173</v>
      </c>
      <c r="O344" s="8">
        <v>1137</v>
      </c>
      <c r="P344" s="8">
        <v>189</v>
      </c>
      <c r="Q344" s="8">
        <v>12</v>
      </c>
      <c r="R344" s="11">
        <v>0.047</v>
      </c>
      <c r="S344" s="11">
        <v>0.101</v>
      </c>
      <c r="T344" s="11">
        <v>0.204</v>
      </c>
      <c r="U344" s="11">
        <v>0.632</v>
      </c>
      <c r="V344" s="11">
        <v>0.304</v>
      </c>
      <c r="W344" s="8">
        <v>1</v>
      </c>
      <c r="X344" s="8">
        <v>1</v>
      </c>
      <c r="Y344" s="8">
        <v>0</v>
      </c>
      <c r="Z344" s="8">
        <v>0</v>
      </c>
      <c r="AA344" s="11">
        <v>0.0435</v>
      </c>
      <c r="AB344" s="11">
        <v>1</v>
      </c>
      <c r="AC344" s="11">
        <v>0</v>
      </c>
      <c r="AD344" s="11">
        <v>0</v>
      </c>
    </row>
    <row r="345" customFormat="1" ht="22" customHeight="1" spans="1:30">
      <c r="A345" s="8" t="s">
        <v>31</v>
      </c>
      <c r="B345" s="8" t="str">
        <f>VLOOKUP(E345,[1]Sheet1!$C:$E,2,FALSE)</f>
        <v>徐从众</v>
      </c>
      <c r="C345" s="8" t="str">
        <f>VLOOKUP(E345,[1]Sheet1!$C:$E,3,FALSE)</f>
        <v>B</v>
      </c>
      <c r="D345" s="12" t="s">
        <v>374</v>
      </c>
      <c r="E345" s="13">
        <v>1335020956</v>
      </c>
      <c r="F345" s="12">
        <v>4.6</v>
      </c>
      <c r="G345" s="8">
        <v>17</v>
      </c>
      <c r="H345" s="8">
        <v>412.72</v>
      </c>
      <c r="I345" s="8">
        <v>31.48</v>
      </c>
      <c r="J345" s="8">
        <v>24.28</v>
      </c>
      <c r="K345" s="8">
        <v>1107</v>
      </c>
      <c r="L345" s="11">
        <v>0.068</v>
      </c>
      <c r="M345" s="11">
        <v>0.227</v>
      </c>
      <c r="N345" s="11">
        <v>0.0154</v>
      </c>
      <c r="O345" s="8">
        <v>981</v>
      </c>
      <c r="P345" s="8">
        <v>126</v>
      </c>
      <c r="Q345" s="8">
        <v>8</v>
      </c>
      <c r="R345" s="11">
        <v>0.057</v>
      </c>
      <c r="S345" s="11">
        <v>0.151</v>
      </c>
      <c r="T345" s="11">
        <v>0.161</v>
      </c>
      <c r="U345" s="11">
        <v>0.421</v>
      </c>
      <c r="V345" s="11">
        <v>0.205</v>
      </c>
      <c r="W345" s="8">
        <v>2</v>
      </c>
      <c r="X345" s="8">
        <v>2</v>
      </c>
      <c r="Y345" s="8">
        <v>0</v>
      </c>
      <c r="Z345" s="8">
        <v>0</v>
      </c>
      <c r="AA345" s="11">
        <v>0.1176</v>
      </c>
      <c r="AB345" s="11">
        <v>1</v>
      </c>
      <c r="AC345" s="11">
        <v>0</v>
      </c>
      <c r="AD345" s="11">
        <v>0</v>
      </c>
    </row>
    <row r="346" customFormat="1" ht="22" customHeight="1" spans="1:30">
      <c r="A346" s="8" t="s">
        <v>31</v>
      </c>
      <c r="B346" s="8" t="str">
        <f>VLOOKUP(E346,[1]Sheet1!$C:$E,2,FALSE)</f>
        <v>刘欢</v>
      </c>
      <c r="C346" s="8">
        <f>VLOOKUP(E346,[1]Sheet1!$C:$E,3,FALSE)</f>
        <v>0</v>
      </c>
      <c r="D346" s="8" t="s">
        <v>375</v>
      </c>
      <c r="E346" s="10">
        <v>543327957</v>
      </c>
      <c r="F346" s="8">
        <v>4.8</v>
      </c>
      <c r="G346" s="8">
        <v>30</v>
      </c>
      <c r="H346" s="8">
        <v>410.15</v>
      </c>
      <c r="I346" s="8">
        <v>19.6</v>
      </c>
      <c r="J346" s="8">
        <v>13.67</v>
      </c>
      <c r="K346" s="8">
        <v>1347</v>
      </c>
      <c r="L346" s="11">
        <v>0.082</v>
      </c>
      <c r="M346" s="11">
        <v>0.255</v>
      </c>
      <c r="N346" s="11">
        <v>0.0209</v>
      </c>
      <c r="O346" s="8">
        <v>1179</v>
      </c>
      <c r="P346" s="8">
        <v>168</v>
      </c>
      <c r="Q346" s="8">
        <v>16</v>
      </c>
      <c r="R346" s="11">
        <v>0.062</v>
      </c>
      <c r="S346" s="11">
        <v>0.22</v>
      </c>
      <c r="T346" s="11">
        <v>0.164</v>
      </c>
      <c r="U346" s="11">
        <v>0.432</v>
      </c>
      <c r="V346" s="11">
        <v>0.249</v>
      </c>
      <c r="W346" s="8">
        <v>1</v>
      </c>
      <c r="X346" s="8">
        <v>1</v>
      </c>
      <c r="Y346" s="8">
        <v>0</v>
      </c>
      <c r="Z346" s="8">
        <v>0</v>
      </c>
      <c r="AA346" s="11">
        <v>0.0333</v>
      </c>
      <c r="AB346" s="11">
        <v>1</v>
      </c>
      <c r="AC346" s="11">
        <v>0</v>
      </c>
      <c r="AD346" s="11">
        <v>0</v>
      </c>
    </row>
    <row r="347" customFormat="1" ht="22" customHeight="1" spans="1:30">
      <c r="A347" s="8" t="s">
        <v>31</v>
      </c>
      <c r="B347" s="8" t="str">
        <f>VLOOKUP(E347,[1]Sheet1!$C:$E,2,FALSE)</f>
        <v>徐从众</v>
      </c>
      <c r="C347" s="8" t="str">
        <f>VLOOKUP(E347,[1]Sheet1!$C:$E,3,FALSE)</f>
        <v>C</v>
      </c>
      <c r="D347" s="8" t="s">
        <v>376</v>
      </c>
      <c r="E347" s="10">
        <v>161948540</v>
      </c>
      <c r="F347" s="8">
        <v>4.8</v>
      </c>
      <c r="G347" s="8">
        <v>10</v>
      </c>
      <c r="H347" s="8">
        <v>403.18</v>
      </c>
      <c r="I347" s="8">
        <v>0</v>
      </c>
      <c r="J347" s="8">
        <v>40.32</v>
      </c>
      <c r="K347" s="8">
        <v>673</v>
      </c>
      <c r="L347" s="11">
        <v>0.082</v>
      </c>
      <c r="M347" s="11">
        <v>0.182</v>
      </c>
      <c r="N347" s="11">
        <v>0.0149</v>
      </c>
      <c r="O347" s="8">
        <v>0</v>
      </c>
      <c r="P347" s="8">
        <v>0</v>
      </c>
      <c r="Q347" s="8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0.149</v>
      </c>
      <c r="W347" s="8">
        <v>2</v>
      </c>
      <c r="X347" s="8">
        <v>2</v>
      </c>
      <c r="Y347" s="8">
        <v>0</v>
      </c>
      <c r="Z347" s="8">
        <v>0</v>
      </c>
      <c r="AA347" s="11">
        <v>0.2</v>
      </c>
      <c r="AB347" s="11">
        <v>1</v>
      </c>
      <c r="AC347" s="11">
        <v>0</v>
      </c>
      <c r="AD347" s="11">
        <v>0</v>
      </c>
    </row>
    <row r="348" customFormat="1" ht="22" customHeight="1" spans="1:30">
      <c r="A348" s="8" t="s">
        <v>31</v>
      </c>
      <c r="B348" s="8" t="e">
        <f>VLOOKUP(E348,[1]Sheet1!$C:$E,2,FALSE)</f>
        <v>#N/A</v>
      </c>
      <c r="C348" s="8" t="e">
        <f>VLOOKUP(E348,[1]Sheet1!$C:$E,3,FALSE)</f>
        <v>#N/A</v>
      </c>
      <c r="D348" s="12" t="s">
        <v>377</v>
      </c>
      <c r="E348" s="13">
        <v>2139546192</v>
      </c>
      <c r="F348" s="12">
        <v>4.4</v>
      </c>
      <c r="G348" s="8">
        <v>32</v>
      </c>
      <c r="H348" s="8">
        <v>402.24</v>
      </c>
      <c r="I348" s="8">
        <v>16.56</v>
      </c>
      <c r="J348" s="8">
        <v>12.57</v>
      </c>
      <c r="K348" s="8">
        <v>4429</v>
      </c>
      <c r="L348" s="11">
        <v>0.04</v>
      </c>
      <c r="M348" s="11">
        <v>0.18</v>
      </c>
      <c r="N348" s="11">
        <v>0.0072</v>
      </c>
      <c r="O348" s="8">
        <v>4094</v>
      </c>
      <c r="P348" s="8">
        <v>335</v>
      </c>
      <c r="Q348" s="8">
        <v>10</v>
      </c>
      <c r="R348" s="11">
        <v>0.037</v>
      </c>
      <c r="S348" s="11">
        <v>0.084</v>
      </c>
      <c r="T348" s="11">
        <v>0.147</v>
      </c>
      <c r="U348" s="11">
        <v>0.357</v>
      </c>
      <c r="V348" s="11">
        <v>0.118</v>
      </c>
      <c r="W348" s="8">
        <v>1</v>
      </c>
      <c r="X348" s="8">
        <v>1</v>
      </c>
      <c r="Y348" s="8">
        <v>0</v>
      </c>
      <c r="Z348" s="8">
        <v>0</v>
      </c>
      <c r="AA348" s="11">
        <v>0.0313</v>
      </c>
      <c r="AB348" s="11">
        <v>1</v>
      </c>
      <c r="AC348" s="11">
        <v>0</v>
      </c>
      <c r="AD348" s="11">
        <v>0</v>
      </c>
    </row>
    <row r="349" customFormat="1" ht="22" customHeight="1" spans="1:30">
      <c r="A349" s="8" t="s">
        <v>31</v>
      </c>
      <c r="B349" s="8" t="str">
        <f>VLOOKUP(E349,[1]Sheet1!$C:$E,2,FALSE)</f>
        <v>刘欢</v>
      </c>
      <c r="C349" s="8" t="str">
        <f>VLOOKUP(E349,[1]Sheet1!$C:$E,3,FALSE)</f>
        <v>C</v>
      </c>
      <c r="D349" s="12" t="s">
        <v>378</v>
      </c>
      <c r="E349" s="13">
        <v>537981802</v>
      </c>
      <c r="F349" s="12">
        <v>4.4</v>
      </c>
      <c r="G349" s="8">
        <v>33</v>
      </c>
      <c r="H349" s="8">
        <v>395.52</v>
      </c>
      <c r="I349" s="8">
        <v>16.98</v>
      </c>
      <c r="J349" s="8">
        <v>11.99</v>
      </c>
      <c r="K349" s="8">
        <v>1333</v>
      </c>
      <c r="L349" s="11">
        <v>0.055</v>
      </c>
      <c r="M349" s="11">
        <v>0.425</v>
      </c>
      <c r="N349" s="11">
        <v>0.0234</v>
      </c>
      <c r="O349" s="8">
        <v>1116</v>
      </c>
      <c r="P349" s="8">
        <v>217</v>
      </c>
      <c r="Q349" s="8">
        <v>15</v>
      </c>
      <c r="R349" s="11">
        <v>0.039</v>
      </c>
      <c r="S349" s="11">
        <v>0.138</v>
      </c>
      <c r="T349" s="11">
        <v>0.372</v>
      </c>
      <c r="U349" s="11">
        <v>0.5</v>
      </c>
      <c r="V349" s="11">
        <v>0.203</v>
      </c>
      <c r="W349" s="8">
        <v>1</v>
      </c>
      <c r="X349" s="8">
        <v>1</v>
      </c>
      <c r="Y349" s="8">
        <v>0</v>
      </c>
      <c r="Z349" s="8">
        <v>0</v>
      </c>
      <c r="AA349" s="11">
        <v>0.0303</v>
      </c>
      <c r="AB349" s="11">
        <v>1</v>
      </c>
      <c r="AC349" s="11">
        <v>0</v>
      </c>
      <c r="AD349" s="11">
        <v>0</v>
      </c>
    </row>
    <row r="350" customFormat="1" ht="22" customHeight="1" spans="1:30">
      <c r="A350" s="8" t="s">
        <v>31</v>
      </c>
      <c r="B350" s="8" t="e">
        <f>VLOOKUP(E350,[1]Sheet1!$C:$E,2,FALSE)</f>
        <v>#N/A</v>
      </c>
      <c r="C350" s="8" t="e">
        <f>VLOOKUP(E350,[1]Sheet1!$C:$E,3,FALSE)</f>
        <v>#N/A</v>
      </c>
      <c r="D350" s="12" t="s">
        <v>379</v>
      </c>
      <c r="E350" s="13">
        <v>536156195</v>
      </c>
      <c r="F350" s="12">
        <v>4.6</v>
      </c>
      <c r="G350" s="8">
        <v>18</v>
      </c>
      <c r="H350" s="8">
        <v>393.67</v>
      </c>
      <c r="I350" s="8">
        <v>32.41</v>
      </c>
      <c r="J350" s="8">
        <v>21.87</v>
      </c>
      <c r="K350" s="8">
        <v>1711</v>
      </c>
      <c r="L350" s="11">
        <v>0.064</v>
      </c>
      <c r="M350" s="11">
        <v>0.164</v>
      </c>
      <c r="N350" s="11">
        <v>0.0105</v>
      </c>
      <c r="O350" s="8">
        <v>1402</v>
      </c>
      <c r="P350" s="8">
        <v>309</v>
      </c>
      <c r="Q350" s="8">
        <v>10</v>
      </c>
      <c r="R350" s="11">
        <v>0.051</v>
      </c>
      <c r="S350" s="11">
        <v>0.126</v>
      </c>
      <c r="T350" s="11">
        <v>0.113</v>
      </c>
      <c r="U350" s="11">
        <v>0.256</v>
      </c>
      <c r="V350" s="11">
        <v>0.169</v>
      </c>
      <c r="W350" s="8">
        <v>1</v>
      </c>
      <c r="X350" s="8">
        <v>1</v>
      </c>
      <c r="Y350" s="8">
        <v>0</v>
      </c>
      <c r="Z350" s="8">
        <v>0</v>
      </c>
      <c r="AA350" s="11">
        <v>0.0556</v>
      </c>
      <c r="AB350" s="11">
        <v>1</v>
      </c>
      <c r="AC350" s="11">
        <v>0</v>
      </c>
      <c r="AD350" s="11">
        <v>0</v>
      </c>
    </row>
    <row r="351" customFormat="1" ht="22" customHeight="1" spans="1:30">
      <c r="A351" s="8" t="s">
        <v>31</v>
      </c>
      <c r="B351" s="8" t="e">
        <f>VLOOKUP(E351,[1]Sheet1!$C:$E,2,FALSE)</f>
        <v>#N/A</v>
      </c>
      <c r="C351" s="8" t="e">
        <f>VLOOKUP(E351,[1]Sheet1!$C:$E,3,FALSE)</f>
        <v>#N/A</v>
      </c>
      <c r="D351" s="12" t="s">
        <v>380</v>
      </c>
      <c r="E351" s="13">
        <v>1213085033</v>
      </c>
      <c r="F351" s="12">
        <v>4.5</v>
      </c>
      <c r="G351" s="8">
        <v>16</v>
      </c>
      <c r="H351" s="8">
        <v>393.53</v>
      </c>
      <c r="I351" s="8">
        <v>0</v>
      </c>
      <c r="J351" s="8">
        <v>24.6</v>
      </c>
      <c r="K351" s="8">
        <v>820</v>
      </c>
      <c r="L351" s="11">
        <v>0.11</v>
      </c>
      <c r="M351" s="11">
        <v>0.178</v>
      </c>
      <c r="N351" s="11">
        <v>0.0196</v>
      </c>
      <c r="O351" s="8">
        <v>0</v>
      </c>
      <c r="P351" s="8">
        <v>0</v>
      </c>
      <c r="Q351" s="8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0.171</v>
      </c>
      <c r="W351" s="8">
        <v>0</v>
      </c>
      <c r="X351" s="8">
        <v>0</v>
      </c>
      <c r="Y351" s="8">
        <v>0</v>
      </c>
      <c r="Z351" s="8">
        <v>0</v>
      </c>
      <c r="AA351" s="11">
        <v>0</v>
      </c>
      <c r="AB351" s="11">
        <v>0</v>
      </c>
      <c r="AC351" s="11">
        <v>0</v>
      </c>
      <c r="AD351" s="11">
        <v>0</v>
      </c>
    </row>
    <row r="352" customFormat="1" ht="22" customHeight="1" spans="1:30">
      <c r="A352" s="8" t="s">
        <v>31</v>
      </c>
      <c r="B352" s="8" t="e">
        <f>VLOOKUP(E352,[1]Sheet1!$C:$E,2,FALSE)</f>
        <v>#N/A</v>
      </c>
      <c r="C352" s="8" t="e">
        <f>VLOOKUP(E352,[1]Sheet1!$C:$E,3,FALSE)</f>
        <v>#N/A</v>
      </c>
      <c r="D352" s="12" t="s">
        <v>381</v>
      </c>
      <c r="E352" s="13">
        <v>542775764</v>
      </c>
      <c r="F352" s="12">
        <v>4.5</v>
      </c>
      <c r="G352" s="8">
        <v>13</v>
      </c>
      <c r="H352" s="8">
        <v>393.38</v>
      </c>
      <c r="I352" s="8">
        <v>39.45</v>
      </c>
      <c r="J352" s="8">
        <v>30.26</v>
      </c>
      <c r="K352" s="8">
        <v>1777</v>
      </c>
      <c r="L352" s="11">
        <v>0.069</v>
      </c>
      <c r="M352" s="11">
        <v>0.106</v>
      </c>
      <c r="N352" s="11">
        <v>0.0073</v>
      </c>
      <c r="O352" s="8">
        <v>1538</v>
      </c>
      <c r="P352" s="8">
        <v>239</v>
      </c>
      <c r="Q352" s="8">
        <v>9</v>
      </c>
      <c r="R352" s="11">
        <v>0.052</v>
      </c>
      <c r="S352" s="11">
        <v>0.18</v>
      </c>
      <c r="T352" s="11">
        <v>0.05</v>
      </c>
      <c r="U352" s="11">
        <v>0.209</v>
      </c>
      <c r="V352" s="11">
        <v>0.254</v>
      </c>
      <c r="W352" s="8">
        <v>0</v>
      </c>
      <c r="X352" s="8">
        <v>0</v>
      </c>
      <c r="Y352" s="8">
        <v>0</v>
      </c>
      <c r="Z352" s="8">
        <v>0</v>
      </c>
      <c r="AA352" s="11">
        <v>0</v>
      </c>
      <c r="AB352" s="11">
        <v>0</v>
      </c>
      <c r="AC352" s="11">
        <v>0</v>
      </c>
      <c r="AD352" s="11">
        <v>0</v>
      </c>
    </row>
    <row r="353" customFormat="1" ht="22" customHeight="1" spans="1:30">
      <c r="A353" s="8" t="s">
        <v>31</v>
      </c>
      <c r="B353" s="8" t="str">
        <f>VLOOKUP(E353,[1]Sheet1!$C:$E,2,FALSE)</f>
        <v>岳贝贝</v>
      </c>
      <c r="C353" s="8" t="str">
        <f>VLOOKUP(E353,[1]Sheet1!$C:$E,3,FALSE)</f>
        <v>C</v>
      </c>
      <c r="D353" s="12" t="s">
        <v>382</v>
      </c>
      <c r="E353" s="13">
        <v>543546726</v>
      </c>
      <c r="F353" s="12">
        <v>4.6</v>
      </c>
      <c r="G353" s="8">
        <v>32</v>
      </c>
      <c r="H353" s="8">
        <v>391.7</v>
      </c>
      <c r="I353" s="8">
        <v>19.95</v>
      </c>
      <c r="J353" s="8">
        <v>12.24</v>
      </c>
      <c r="K353" s="8">
        <v>2327</v>
      </c>
      <c r="L353" s="11">
        <v>0.064</v>
      </c>
      <c r="M353" s="11">
        <v>0.216</v>
      </c>
      <c r="N353" s="11">
        <v>0.0138</v>
      </c>
      <c r="O353" s="8">
        <v>2021</v>
      </c>
      <c r="P353" s="8">
        <v>306</v>
      </c>
      <c r="Q353" s="8">
        <v>14</v>
      </c>
      <c r="R353" s="11">
        <v>0.058</v>
      </c>
      <c r="S353" s="11">
        <v>0.101</v>
      </c>
      <c r="T353" s="11">
        <v>0.154</v>
      </c>
      <c r="U353" s="11">
        <v>0.452</v>
      </c>
      <c r="V353" s="11">
        <v>0.182</v>
      </c>
      <c r="W353" s="8">
        <v>4</v>
      </c>
      <c r="X353" s="8">
        <v>4</v>
      </c>
      <c r="Y353" s="8">
        <v>0</v>
      </c>
      <c r="Z353" s="8">
        <v>0</v>
      </c>
      <c r="AA353" s="11">
        <v>0.125</v>
      </c>
      <c r="AB353" s="11">
        <v>1</v>
      </c>
      <c r="AC353" s="11">
        <v>0</v>
      </c>
      <c r="AD353" s="11">
        <v>0</v>
      </c>
    </row>
    <row r="354" customFormat="1" ht="22" customHeight="1" spans="1:30">
      <c r="A354" s="8" t="s">
        <v>31</v>
      </c>
      <c r="B354" s="8" t="str">
        <f>VLOOKUP(E354,[1]Sheet1!$C:$E,2,FALSE)</f>
        <v>岳贝贝</v>
      </c>
      <c r="C354" s="8" t="str">
        <f>VLOOKUP(E354,[1]Sheet1!$C:$E,3,FALSE)</f>
        <v>B</v>
      </c>
      <c r="D354" s="12" t="s">
        <v>383</v>
      </c>
      <c r="E354" s="13">
        <v>543925649</v>
      </c>
      <c r="F354" s="12">
        <v>4.7</v>
      </c>
      <c r="G354" s="8">
        <v>19</v>
      </c>
      <c r="H354" s="8">
        <v>390.63</v>
      </c>
      <c r="I354" s="8">
        <v>0</v>
      </c>
      <c r="J354" s="8">
        <v>20.56</v>
      </c>
      <c r="K354" s="8">
        <v>2308</v>
      </c>
      <c r="L354" s="11">
        <v>0.055</v>
      </c>
      <c r="M354" s="11">
        <v>0.15</v>
      </c>
      <c r="N354" s="11">
        <v>0.0083</v>
      </c>
      <c r="O354" s="8">
        <v>0</v>
      </c>
      <c r="P354" s="8">
        <v>0</v>
      </c>
      <c r="Q354" s="8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0.154</v>
      </c>
      <c r="W354" s="8">
        <v>2</v>
      </c>
      <c r="X354" s="8">
        <v>1</v>
      </c>
      <c r="Y354" s="8">
        <v>0</v>
      </c>
      <c r="Z354" s="8">
        <v>1</v>
      </c>
      <c r="AA354" s="11">
        <v>0.1053</v>
      </c>
      <c r="AB354" s="11">
        <v>0.5</v>
      </c>
      <c r="AC354" s="11">
        <v>0</v>
      </c>
      <c r="AD354" s="11">
        <v>0.5</v>
      </c>
    </row>
    <row r="355" customFormat="1" ht="22" customHeight="1" spans="1:30">
      <c r="A355" s="8" t="s">
        <v>31</v>
      </c>
      <c r="B355" s="8" t="str">
        <f>VLOOKUP(E355,[1]Sheet1!$C:$E,2,FALSE)</f>
        <v>岳贝贝</v>
      </c>
      <c r="C355" s="8" t="str">
        <f>VLOOKUP(E355,[1]Sheet1!$C:$E,3,FALSE)</f>
        <v>D</v>
      </c>
      <c r="D355" s="12" t="s">
        <v>384</v>
      </c>
      <c r="E355" s="13">
        <v>2135174482</v>
      </c>
      <c r="F355" s="12">
        <v>4.4</v>
      </c>
      <c r="G355" s="8">
        <v>21</v>
      </c>
      <c r="H355" s="8">
        <v>390.22</v>
      </c>
      <c r="I355" s="8">
        <v>24.38</v>
      </c>
      <c r="J355" s="8">
        <v>18.58</v>
      </c>
      <c r="K355" s="8">
        <v>2556</v>
      </c>
      <c r="L355" s="11">
        <v>0.057</v>
      </c>
      <c r="M355" s="11">
        <v>0.144</v>
      </c>
      <c r="N355" s="11">
        <v>0.0082</v>
      </c>
      <c r="O355" s="8">
        <v>2343</v>
      </c>
      <c r="P355" s="8">
        <v>213</v>
      </c>
      <c r="Q355" s="8">
        <v>11</v>
      </c>
      <c r="R355" s="11">
        <v>0.049</v>
      </c>
      <c r="S355" s="11">
        <v>0.15</v>
      </c>
      <c r="T355" s="11">
        <v>0.088</v>
      </c>
      <c r="U355" s="11">
        <v>0.344</v>
      </c>
      <c r="V355" s="11">
        <v>0.191</v>
      </c>
      <c r="W355" s="8">
        <v>0</v>
      </c>
      <c r="X355" s="8">
        <v>0</v>
      </c>
      <c r="Y355" s="8">
        <v>0</v>
      </c>
      <c r="Z355" s="8">
        <v>0</v>
      </c>
      <c r="AA355" s="11">
        <v>0</v>
      </c>
      <c r="AB355" s="11">
        <v>0</v>
      </c>
      <c r="AC355" s="11">
        <v>0</v>
      </c>
      <c r="AD355" s="11">
        <v>0</v>
      </c>
    </row>
    <row r="356" customFormat="1" ht="22" customHeight="1" spans="1:30">
      <c r="A356" s="8" t="s">
        <v>31</v>
      </c>
      <c r="B356" s="8" t="e">
        <f>VLOOKUP(E356,[1]Sheet1!$C:$E,2,FALSE)</f>
        <v>#N/A</v>
      </c>
      <c r="C356" s="8" t="e">
        <f>VLOOKUP(E356,[1]Sheet1!$C:$E,3,FALSE)</f>
        <v>#N/A</v>
      </c>
      <c r="D356" s="8" t="s">
        <v>385</v>
      </c>
      <c r="E356" s="10">
        <v>1335005048</v>
      </c>
      <c r="F356" s="8">
        <v>4.9</v>
      </c>
      <c r="G356" s="8">
        <v>8</v>
      </c>
      <c r="H356" s="8">
        <v>387.7</v>
      </c>
      <c r="I356" s="8">
        <v>61.16</v>
      </c>
      <c r="J356" s="8">
        <v>48.46</v>
      </c>
      <c r="K356" s="8">
        <v>775</v>
      </c>
      <c r="L356" s="11">
        <v>0.083</v>
      </c>
      <c r="M356" s="11">
        <v>0.125</v>
      </c>
      <c r="N356" s="11">
        <v>0.0104</v>
      </c>
      <c r="O356" s="8">
        <v>725</v>
      </c>
      <c r="P356" s="8">
        <v>50</v>
      </c>
      <c r="Q356" s="8">
        <v>3</v>
      </c>
      <c r="R356" s="11">
        <v>0.074</v>
      </c>
      <c r="S356" s="11">
        <v>0.2</v>
      </c>
      <c r="T356" s="11">
        <v>0.093</v>
      </c>
      <c r="U356" s="11">
        <v>0.3</v>
      </c>
      <c r="V356" s="11">
        <v>0.169</v>
      </c>
      <c r="W356" s="8">
        <v>0</v>
      </c>
      <c r="X356" s="8">
        <v>0</v>
      </c>
      <c r="Y356" s="8">
        <v>0</v>
      </c>
      <c r="Z356" s="8">
        <v>0</v>
      </c>
      <c r="AA356" s="11">
        <v>0</v>
      </c>
      <c r="AB356" s="11">
        <v>0</v>
      </c>
      <c r="AC356" s="11">
        <v>0</v>
      </c>
      <c r="AD356" s="11">
        <v>0</v>
      </c>
    </row>
    <row r="357" customFormat="1" ht="22" customHeight="1" spans="1:30">
      <c r="A357" s="8" t="s">
        <v>31</v>
      </c>
      <c r="B357" s="8" t="str">
        <f>VLOOKUP(E357,[1]Sheet1!$C:$E,2,FALSE)</f>
        <v>王森</v>
      </c>
      <c r="C357" s="8" t="str">
        <f>VLOOKUP(E357,[1]Sheet1!$C:$E,3,FALSE)</f>
        <v>B</v>
      </c>
      <c r="D357" s="8" t="s">
        <v>386</v>
      </c>
      <c r="E357" s="10">
        <v>1197726653</v>
      </c>
      <c r="F357" s="8">
        <v>4.8</v>
      </c>
      <c r="G357" s="8">
        <v>15</v>
      </c>
      <c r="H357" s="8">
        <v>385.02</v>
      </c>
      <c r="I357" s="8">
        <v>34.59</v>
      </c>
      <c r="J357" s="8">
        <v>25.67</v>
      </c>
      <c r="K357" s="8">
        <v>1009</v>
      </c>
      <c r="L357" s="11">
        <v>0.068</v>
      </c>
      <c r="M357" s="11">
        <v>0.217</v>
      </c>
      <c r="N357" s="11">
        <v>0.0148</v>
      </c>
      <c r="O357" s="8">
        <v>876</v>
      </c>
      <c r="P357" s="8">
        <v>133</v>
      </c>
      <c r="Q357" s="8">
        <v>9</v>
      </c>
      <c r="R357" s="11">
        <v>0.049</v>
      </c>
      <c r="S357" s="11">
        <v>0.195</v>
      </c>
      <c r="T357" s="11">
        <v>0.14</v>
      </c>
      <c r="U357" s="11">
        <v>0.346</v>
      </c>
      <c r="V357" s="11">
        <v>0.325</v>
      </c>
      <c r="W357" s="8">
        <v>0</v>
      </c>
      <c r="X357" s="8">
        <v>0</v>
      </c>
      <c r="Y357" s="8">
        <v>0</v>
      </c>
      <c r="Z357" s="8">
        <v>0</v>
      </c>
      <c r="AA357" s="11">
        <v>0</v>
      </c>
      <c r="AB357" s="11">
        <v>0</v>
      </c>
      <c r="AC357" s="11">
        <v>0</v>
      </c>
      <c r="AD357" s="11">
        <v>0</v>
      </c>
    </row>
    <row r="358" customFormat="1" ht="22" customHeight="1" spans="1:30">
      <c r="A358" s="8" t="s">
        <v>31</v>
      </c>
      <c r="B358" s="8" t="str">
        <f>VLOOKUP(E358,[1]Sheet1!$C:$E,2,FALSE)</f>
        <v>徐从众</v>
      </c>
      <c r="C358" s="9" t="str">
        <f>VLOOKUP(E358,[1]Sheet1!$C:$E,3,FALSE)</f>
        <v>S</v>
      </c>
      <c r="D358" s="12" t="s">
        <v>387</v>
      </c>
      <c r="E358" s="13">
        <v>1352891949</v>
      </c>
      <c r="F358" s="12">
        <v>4.7</v>
      </c>
      <c r="G358" s="8">
        <v>11</v>
      </c>
      <c r="H358" s="8">
        <v>382.26</v>
      </c>
      <c r="I358" s="8">
        <v>46.28</v>
      </c>
      <c r="J358" s="8">
        <v>34.75</v>
      </c>
      <c r="K358" s="8">
        <v>990</v>
      </c>
      <c r="L358" s="11">
        <v>0.086</v>
      </c>
      <c r="M358" s="11">
        <v>0.129</v>
      </c>
      <c r="N358" s="11">
        <v>0.0111</v>
      </c>
      <c r="O358" s="8">
        <v>866</v>
      </c>
      <c r="P358" s="8">
        <v>124</v>
      </c>
      <c r="Q358" s="8">
        <v>5</v>
      </c>
      <c r="R358" s="11">
        <v>0.067</v>
      </c>
      <c r="S358" s="11">
        <v>0.218</v>
      </c>
      <c r="T358" s="11">
        <v>0.103</v>
      </c>
      <c r="U358" s="11">
        <v>0.185</v>
      </c>
      <c r="V358" s="11">
        <v>0.279</v>
      </c>
      <c r="W358" s="8">
        <v>0</v>
      </c>
      <c r="X358" s="8">
        <v>0</v>
      </c>
      <c r="Y358" s="8">
        <v>0</v>
      </c>
      <c r="Z358" s="8">
        <v>0</v>
      </c>
      <c r="AA358" s="11">
        <v>0</v>
      </c>
      <c r="AB358" s="11">
        <v>0</v>
      </c>
      <c r="AC358" s="11">
        <v>0</v>
      </c>
      <c r="AD358" s="11">
        <v>0</v>
      </c>
    </row>
    <row r="359" customFormat="1" ht="22" customHeight="1" spans="1:30">
      <c r="A359" s="8" t="s">
        <v>31</v>
      </c>
      <c r="B359" s="8" t="e">
        <f>VLOOKUP(E359,[1]Sheet1!$C:$E,2,FALSE)</f>
        <v>#N/A</v>
      </c>
      <c r="C359" s="8" t="e">
        <f>VLOOKUP(E359,[1]Sheet1!$C:$E,3,FALSE)</f>
        <v>#N/A</v>
      </c>
      <c r="D359" s="12" t="s">
        <v>388</v>
      </c>
      <c r="E359" s="13">
        <v>527748436</v>
      </c>
      <c r="F359" s="12">
        <v>4.3</v>
      </c>
      <c r="G359" s="8">
        <v>24</v>
      </c>
      <c r="H359" s="8">
        <v>378.36</v>
      </c>
      <c r="I359" s="8">
        <v>22.86</v>
      </c>
      <c r="J359" s="8">
        <v>15.77</v>
      </c>
      <c r="K359" s="8">
        <v>1605</v>
      </c>
      <c r="L359" s="11">
        <v>0.07</v>
      </c>
      <c r="M359" s="11">
        <v>0.212</v>
      </c>
      <c r="N359" s="11">
        <v>0.0148</v>
      </c>
      <c r="O359" s="8">
        <v>1531</v>
      </c>
      <c r="P359" s="8">
        <v>74</v>
      </c>
      <c r="Q359" s="8">
        <v>11</v>
      </c>
      <c r="R359" s="11">
        <v>0.063</v>
      </c>
      <c r="S359" s="11">
        <v>0.216</v>
      </c>
      <c r="T359" s="11">
        <v>0.134</v>
      </c>
      <c r="U359" s="11">
        <v>0.688</v>
      </c>
      <c r="V359" s="11">
        <v>0.185</v>
      </c>
      <c r="W359" s="8">
        <v>1</v>
      </c>
      <c r="X359" s="8">
        <v>1</v>
      </c>
      <c r="Y359" s="8">
        <v>0</v>
      </c>
      <c r="Z359" s="8">
        <v>0</v>
      </c>
      <c r="AA359" s="11">
        <v>0.0417</v>
      </c>
      <c r="AB359" s="11">
        <v>1</v>
      </c>
      <c r="AC359" s="11">
        <v>0</v>
      </c>
      <c r="AD359" s="11">
        <v>0</v>
      </c>
    </row>
    <row r="360" customFormat="1" ht="22" customHeight="1" spans="1:30">
      <c r="A360" s="8" t="s">
        <v>31</v>
      </c>
      <c r="B360" s="8" t="e">
        <f>VLOOKUP(E360,[1]Sheet1!$C:$E,2,FALSE)</f>
        <v>#N/A</v>
      </c>
      <c r="C360" s="8" t="e">
        <f>VLOOKUP(E360,[1]Sheet1!$C:$E,3,FALSE)</f>
        <v>#N/A</v>
      </c>
      <c r="D360" s="8" t="s">
        <v>389</v>
      </c>
      <c r="E360" s="10">
        <v>545900720</v>
      </c>
      <c r="F360" s="8">
        <v>4.9</v>
      </c>
      <c r="G360" s="8">
        <v>17</v>
      </c>
      <c r="H360" s="8">
        <v>374.68</v>
      </c>
      <c r="I360" s="8">
        <v>27.27</v>
      </c>
      <c r="J360" s="8">
        <v>22.04</v>
      </c>
      <c r="K360" s="8">
        <v>1300</v>
      </c>
      <c r="L360" s="11">
        <v>0.082</v>
      </c>
      <c r="M360" s="11">
        <v>0.16</v>
      </c>
      <c r="N360" s="11">
        <v>0.0131</v>
      </c>
      <c r="O360" s="8">
        <v>1272</v>
      </c>
      <c r="P360" s="8">
        <v>28</v>
      </c>
      <c r="Q360" s="8">
        <v>0</v>
      </c>
      <c r="R360" s="11">
        <v>0.082</v>
      </c>
      <c r="S360" s="11">
        <v>0.071</v>
      </c>
      <c r="T360" s="11">
        <v>0.163</v>
      </c>
      <c r="U360" s="11">
        <v>0</v>
      </c>
      <c r="V360" s="11">
        <v>0.016</v>
      </c>
      <c r="W360" s="8">
        <v>11</v>
      </c>
      <c r="X360" s="8">
        <v>10</v>
      </c>
      <c r="Y360" s="8">
        <v>0</v>
      </c>
      <c r="Z360" s="8">
        <v>1</v>
      </c>
      <c r="AA360" s="11">
        <v>0.6471</v>
      </c>
      <c r="AB360" s="11">
        <v>0.9091</v>
      </c>
      <c r="AC360" s="11">
        <v>0</v>
      </c>
      <c r="AD360" s="11">
        <v>0.0909</v>
      </c>
    </row>
    <row r="361" customFormat="1" ht="22" customHeight="1" spans="1:30">
      <c r="A361" s="8" t="s">
        <v>31</v>
      </c>
      <c r="B361" s="8" t="e">
        <f>VLOOKUP(E361,[1]Sheet1!$C:$E,2,FALSE)</f>
        <v>#N/A</v>
      </c>
      <c r="C361" s="8" t="e">
        <f>VLOOKUP(E361,[1]Sheet1!$C:$E,3,FALSE)</f>
        <v>#N/A</v>
      </c>
      <c r="D361" s="12" t="s">
        <v>390</v>
      </c>
      <c r="E361" s="13">
        <v>1297260649</v>
      </c>
      <c r="F361" s="12">
        <v>4.6</v>
      </c>
      <c r="G361" s="8">
        <v>7</v>
      </c>
      <c r="H361" s="8">
        <v>370.28</v>
      </c>
      <c r="I361" s="8">
        <v>0</v>
      </c>
      <c r="J361" s="8">
        <v>52.9</v>
      </c>
      <c r="K361" s="8">
        <v>1146</v>
      </c>
      <c r="L361" s="11">
        <v>0.062</v>
      </c>
      <c r="M361" s="11">
        <v>0.099</v>
      </c>
      <c r="N361" s="11">
        <v>0.0061</v>
      </c>
      <c r="O361" s="8">
        <v>0</v>
      </c>
      <c r="P361" s="8">
        <v>0</v>
      </c>
      <c r="Q361" s="8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0.129</v>
      </c>
      <c r="W361" s="8">
        <v>0</v>
      </c>
      <c r="X361" s="8">
        <v>0</v>
      </c>
      <c r="Y361" s="8">
        <v>0</v>
      </c>
      <c r="Z361" s="8">
        <v>0</v>
      </c>
      <c r="AA361" s="11">
        <v>0</v>
      </c>
      <c r="AB361" s="11">
        <v>0</v>
      </c>
      <c r="AC361" s="11">
        <v>0</v>
      </c>
      <c r="AD361" s="11">
        <v>0</v>
      </c>
    </row>
    <row r="362" customFormat="1" ht="22" customHeight="1" spans="1:30">
      <c r="A362" s="8" t="s">
        <v>31</v>
      </c>
      <c r="B362" s="8" t="str">
        <f>VLOOKUP(E362,[1]Sheet1!$C:$E,2,FALSE)</f>
        <v>刘欢</v>
      </c>
      <c r="C362" s="9" t="str">
        <f>VLOOKUP(E362,[1]Sheet1!$C:$E,3,FALSE)</f>
        <v>A</v>
      </c>
      <c r="D362" s="12" t="s">
        <v>391</v>
      </c>
      <c r="E362" s="13">
        <v>537386469</v>
      </c>
      <c r="F362" s="12">
        <v>4.6</v>
      </c>
      <c r="G362" s="8">
        <v>18</v>
      </c>
      <c r="H362" s="8">
        <v>368.43</v>
      </c>
      <c r="I362" s="8">
        <v>26.53</v>
      </c>
      <c r="J362" s="8">
        <v>20.47</v>
      </c>
      <c r="K362" s="8">
        <v>1191</v>
      </c>
      <c r="L362" s="11">
        <v>0.092</v>
      </c>
      <c r="M362" s="11">
        <v>0.147</v>
      </c>
      <c r="N362" s="11">
        <v>0.0135</v>
      </c>
      <c r="O362" s="8">
        <v>1025</v>
      </c>
      <c r="P362" s="8">
        <v>166</v>
      </c>
      <c r="Q362" s="8">
        <v>7</v>
      </c>
      <c r="R362" s="11">
        <v>0.074</v>
      </c>
      <c r="S362" s="11">
        <v>0.199</v>
      </c>
      <c r="T362" s="11">
        <v>0.118</v>
      </c>
      <c r="U362" s="11">
        <v>0.212</v>
      </c>
      <c r="V362" s="11">
        <v>0.205</v>
      </c>
      <c r="W362" s="8">
        <v>0</v>
      </c>
      <c r="X362" s="8">
        <v>0</v>
      </c>
      <c r="Y362" s="8">
        <v>0</v>
      </c>
      <c r="Z362" s="8">
        <v>0</v>
      </c>
      <c r="AA362" s="11">
        <v>0</v>
      </c>
      <c r="AB362" s="11">
        <v>0</v>
      </c>
      <c r="AC362" s="11">
        <v>0</v>
      </c>
      <c r="AD362" s="11">
        <v>0</v>
      </c>
    </row>
    <row r="363" customFormat="1" ht="22" customHeight="1" spans="1:30">
      <c r="A363" s="8" t="s">
        <v>31</v>
      </c>
      <c r="B363" s="8" t="str">
        <f>VLOOKUP(E363,[1]Sheet1!$C:$E,2,FALSE)</f>
        <v>刘欢</v>
      </c>
      <c r="C363" s="9" t="str">
        <f>VLOOKUP(E363,[1]Sheet1!$C:$E,3,FALSE)</f>
        <v>S</v>
      </c>
      <c r="D363" s="8" t="s">
        <v>392</v>
      </c>
      <c r="E363" s="10">
        <v>1310895535</v>
      </c>
      <c r="F363" s="8">
        <v>4.8</v>
      </c>
      <c r="G363" s="8">
        <v>19</v>
      </c>
      <c r="H363" s="8">
        <v>367.49</v>
      </c>
      <c r="I363" s="8">
        <v>0</v>
      </c>
      <c r="J363" s="8">
        <v>19.34</v>
      </c>
      <c r="K363" s="8">
        <v>1391</v>
      </c>
      <c r="L363" s="11">
        <v>0.068</v>
      </c>
      <c r="M363" s="11">
        <v>0.2</v>
      </c>
      <c r="N363" s="11">
        <v>0.0136</v>
      </c>
      <c r="O363" s="8">
        <v>0</v>
      </c>
      <c r="P363" s="8">
        <v>0</v>
      </c>
      <c r="Q363" s="8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0.17</v>
      </c>
      <c r="W363" s="8">
        <v>0</v>
      </c>
      <c r="X363" s="8">
        <v>0</v>
      </c>
      <c r="Y363" s="8">
        <v>0</v>
      </c>
      <c r="Z363" s="8">
        <v>0</v>
      </c>
      <c r="AA363" s="11">
        <v>0</v>
      </c>
      <c r="AB363" s="11">
        <v>0</v>
      </c>
      <c r="AC363" s="11">
        <v>0</v>
      </c>
      <c r="AD363" s="11">
        <v>0</v>
      </c>
    </row>
    <row r="364" customFormat="1" ht="22" customHeight="1" spans="1:30">
      <c r="A364" s="8" t="s">
        <v>31</v>
      </c>
      <c r="B364" s="8" t="e">
        <f>VLOOKUP(E364,[1]Sheet1!$C:$E,2,FALSE)</f>
        <v>#N/A</v>
      </c>
      <c r="C364" s="8" t="e">
        <f>VLOOKUP(E364,[1]Sheet1!$C:$E,3,FALSE)</f>
        <v>#N/A</v>
      </c>
      <c r="D364" s="8" t="s">
        <v>393</v>
      </c>
      <c r="E364" s="10">
        <v>1355951382</v>
      </c>
      <c r="F364" s="8">
        <v>4.9</v>
      </c>
      <c r="G364" s="8">
        <v>13</v>
      </c>
      <c r="H364" s="8">
        <v>365.8</v>
      </c>
      <c r="I364" s="8">
        <v>34.92</v>
      </c>
      <c r="J364" s="8">
        <v>28.14</v>
      </c>
      <c r="K364" s="8">
        <v>2152</v>
      </c>
      <c r="L364" s="11">
        <v>0.087</v>
      </c>
      <c r="M364" s="11">
        <v>0.07</v>
      </c>
      <c r="N364" s="11">
        <v>0.0061</v>
      </c>
      <c r="O364" s="8">
        <v>2078</v>
      </c>
      <c r="P364" s="8">
        <v>74</v>
      </c>
      <c r="Q364" s="8">
        <v>3</v>
      </c>
      <c r="R364" s="11">
        <v>0.084</v>
      </c>
      <c r="S364" s="11">
        <v>0.176</v>
      </c>
      <c r="T364" s="11">
        <v>0.057</v>
      </c>
      <c r="U364" s="11">
        <v>0.231</v>
      </c>
      <c r="V364" s="11">
        <v>0.119</v>
      </c>
      <c r="W364" s="8">
        <v>2</v>
      </c>
      <c r="X364" s="8">
        <v>2</v>
      </c>
      <c r="Y364" s="8">
        <v>0</v>
      </c>
      <c r="Z364" s="8">
        <v>0</v>
      </c>
      <c r="AA364" s="11">
        <v>0.1538</v>
      </c>
      <c r="AB364" s="11">
        <v>1</v>
      </c>
      <c r="AC364" s="11">
        <v>0</v>
      </c>
      <c r="AD364" s="11">
        <v>0</v>
      </c>
    </row>
    <row r="365" customFormat="1" ht="22" customHeight="1" spans="1:30">
      <c r="A365" s="8" t="s">
        <v>31</v>
      </c>
      <c r="B365" s="8" t="str">
        <f>VLOOKUP(E365,[1]Sheet1!$C:$E,2,FALSE)</f>
        <v>王森</v>
      </c>
      <c r="C365" s="9" t="str">
        <f>VLOOKUP(E365,[1]Sheet1!$C:$E,3,FALSE)</f>
        <v>A</v>
      </c>
      <c r="D365" s="12" t="s">
        <v>394</v>
      </c>
      <c r="E365" s="13">
        <v>1236651998</v>
      </c>
      <c r="F365" s="12">
        <v>4.7</v>
      </c>
      <c r="G365" s="8">
        <v>26</v>
      </c>
      <c r="H365" s="8">
        <v>364.81</v>
      </c>
      <c r="I365" s="8">
        <v>0</v>
      </c>
      <c r="J365" s="8">
        <v>14.03</v>
      </c>
      <c r="K365" s="8">
        <v>2263</v>
      </c>
      <c r="L365" s="11">
        <v>0.076</v>
      </c>
      <c r="M365" s="11">
        <v>0.15</v>
      </c>
      <c r="N365" s="11">
        <v>0.0114</v>
      </c>
      <c r="O365" s="8">
        <v>0</v>
      </c>
      <c r="P365" s="8">
        <v>0</v>
      </c>
      <c r="Q365" s="8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0.175</v>
      </c>
      <c r="W365" s="8">
        <v>1</v>
      </c>
      <c r="X365" s="8">
        <v>1</v>
      </c>
      <c r="Y365" s="8">
        <v>0</v>
      </c>
      <c r="Z365" s="8">
        <v>0</v>
      </c>
      <c r="AA365" s="11">
        <v>0.0385</v>
      </c>
      <c r="AB365" s="11">
        <v>1</v>
      </c>
      <c r="AC365" s="11">
        <v>0</v>
      </c>
      <c r="AD365" s="11">
        <v>0</v>
      </c>
    </row>
    <row r="366" customFormat="1" ht="22" customHeight="1" spans="1:30">
      <c r="A366" s="8" t="s">
        <v>31</v>
      </c>
      <c r="B366" s="8" t="str">
        <f>VLOOKUP(E366,[1]Sheet1!$C:$E,2,FALSE)</f>
        <v>岳贝贝</v>
      </c>
      <c r="C366" s="8" t="str">
        <f>VLOOKUP(E366,[1]Sheet1!$C:$E,3,FALSE)</f>
        <v>营业中</v>
      </c>
      <c r="D366" s="8" t="s">
        <v>395</v>
      </c>
      <c r="E366" s="10">
        <v>541225890</v>
      </c>
      <c r="F366" s="8">
        <v>4.8</v>
      </c>
      <c r="G366" s="8">
        <v>19</v>
      </c>
      <c r="H366" s="8">
        <v>364.68</v>
      </c>
      <c r="I366" s="8">
        <v>0</v>
      </c>
      <c r="J366" s="8">
        <v>19.19</v>
      </c>
      <c r="K366" s="8">
        <v>1169</v>
      </c>
      <c r="L366" s="11">
        <v>0.062</v>
      </c>
      <c r="M366" s="11">
        <v>0.26</v>
      </c>
      <c r="N366" s="11">
        <v>0.0161</v>
      </c>
      <c r="O366" s="8">
        <v>0</v>
      </c>
      <c r="P366" s="8">
        <v>0</v>
      </c>
      <c r="Q366" s="8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0.139</v>
      </c>
      <c r="W366" s="8">
        <v>1</v>
      </c>
      <c r="X366" s="8">
        <v>0</v>
      </c>
      <c r="Y366" s="8">
        <v>0</v>
      </c>
      <c r="Z366" s="8">
        <v>1</v>
      </c>
      <c r="AA366" s="11">
        <v>0.0526</v>
      </c>
      <c r="AB366" s="11">
        <v>0</v>
      </c>
      <c r="AC366" s="11">
        <v>0</v>
      </c>
      <c r="AD366" s="11">
        <v>1</v>
      </c>
    </row>
    <row r="367" customFormat="1" ht="22" customHeight="1" spans="1:30">
      <c r="A367" s="8" t="s">
        <v>31</v>
      </c>
      <c r="B367" s="8" t="e">
        <f>VLOOKUP(E367,[1]Sheet1!$C:$E,2,FALSE)</f>
        <v>#N/A</v>
      </c>
      <c r="C367" s="8" t="e">
        <f>VLOOKUP(E367,[1]Sheet1!$C:$E,3,FALSE)</f>
        <v>#N/A</v>
      </c>
      <c r="D367" s="8" t="s">
        <v>396</v>
      </c>
      <c r="E367" s="10">
        <v>543631629</v>
      </c>
      <c r="F367" s="8">
        <v>4.8</v>
      </c>
      <c r="G367" s="8">
        <v>26</v>
      </c>
      <c r="H367" s="8">
        <v>361.39</v>
      </c>
      <c r="I367" s="8">
        <v>21.56</v>
      </c>
      <c r="J367" s="8">
        <v>13.9</v>
      </c>
      <c r="K367" s="8">
        <v>2227</v>
      </c>
      <c r="L367" s="11">
        <v>0.088</v>
      </c>
      <c r="M367" s="11">
        <v>0.133</v>
      </c>
      <c r="N367" s="11">
        <v>0.0117</v>
      </c>
      <c r="O367" s="8">
        <v>2133</v>
      </c>
      <c r="P367" s="8">
        <v>94</v>
      </c>
      <c r="Q367" s="8">
        <v>10</v>
      </c>
      <c r="R367" s="11">
        <v>0.081</v>
      </c>
      <c r="S367" s="11">
        <v>0.245</v>
      </c>
      <c r="T367" s="11">
        <v>0.093</v>
      </c>
      <c r="U367" s="11">
        <v>0.435</v>
      </c>
      <c r="V367" s="11">
        <v>0.145</v>
      </c>
      <c r="W367" s="8">
        <v>5</v>
      </c>
      <c r="X367" s="8">
        <v>5</v>
      </c>
      <c r="Y367" s="8">
        <v>0</v>
      </c>
      <c r="Z367" s="8">
        <v>0</v>
      </c>
      <c r="AA367" s="11">
        <v>0.1923</v>
      </c>
      <c r="AB367" s="11">
        <v>1</v>
      </c>
      <c r="AC367" s="11">
        <v>0</v>
      </c>
      <c r="AD367" s="11">
        <v>0</v>
      </c>
    </row>
    <row r="368" customFormat="1" ht="22" customHeight="1" spans="1:30">
      <c r="A368" s="8" t="s">
        <v>31</v>
      </c>
      <c r="B368" s="8" t="e">
        <f>VLOOKUP(E368,[1]Sheet1!$C:$E,2,FALSE)</f>
        <v>#N/A</v>
      </c>
      <c r="C368" s="8" t="e">
        <f>VLOOKUP(E368,[1]Sheet1!$C:$E,3,FALSE)</f>
        <v>#N/A</v>
      </c>
      <c r="D368" s="12" t="s">
        <v>397</v>
      </c>
      <c r="E368" s="13">
        <v>529421756</v>
      </c>
      <c r="F368" s="12">
        <v>4.4</v>
      </c>
      <c r="G368" s="8">
        <v>36</v>
      </c>
      <c r="H368" s="8">
        <v>354.5</v>
      </c>
      <c r="I368" s="8">
        <v>13.09</v>
      </c>
      <c r="J368" s="8">
        <v>9.85</v>
      </c>
      <c r="K368" s="8">
        <v>3322</v>
      </c>
      <c r="L368" s="11">
        <v>0.055</v>
      </c>
      <c r="M368" s="11">
        <v>0.192</v>
      </c>
      <c r="N368" s="11">
        <v>0.0106</v>
      </c>
      <c r="O368" s="8">
        <v>2943</v>
      </c>
      <c r="P368" s="8">
        <v>379</v>
      </c>
      <c r="Q368" s="8">
        <v>5</v>
      </c>
      <c r="R368" s="11">
        <v>0.054</v>
      </c>
      <c r="S368" s="11">
        <v>0.063</v>
      </c>
      <c r="T368" s="11">
        <v>0.19</v>
      </c>
      <c r="U368" s="11">
        <v>0.208</v>
      </c>
      <c r="V368" s="11">
        <v>0.098</v>
      </c>
      <c r="W368" s="8">
        <v>4</v>
      </c>
      <c r="X368" s="8">
        <v>4</v>
      </c>
      <c r="Y368" s="8">
        <v>0</v>
      </c>
      <c r="Z368" s="8">
        <v>0</v>
      </c>
      <c r="AA368" s="11">
        <v>0.1111</v>
      </c>
      <c r="AB368" s="11">
        <v>1</v>
      </c>
      <c r="AC368" s="11">
        <v>0</v>
      </c>
      <c r="AD368" s="11">
        <v>0</v>
      </c>
    </row>
    <row r="369" customFormat="1" ht="22" customHeight="1" spans="1:30">
      <c r="A369" s="8" t="s">
        <v>31</v>
      </c>
      <c r="B369" s="8" t="str">
        <f>VLOOKUP(E369,[1]Sheet1!$C:$E,2,FALSE)</f>
        <v>岳贝贝</v>
      </c>
      <c r="C369" s="8" t="str">
        <f>VLOOKUP(E369,[1]Sheet1!$C:$E,3,FALSE)</f>
        <v>B</v>
      </c>
      <c r="D369" s="12" t="s">
        <v>398</v>
      </c>
      <c r="E369" s="13">
        <v>1352099016</v>
      </c>
      <c r="F369" s="12">
        <v>4.7</v>
      </c>
      <c r="G369" s="8">
        <v>30</v>
      </c>
      <c r="H369" s="8">
        <v>348.75</v>
      </c>
      <c r="I369" s="8">
        <v>16.09</v>
      </c>
      <c r="J369" s="8">
        <v>11.63</v>
      </c>
      <c r="K369" s="8">
        <v>1858</v>
      </c>
      <c r="L369" s="11">
        <v>0.06</v>
      </c>
      <c r="M369" s="11">
        <v>0.268</v>
      </c>
      <c r="N369" s="11">
        <v>0.0161</v>
      </c>
      <c r="O369" s="8">
        <v>1699</v>
      </c>
      <c r="P369" s="8">
        <v>159</v>
      </c>
      <c r="Q369" s="8">
        <v>9</v>
      </c>
      <c r="R369" s="11">
        <v>0.051</v>
      </c>
      <c r="S369" s="11">
        <v>0.157</v>
      </c>
      <c r="T369" s="11">
        <v>0.241</v>
      </c>
      <c r="U369" s="11">
        <v>0.36</v>
      </c>
      <c r="V369" s="11">
        <v>0.205</v>
      </c>
      <c r="W369" s="8">
        <v>1</v>
      </c>
      <c r="X369" s="8">
        <v>1</v>
      </c>
      <c r="Y369" s="8">
        <v>0</v>
      </c>
      <c r="Z369" s="8">
        <v>0</v>
      </c>
      <c r="AA369" s="11">
        <v>0.0333</v>
      </c>
      <c r="AB369" s="11">
        <v>1</v>
      </c>
      <c r="AC369" s="11">
        <v>0</v>
      </c>
      <c r="AD369" s="11">
        <v>0</v>
      </c>
    </row>
    <row r="370" customFormat="1" ht="22" customHeight="1" spans="1:30">
      <c r="A370" s="8" t="s">
        <v>31</v>
      </c>
      <c r="B370" s="8" t="e">
        <f>VLOOKUP(E370,[1]Sheet1!$C:$E,2,FALSE)</f>
        <v>#N/A</v>
      </c>
      <c r="C370" s="8" t="e">
        <f>VLOOKUP(E370,[1]Sheet1!$C:$E,3,FALSE)</f>
        <v>#N/A</v>
      </c>
      <c r="D370" s="12" t="s">
        <v>399</v>
      </c>
      <c r="E370" s="13">
        <v>1310737766</v>
      </c>
      <c r="F370" s="12">
        <v>4.6</v>
      </c>
      <c r="G370" s="8">
        <v>11</v>
      </c>
      <c r="H370" s="8">
        <v>345.9</v>
      </c>
      <c r="I370" s="8">
        <v>41.06</v>
      </c>
      <c r="J370" s="8">
        <v>31.45</v>
      </c>
      <c r="K370" s="8">
        <v>1163</v>
      </c>
      <c r="L370" s="11">
        <v>0.056</v>
      </c>
      <c r="M370" s="11">
        <v>0.169</v>
      </c>
      <c r="N370" s="11">
        <v>0.0095</v>
      </c>
      <c r="O370" s="8">
        <v>1097</v>
      </c>
      <c r="P370" s="8">
        <v>66</v>
      </c>
      <c r="Q370" s="8">
        <v>3</v>
      </c>
      <c r="R370" s="11">
        <v>0.051</v>
      </c>
      <c r="S370" s="11">
        <v>0.136</v>
      </c>
      <c r="T370" s="11">
        <v>0.143</v>
      </c>
      <c r="U370" s="11">
        <v>0.333</v>
      </c>
      <c r="V370" s="11">
        <v>0.196</v>
      </c>
      <c r="W370" s="8">
        <v>0</v>
      </c>
      <c r="X370" s="8">
        <v>0</v>
      </c>
      <c r="Y370" s="8">
        <v>0</v>
      </c>
      <c r="Z370" s="8">
        <v>0</v>
      </c>
      <c r="AA370" s="11">
        <v>0</v>
      </c>
      <c r="AB370" s="11">
        <v>0</v>
      </c>
      <c r="AC370" s="11">
        <v>0</v>
      </c>
      <c r="AD370" s="11">
        <v>0</v>
      </c>
    </row>
    <row r="371" customFormat="1" ht="22" customHeight="1" spans="1:30">
      <c r="A371" s="8" t="s">
        <v>31</v>
      </c>
      <c r="B371" s="8" t="e">
        <f>VLOOKUP(E371,[1]Sheet1!$C:$E,2,FALSE)</f>
        <v>#N/A</v>
      </c>
      <c r="C371" s="8" t="e">
        <f>VLOOKUP(E371,[1]Sheet1!$C:$E,3,FALSE)</f>
        <v>#N/A</v>
      </c>
      <c r="D371" s="12" t="s">
        <v>400</v>
      </c>
      <c r="E371" s="13">
        <v>541043165</v>
      </c>
      <c r="F371" s="12">
        <v>4.4</v>
      </c>
      <c r="G371" s="8">
        <v>15</v>
      </c>
      <c r="H371" s="8">
        <v>345.7</v>
      </c>
      <c r="I371" s="8">
        <v>30.5</v>
      </c>
      <c r="J371" s="8">
        <v>23.05</v>
      </c>
      <c r="K371" s="8">
        <v>1642</v>
      </c>
      <c r="L371" s="11">
        <v>0.103</v>
      </c>
      <c r="M371" s="11">
        <v>0.089</v>
      </c>
      <c r="N371" s="11">
        <v>0.0092</v>
      </c>
      <c r="O371" s="8">
        <v>1505</v>
      </c>
      <c r="P371" s="8">
        <v>137</v>
      </c>
      <c r="Q371" s="8">
        <v>3</v>
      </c>
      <c r="R371" s="11">
        <v>0.101</v>
      </c>
      <c r="S371" s="11">
        <v>0.124</v>
      </c>
      <c r="T371" s="11">
        <v>0.079</v>
      </c>
      <c r="U371" s="11">
        <v>0.176</v>
      </c>
      <c r="V371" s="11">
        <v>0.064</v>
      </c>
      <c r="W371" s="8">
        <v>0</v>
      </c>
      <c r="X371" s="8">
        <v>0</v>
      </c>
      <c r="Y371" s="8">
        <v>0</v>
      </c>
      <c r="Z371" s="8">
        <v>0</v>
      </c>
      <c r="AA371" s="11">
        <v>0</v>
      </c>
      <c r="AB371" s="11">
        <v>0</v>
      </c>
      <c r="AC371" s="11">
        <v>0</v>
      </c>
      <c r="AD371" s="11">
        <v>0</v>
      </c>
    </row>
    <row r="372" customFormat="1" ht="22" customHeight="1" spans="1:30">
      <c r="A372" s="8" t="s">
        <v>31</v>
      </c>
      <c r="B372" s="8" t="e">
        <f>VLOOKUP(E372,[1]Sheet1!$C:$E,2,FALSE)</f>
        <v>#N/A</v>
      </c>
      <c r="C372" s="8" t="e">
        <f>VLOOKUP(E372,[1]Sheet1!$C:$E,3,FALSE)</f>
        <v>#N/A</v>
      </c>
      <c r="D372" s="8" t="s">
        <v>401</v>
      </c>
      <c r="E372" s="10">
        <v>1351158543</v>
      </c>
      <c r="F372" s="8">
        <v>4.9</v>
      </c>
      <c r="G372" s="8">
        <v>18</v>
      </c>
      <c r="H372" s="8">
        <v>343.49</v>
      </c>
      <c r="I372" s="8">
        <v>24.82</v>
      </c>
      <c r="J372" s="8">
        <v>19.08</v>
      </c>
      <c r="K372" s="8">
        <v>936</v>
      </c>
      <c r="L372" s="11">
        <v>0.105</v>
      </c>
      <c r="M372" s="11">
        <v>0.173</v>
      </c>
      <c r="N372" s="11">
        <v>0.0182</v>
      </c>
      <c r="O372" s="8">
        <v>892</v>
      </c>
      <c r="P372" s="8">
        <v>44</v>
      </c>
      <c r="Q372" s="8">
        <v>4</v>
      </c>
      <c r="R372" s="11">
        <v>0.099</v>
      </c>
      <c r="S372" s="11">
        <v>0.227</v>
      </c>
      <c r="T372" s="11">
        <v>0.148</v>
      </c>
      <c r="U372" s="11">
        <v>0.4</v>
      </c>
      <c r="V372" s="11">
        <v>0.175</v>
      </c>
      <c r="W372" s="8">
        <v>0</v>
      </c>
      <c r="X372" s="8">
        <v>0</v>
      </c>
      <c r="Y372" s="8">
        <v>0</v>
      </c>
      <c r="Z372" s="8">
        <v>0</v>
      </c>
      <c r="AA372" s="11">
        <v>0</v>
      </c>
      <c r="AB372" s="11">
        <v>0</v>
      </c>
      <c r="AC372" s="11">
        <v>0</v>
      </c>
      <c r="AD372" s="11">
        <v>0</v>
      </c>
    </row>
    <row r="373" customFormat="1" ht="22" customHeight="1" spans="1:30">
      <c r="A373" s="8" t="s">
        <v>31</v>
      </c>
      <c r="B373" s="8" t="e">
        <f>VLOOKUP(E373,[1]Sheet1!$C:$E,2,FALSE)</f>
        <v>#N/A</v>
      </c>
      <c r="C373" s="8" t="e">
        <f>VLOOKUP(E373,[1]Sheet1!$C:$E,3,FALSE)</f>
        <v>#N/A</v>
      </c>
      <c r="D373" s="8" t="s">
        <v>402</v>
      </c>
      <c r="E373" s="10">
        <v>542438043</v>
      </c>
      <c r="F373" s="8">
        <v>4.9</v>
      </c>
      <c r="G373" s="8">
        <v>25</v>
      </c>
      <c r="H373" s="8">
        <v>343.01</v>
      </c>
      <c r="I373" s="8">
        <v>19.19</v>
      </c>
      <c r="J373" s="8">
        <v>13.72</v>
      </c>
      <c r="K373" s="8">
        <v>1230</v>
      </c>
      <c r="L373" s="11">
        <v>0.074</v>
      </c>
      <c r="M373" s="11">
        <v>0.264</v>
      </c>
      <c r="N373" s="11">
        <v>0.0195</v>
      </c>
      <c r="O373" s="8">
        <v>1104</v>
      </c>
      <c r="P373" s="8">
        <v>126</v>
      </c>
      <c r="Q373" s="8">
        <v>13</v>
      </c>
      <c r="R373" s="11">
        <v>0.059</v>
      </c>
      <c r="S373" s="11">
        <v>0.206</v>
      </c>
      <c r="T373" s="11">
        <v>0.169</v>
      </c>
      <c r="U373" s="11">
        <v>0.5</v>
      </c>
      <c r="V373" s="11">
        <v>0.265</v>
      </c>
      <c r="W373" s="8">
        <v>0</v>
      </c>
      <c r="X373" s="8">
        <v>0</v>
      </c>
      <c r="Y373" s="8">
        <v>0</v>
      </c>
      <c r="Z373" s="8">
        <v>0</v>
      </c>
      <c r="AA373" s="11">
        <v>0</v>
      </c>
      <c r="AB373" s="11">
        <v>0</v>
      </c>
      <c r="AC373" s="11">
        <v>0</v>
      </c>
      <c r="AD373" s="11">
        <v>0</v>
      </c>
    </row>
    <row r="374" customFormat="1" ht="22" customHeight="1" spans="1:30">
      <c r="A374" s="8" t="s">
        <v>31</v>
      </c>
      <c r="B374" s="8" t="str">
        <f>VLOOKUP(E374,[1]Sheet1!$C:$E,2,FALSE)</f>
        <v>岳贝贝</v>
      </c>
      <c r="C374" s="9" t="str">
        <f>VLOOKUP(E374,[1]Sheet1!$C:$E,3,FALSE)</f>
        <v>A</v>
      </c>
      <c r="D374" s="12" t="s">
        <v>403</v>
      </c>
      <c r="E374" s="13">
        <v>544937373</v>
      </c>
      <c r="F374" s="12">
        <v>4.6</v>
      </c>
      <c r="G374" s="8">
        <v>9</v>
      </c>
      <c r="H374" s="8">
        <v>340.41</v>
      </c>
      <c r="I374" s="8">
        <v>48.84</v>
      </c>
      <c r="J374" s="8">
        <v>37.82</v>
      </c>
      <c r="K374" s="8">
        <v>1255</v>
      </c>
      <c r="L374" s="11">
        <v>0.081</v>
      </c>
      <c r="M374" s="11">
        <v>0.088</v>
      </c>
      <c r="N374" s="11">
        <v>0.0071</v>
      </c>
      <c r="O374" s="8">
        <v>1165</v>
      </c>
      <c r="P374" s="8">
        <v>90</v>
      </c>
      <c r="Q374" s="8">
        <v>2</v>
      </c>
      <c r="R374" s="11">
        <v>0.076</v>
      </c>
      <c r="S374" s="11">
        <v>0.144</v>
      </c>
      <c r="T374" s="11">
        <v>0.079</v>
      </c>
      <c r="U374" s="11">
        <v>0.154</v>
      </c>
      <c r="V374" s="11">
        <v>0.207</v>
      </c>
      <c r="W374" s="8">
        <v>0</v>
      </c>
      <c r="X374" s="8">
        <v>0</v>
      </c>
      <c r="Y374" s="8">
        <v>0</v>
      </c>
      <c r="Z374" s="8">
        <v>0</v>
      </c>
      <c r="AA374" s="11">
        <v>0</v>
      </c>
      <c r="AB374" s="11">
        <v>0</v>
      </c>
      <c r="AC374" s="11">
        <v>0</v>
      </c>
      <c r="AD374" s="11">
        <v>0</v>
      </c>
    </row>
    <row r="375" customFormat="1" ht="22" customHeight="1" spans="1:30">
      <c r="A375" s="8" t="s">
        <v>31</v>
      </c>
      <c r="B375" s="8" t="e">
        <f>VLOOKUP(E375,[1]Sheet1!$C:$E,2,FALSE)</f>
        <v>#N/A</v>
      </c>
      <c r="C375" s="8" t="e">
        <f>VLOOKUP(E375,[1]Sheet1!$C:$E,3,FALSE)</f>
        <v>#N/A</v>
      </c>
      <c r="D375" s="8" t="s">
        <v>404</v>
      </c>
      <c r="E375" s="10">
        <v>522230013</v>
      </c>
      <c r="F375" s="8">
        <v>4.8</v>
      </c>
      <c r="G375" s="8">
        <v>21</v>
      </c>
      <c r="H375" s="8">
        <v>334.84</v>
      </c>
      <c r="I375" s="8">
        <v>22.76</v>
      </c>
      <c r="J375" s="8">
        <v>15.94</v>
      </c>
      <c r="K375" s="8">
        <v>1015</v>
      </c>
      <c r="L375" s="11">
        <v>0.067</v>
      </c>
      <c r="M375" s="11">
        <v>0.309</v>
      </c>
      <c r="N375" s="11">
        <v>0.0207</v>
      </c>
      <c r="O375" s="8">
        <v>878</v>
      </c>
      <c r="P375" s="8">
        <v>137</v>
      </c>
      <c r="Q375" s="8">
        <v>7</v>
      </c>
      <c r="R375" s="11">
        <v>0.06</v>
      </c>
      <c r="S375" s="11">
        <v>0.109</v>
      </c>
      <c r="T375" s="11">
        <v>0.264</v>
      </c>
      <c r="U375" s="11">
        <v>0.467</v>
      </c>
      <c r="V375" s="11">
        <v>0.195</v>
      </c>
      <c r="W375" s="8">
        <v>6</v>
      </c>
      <c r="X375" s="8">
        <v>5</v>
      </c>
      <c r="Y375" s="8">
        <v>1</v>
      </c>
      <c r="Z375" s="8">
        <v>0</v>
      </c>
      <c r="AA375" s="11">
        <v>0.2857</v>
      </c>
      <c r="AB375" s="11">
        <v>0.8333</v>
      </c>
      <c r="AC375" s="11">
        <v>0.1667</v>
      </c>
      <c r="AD375" s="11">
        <v>0</v>
      </c>
    </row>
    <row r="376" customFormat="1" ht="22" customHeight="1" spans="1:30">
      <c r="A376" s="8" t="s">
        <v>31</v>
      </c>
      <c r="B376" s="8" t="str">
        <f>VLOOKUP(E376,[1]Sheet1!$C:$E,2,FALSE)</f>
        <v>徐从众</v>
      </c>
      <c r="C376" s="9" t="str">
        <f>VLOOKUP(E376,[1]Sheet1!$C:$E,3,FALSE)</f>
        <v>S</v>
      </c>
      <c r="D376" s="12" t="s">
        <v>405</v>
      </c>
      <c r="E376" s="13">
        <v>543755532</v>
      </c>
      <c r="F376" s="12">
        <v>4.7</v>
      </c>
      <c r="G376" s="8">
        <v>10</v>
      </c>
      <c r="H376" s="8">
        <v>334.69</v>
      </c>
      <c r="I376" s="8">
        <v>0</v>
      </c>
      <c r="J376" s="8">
        <v>33.47</v>
      </c>
      <c r="K376" s="8">
        <v>1120</v>
      </c>
      <c r="L376" s="11">
        <v>0.063</v>
      </c>
      <c r="M376" s="11">
        <v>0.129</v>
      </c>
      <c r="N376" s="11">
        <v>0.0081</v>
      </c>
      <c r="O376" s="8">
        <v>0</v>
      </c>
      <c r="P376" s="8">
        <v>0</v>
      </c>
      <c r="Q376" s="8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0.177</v>
      </c>
      <c r="W376" s="8">
        <v>1</v>
      </c>
      <c r="X376" s="8">
        <v>1</v>
      </c>
      <c r="Y376" s="8">
        <v>0</v>
      </c>
      <c r="Z376" s="8">
        <v>0</v>
      </c>
      <c r="AA376" s="11">
        <v>0.1</v>
      </c>
      <c r="AB376" s="11">
        <v>1</v>
      </c>
      <c r="AC376" s="11">
        <v>0</v>
      </c>
      <c r="AD376" s="11">
        <v>0</v>
      </c>
    </row>
    <row r="377" customFormat="1" ht="22" customHeight="1" spans="1:30">
      <c r="A377" s="8" t="s">
        <v>31</v>
      </c>
      <c r="B377" s="8" t="str">
        <f>VLOOKUP(E377,[1]Sheet1!$C:$E,2,FALSE)</f>
        <v>刘欢</v>
      </c>
      <c r="C377" s="8" t="str">
        <f>VLOOKUP(E377,[1]Sheet1!$C:$E,3,FALSE)</f>
        <v>C</v>
      </c>
      <c r="D377" s="8" t="s">
        <v>406</v>
      </c>
      <c r="E377" s="10">
        <v>542935539</v>
      </c>
      <c r="F377" s="8">
        <v>4.8</v>
      </c>
      <c r="G377" s="8">
        <v>24</v>
      </c>
      <c r="H377" s="8">
        <v>331.07</v>
      </c>
      <c r="I377" s="8">
        <v>19.14</v>
      </c>
      <c r="J377" s="8">
        <v>13.79</v>
      </c>
      <c r="K377" s="8">
        <v>1836</v>
      </c>
      <c r="L377" s="11">
        <v>0.05</v>
      </c>
      <c r="M377" s="11">
        <v>0.242</v>
      </c>
      <c r="N377" s="11">
        <v>0.0121</v>
      </c>
      <c r="O377" s="8">
        <v>1707</v>
      </c>
      <c r="P377" s="8">
        <v>129</v>
      </c>
      <c r="Q377" s="8">
        <v>16</v>
      </c>
      <c r="R377" s="11">
        <v>0.042</v>
      </c>
      <c r="S377" s="11">
        <v>0.147</v>
      </c>
      <c r="T377" s="11">
        <v>0.083</v>
      </c>
      <c r="U377" s="11">
        <v>0.842</v>
      </c>
      <c r="V377" s="11">
        <v>0.263</v>
      </c>
      <c r="W377" s="8">
        <v>3</v>
      </c>
      <c r="X377" s="8">
        <v>3</v>
      </c>
      <c r="Y377" s="8">
        <v>0</v>
      </c>
      <c r="Z377" s="8">
        <v>0</v>
      </c>
      <c r="AA377" s="11">
        <v>0.125</v>
      </c>
      <c r="AB377" s="11">
        <v>1</v>
      </c>
      <c r="AC377" s="11">
        <v>0</v>
      </c>
      <c r="AD377" s="11">
        <v>0</v>
      </c>
    </row>
    <row r="378" customFormat="1" ht="22" customHeight="1" spans="1:30">
      <c r="A378" s="8" t="s">
        <v>31</v>
      </c>
      <c r="B378" s="8" t="e">
        <f>VLOOKUP(E378,[1]Sheet1!$C:$E,2,FALSE)</f>
        <v>#N/A</v>
      </c>
      <c r="C378" s="8" t="e">
        <f>VLOOKUP(E378,[1]Sheet1!$C:$E,3,FALSE)</f>
        <v>#N/A</v>
      </c>
      <c r="D378" s="12" t="s">
        <v>407</v>
      </c>
      <c r="E378" s="13">
        <v>511772932</v>
      </c>
      <c r="F378" s="12">
        <v>4.6</v>
      </c>
      <c r="G378" s="8">
        <v>12</v>
      </c>
      <c r="H378" s="8">
        <v>329.08</v>
      </c>
      <c r="I378" s="8">
        <v>0</v>
      </c>
      <c r="J378" s="8">
        <v>27.42</v>
      </c>
      <c r="K378" s="8">
        <v>910</v>
      </c>
      <c r="L378" s="11">
        <v>0.086</v>
      </c>
      <c r="M378" s="11">
        <v>0.154</v>
      </c>
      <c r="N378" s="11">
        <v>0.0132</v>
      </c>
      <c r="O378" s="8">
        <v>0</v>
      </c>
      <c r="P378" s="8">
        <v>0</v>
      </c>
      <c r="Q378" s="8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0.295</v>
      </c>
      <c r="W378" s="8">
        <v>0</v>
      </c>
      <c r="X378" s="8">
        <v>0</v>
      </c>
      <c r="Y378" s="8">
        <v>0</v>
      </c>
      <c r="Z378" s="8">
        <v>0</v>
      </c>
      <c r="AA378" s="11">
        <v>0</v>
      </c>
      <c r="AB378" s="11">
        <v>0</v>
      </c>
      <c r="AC378" s="11">
        <v>0</v>
      </c>
      <c r="AD378" s="11">
        <v>0</v>
      </c>
    </row>
    <row r="379" customFormat="1" ht="22" customHeight="1" spans="1:30">
      <c r="A379" s="8" t="s">
        <v>31</v>
      </c>
      <c r="B379" s="8" t="str">
        <f>VLOOKUP(E379,[1]Sheet1!$C:$E,2,FALSE)</f>
        <v>岳贝贝</v>
      </c>
      <c r="C379" s="9" t="str">
        <f>VLOOKUP(E379,[1]Sheet1!$C:$E,3,FALSE)</f>
        <v>A</v>
      </c>
      <c r="D379" s="12" t="s">
        <v>408</v>
      </c>
      <c r="E379" s="13">
        <v>1352233024</v>
      </c>
      <c r="F379" s="12">
        <v>4.7</v>
      </c>
      <c r="G379" s="8">
        <v>8</v>
      </c>
      <c r="H379" s="8">
        <v>328.96</v>
      </c>
      <c r="I379" s="8">
        <v>54.49</v>
      </c>
      <c r="J379" s="8">
        <v>41.12</v>
      </c>
      <c r="K379" s="8">
        <v>750</v>
      </c>
      <c r="L379" s="11">
        <v>0.088</v>
      </c>
      <c r="M379" s="11">
        <v>0.121</v>
      </c>
      <c r="N379" s="11">
        <v>0.0106</v>
      </c>
      <c r="O379" s="8">
        <v>674</v>
      </c>
      <c r="P379" s="8">
        <v>76</v>
      </c>
      <c r="Q379" s="8">
        <v>3</v>
      </c>
      <c r="R379" s="11">
        <v>0.076</v>
      </c>
      <c r="S379" s="11">
        <v>0.197</v>
      </c>
      <c r="T379" s="11">
        <v>0.098</v>
      </c>
      <c r="U379" s="11">
        <v>0.2</v>
      </c>
      <c r="V379" s="11">
        <v>0.156</v>
      </c>
      <c r="W379" s="8">
        <v>0</v>
      </c>
      <c r="X379" s="8">
        <v>0</v>
      </c>
      <c r="Y379" s="8">
        <v>0</v>
      </c>
      <c r="Z379" s="8">
        <v>0</v>
      </c>
      <c r="AA379" s="11">
        <v>0</v>
      </c>
      <c r="AB379" s="11">
        <v>0</v>
      </c>
      <c r="AC379" s="11">
        <v>0</v>
      </c>
      <c r="AD379" s="11">
        <v>0</v>
      </c>
    </row>
    <row r="380" customFormat="1" ht="22" customHeight="1" spans="1:30">
      <c r="A380" s="8" t="s">
        <v>31</v>
      </c>
      <c r="B380" s="8" t="e">
        <f>VLOOKUP(E380,[1]Sheet1!$C:$E,2,FALSE)</f>
        <v>#N/A</v>
      </c>
      <c r="C380" s="8" t="e">
        <f>VLOOKUP(E380,[1]Sheet1!$C:$E,3,FALSE)</f>
        <v>#N/A</v>
      </c>
      <c r="D380" s="8" t="s">
        <v>409</v>
      </c>
      <c r="E380" s="10">
        <v>1149142444</v>
      </c>
      <c r="F380" s="8">
        <v>4.8</v>
      </c>
      <c r="G380" s="8">
        <v>17</v>
      </c>
      <c r="H380" s="8">
        <v>323.64</v>
      </c>
      <c r="I380" s="8">
        <v>26.25</v>
      </c>
      <c r="J380" s="8">
        <v>19.04</v>
      </c>
      <c r="K380" s="8">
        <v>1887</v>
      </c>
      <c r="L380" s="11">
        <v>0.108</v>
      </c>
      <c r="M380" s="11">
        <v>0.084</v>
      </c>
      <c r="N380" s="11">
        <v>0.0091</v>
      </c>
      <c r="O380" s="8">
        <v>1725</v>
      </c>
      <c r="P380" s="8">
        <v>162</v>
      </c>
      <c r="Q380" s="8">
        <v>5</v>
      </c>
      <c r="R380" s="11">
        <v>0.1</v>
      </c>
      <c r="S380" s="11">
        <v>0.191</v>
      </c>
      <c r="T380" s="11">
        <v>0.07</v>
      </c>
      <c r="U380" s="11">
        <v>0.161</v>
      </c>
      <c r="V380" s="11">
        <v>0.097</v>
      </c>
      <c r="W380" s="8">
        <v>2</v>
      </c>
      <c r="X380" s="8">
        <v>1</v>
      </c>
      <c r="Y380" s="8">
        <v>0</v>
      </c>
      <c r="Z380" s="8">
        <v>1</v>
      </c>
      <c r="AA380" s="11">
        <v>0.1176</v>
      </c>
      <c r="AB380" s="11">
        <v>0.5</v>
      </c>
      <c r="AC380" s="11">
        <v>0</v>
      </c>
      <c r="AD380" s="11">
        <v>0.5</v>
      </c>
    </row>
    <row r="381" customFormat="1" ht="22" customHeight="1" spans="1:30">
      <c r="A381" s="8" t="s">
        <v>31</v>
      </c>
      <c r="B381" s="8" t="str">
        <f>VLOOKUP(E381,[1]Sheet1!$C:$E,2,FALSE)</f>
        <v>岳贝贝</v>
      </c>
      <c r="C381" s="9" t="str">
        <f>VLOOKUP(E381,[1]Sheet1!$C:$E,3,FALSE)</f>
        <v>A</v>
      </c>
      <c r="D381" s="8" t="s">
        <v>410</v>
      </c>
      <c r="E381" s="10">
        <v>1310465222</v>
      </c>
      <c r="F381" s="8">
        <v>4.8</v>
      </c>
      <c r="G381" s="8">
        <v>21</v>
      </c>
      <c r="H381" s="8">
        <v>321.83</v>
      </c>
      <c r="I381" s="8">
        <v>25.07</v>
      </c>
      <c r="J381" s="8">
        <v>15.33</v>
      </c>
      <c r="K381" s="8">
        <v>918</v>
      </c>
      <c r="L381" s="11">
        <v>0.077</v>
      </c>
      <c r="M381" s="11">
        <v>0.296</v>
      </c>
      <c r="N381" s="11">
        <v>0.0228</v>
      </c>
      <c r="O381" s="8">
        <v>735</v>
      </c>
      <c r="P381" s="8">
        <v>183</v>
      </c>
      <c r="Q381" s="8">
        <v>13</v>
      </c>
      <c r="R381" s="11">
        <v>0.05</v>
      </c>
      <c r="S381" s="11">
        <v>0.186</v>
      </c>
      <c r="T381" s="11">
        <v>0.216</v>
      </c>
      <c r="U381" s="11">
        <v>0.382</v>
      </c>
      <c r="V381" s="11">
        <v>0.234</v>
      </c>
      <c r="W381" s="8">
        <v>1</v>
      </c>
      <c r="X381" s="8">
        <v>1</v>
      </c>
      <c r="Y381" s="8">
        <v>0</v>
      </c>
      <c r="Z381" s="8">
        <v>0</v>
      </c>
      <c r="AA381" s="11">
        <v>0.0476</v>
      </c>
      <c r="AB381" s="11">
        <v>1</v>
      </c>
      <c r="AC381" s="11">
        <v>0</v>
      </c>
      <c r="AD381" s="11">
        <v>0</v>
      </c>
    </row>
    <row r="382" customFormat="1" ht="22" customHeight="1" spans="1:30">
      <c r="A382" s="8" t="s">
        <v>31</v>
      </c>
      <c r="B382" s="8" t="e">
        <f>VLOOKUP(E382,[1]Sheet1!$C:$E,2,FALSE)</f>
        <v>#N/A</v>
      </c>
      <c r="C382" s="8" t="e">
        <f>VLOOKUP(E382,[1]Sheet1!$C:$E,3,FALSE)</f>
        <v>#N/A</v>
      </c>
      <c r="D382" s="8" t="s">
        <v>411</v>
      </c>
      <c r="E382" s="10">
        <v>1332431531</v>
      </c>
      <c r="F382" s="8">
        <v>4.9</v>
      </c>
      <c r="G382" s="8">
        <v>7</v>
      </c>
      <c r="H382" s="8">
        <v>316.28</v>
      </c>
      <c r="I382" s="8">
        <v>47.43</v>
      </c>
      <c r="J382" s="8">
        <v>45.18</v>
      </c>
      <c r="K382" s="8">
        <v>946</v>
      </c>
      <c r="L382" s="11">
        <v>0.088</v>
      </c>
      <c r="M382" s="11">
        <v>0.084</v>
      </c>
      <c r="N382" s="11">
        <v>0.0074</v>
      </c>
      <c r="O382" s="8">
        <v>872</v>
      </c>
      <c r="P382" s="8">
        <v>74</v>
      </c>
      <c r="Q382" s="8">
        <v>3</v>
      </c>
      <c r="R382" s="11">
        <v>0.083</v>
      </c>
      <c r="S382" s="11">
        <v>0.149</v>
      </c>
      <c r="T382" s="11">
        <v>0.056</v>
      </c>
      <c r="U382" s="11">
        <v>0.273</v>
      </c>
      <c r="V382" s="11">
        <v>0.279</v>
      </c>
      <c r="W382" s="8">
        <v>0</v>
      </c>
      <c r="X382" s="8">
        <v>0</v>
      </c>
      <c r="Y382" s="8">
        <v>0</v>
      </c>
      <c r="Z382" s="8">
        <v>0</v>
      </c>
      <c r="AA382" s="11">
        <v>0</v>
      </c>
      <c r="AB382" s="11">
        <v>0</v>
      </c>
      <c r="AC382" s="11">
        <v>0</v>
      </c>
      <c r="AD382" s="11">
        <v>0</v>
      </c>
    </row>
    <row r="383" customFormat="1" ht="22" customHeight="1" spans="1:30">
      <c r="A383" s="8" t="s">
        <v>31</v>
      </c>
      <c r="B383" s="8" t="e">
        <f>VLOOKUP(E383,[1]Sheet1!$C:$E,2,FALSE)</f>
        <v>#N/A</v>
      </c>
      <c r="C383" s="8" t="e">
        <f>VLOOKUP(E383,[1]Sheet1!$C:$E,3,FALSE)</f>
        <v>#N/A</v>
      </c>
      <c r="D383" s="8" t="s">
        <v>412</v>
      </c>
      <c r="E383" s="10">
        <v>540354595</v>
      </c>
      <c r="F383" s="8">
        <v>4.8</v>
      </c>
      <c r="G383" s="8">
        <v>16</v>
      </c>
      <c r="H383" s="8">
        <v>309.62</v>
      </c>
      <c r="I383" s="8">
        <v>29.46</v>
      </c>
      <c r="J383" s="8">
        <v>19.35</v>
      </c>
      <c r="K383" s="8">
        <v>1412</v>
      </c>
      <c r="L383" s="11">
        <v>0.072</v>
      </c>
      <c r="M383" s="11">
        <v>0.157</v>
      </c>
      <c r="N383" s="11">
        <v>0.0113</v>
      </c>
      <c r="O383" s="8">
        <v>1232</v>
      </c>
      <c r="P383" s="8">
        <v>180</v>
      </c>
      <c r="Q383" s="8">
        <v>6</v>
      </c>
      <c r="R383" s="11">
        <v>0.071</v>
      </c>
      <c r="S383" s="11">
        <v>0.083</v>
      </c>
      <c r="T383" s="11">
        <v>0.115</v>
      </c>
      <c r="U383" s="11">
        <v>0.4</v>
      </c>
      <c r="V383" s="11">
        <v>0.177</v>
      </c>
      <c r="W383" s="8">
        <v>1</v>
      </c>
      <c r="X383" s="8">
        <v>0</v>
      </c>
      <c r="Y383" s="8">
        <v>1</v>
      </c>
      <c r="Z383" s="8">
        <v>0</v>
      </c>
      <c r="AA383" s="11">
        <v>0.0625</v>
      </c>
      <c r="AB383" s="11">
        <v>0</v>
      </c>
      <c r="AC383" s="11">
        <v>1</v>
      </c>
      <c r="AD383" s="11">
        <v>0</v>
      </c>
    </row>
    <row r="384" customFormat="1" ht="22" customHeight="1" spans="1:30">
      <c r="A384" s="8" t="s">
        <v>31</v>
      </c>
      <c r="B384" s="8" t="str">
        <f>VLOOKUP(E384,[1]Sheet1!$C:$E,2,FALSE)</f>
        <v>徐从众</v>
      </c>
      <c r="C384" s="9" t="str">
        <f>VLOOKUP(E384,[1]Sheet1!$C:$E,3,FALSE)</f>
        <v>A</v>
      </c>
      <c r="D384" s="8" t="s">
        <v>413</v>
      </c>
      <c r="E384" s="10">
        <v>1316325261</v>
      </c>
      <c r="F384" s="8">
        <v>4.9</v>
      </c>
      <c r="G384" s="8">
        <v>14</v>
      </c>
      <c r="H384" s="8">
        <v>308.74</v>
      </c>
      <c r="I384" s="8">
        <v>27.56</v>
      </c>
      <c r="J384" s="8">
        <v>22.05</v>
      </c>
      <c r="K384" s="8">
        <v>1499</v>
      </c>
      <c r="L384" s="11">
        <v>0.065</v>
      </c>
      <c r="M384" s="11">
        <v>0.144</v>
      </c>
      <c r="N384" s="11">
        <v>0.0094</v>
      </c>
      <c r="O384" s="8">
        <v>1271</v>
      </c>
      <c r="P384" s="8">
        <v>228</v>
      </c>
      <c r="Q384" s="8">
        <v>9</v>
      </c>
      <c r="R384" s="11">
        <v>0.056</v>
      </c>
      <c r="S384" s="11">
        <v>0.114</v>
      </c>
      <c r="T384" s="11">
        <v>0.07</v>
      </c>
      <c r="U384" s="11">
        <v>0.346</v>
      </c>
      <c r="V384" s="11">
        <v>0.256</v>
      </c>
      <c r="W384" s="8">
        <v>0</v>
      </c>
      <c r="X384" s="8">
        <v>0</v>
      </c>
      <c r="Y384" s="8">
        <v>0</v>
      </c>
      <c r="Z384" s="8">
        <v>0</v>
      </c>
      <c r="AA384" s="11">
        <v>0</v>
      </c>
      <c r="AB384" s="11">
        <v>0</v>
      </c>
      <c r="AC384" s="11">
        <v>0</v>
      </c>
      <c r="AD384" s="11">
        <v>0</v>
      </c>
    </row>
    <row r="385" customFormat="1" ht="22" customHeight="1" spans="1:30">
      <c r="A385" s="8" t="s">
        <v>31</v>
      </c>
      <c r="B385" s="8" t="e">
        <f>VLOOKUP(E385,[1]Sheet1!$C:$E,2,FALSE)</f>
        <v>#N/A</v>
      </c>
      <c r="C385" s="8" t="e">
        <f>VLOOKUP(E385,[1]Sheet1!$C:$E,3,FALSE)</f>
        <v>#N/A</v>
      </c>
      <c r="D385" s="12" t="s">
        <v>414</v>
      </c>
      <c r="E385" s="13">
        <v>543414834</v>
      </c>
      <c r="F385" s="12">
        <v>4.7</v>
      </c>
      <c r="G385" s="8">
        <v>21</v>
      </c>
      <c r="H385" s="8">
        <v>308.23</v>
      </c>
      <c r="I385" s="8">
        <v>19.05</v>
      </c>
      <c r="J385" s="8">
        <v>14.68</v>
      </c>
      <c r="K385" s="8">
        <v>2032</v>
      </c>
      <c r="L385" s="11">
        <v>0.052</v>
      </c>
      <c r="M385" s="11">
        <v>0.19</v>
      </c>
      <c r="N385" s="11">
        <v>0.0099</v>
      </c>
      <c r="O385" s="8">
        <v>1836</v>
      </c>
      <c r="P385" s="8">
        <v>196</v>
      </c>
      <c r="Q385" s="8">
        <v>10</v>
      </c>
      <c r="R385" s="11">
        <v>0.045</v>
      </c>
      <c r="S385" s="11">
        <v>0.117</v>
      </c>
      <c r="T385" s="11">
        <v>0.122</v>
      </c>
      <c r="U385" s="11">
        <v>0.435</v>
      </c>
      <c r="V385" s="11">
        <v>0.142</v>
      </c>
      <c r="W385" s="8">
        <v>0</v>
      </c>
      <c r="X385" s="8">
        <v>0</v>
      </c>
      <c r="Y385" s="8">
        <v>0</v>
      </c>
      <c r="Z385" s="8">
        <v>0</v>
      </c>
      <c r="AA385" s="11">
        <v>0</v>
      </c>
      <c r="AB385" s="11">
        <v>0</v>
      </c>
      <c r="AC385" s="11">
        <v>0</v>
      </c>
      <c r="AD385" s="11">
        <v>0</v>
      </c>
    </row>
    <row r="386" customFormat="1" ht="22" customHeight="1" spans="1:30">
      <c r="A386" s="8" t="s">
        <v>31</v>
      </c>
      <c r="B386" s="8" t="str">
        <f>VLOOKUP(E386,[1]Sheet1!$C:$E,2,FALSE)</f>
        <v>徐从众</v>
      </c>
      <c r="C386" s="9" t="str">
        <f>VLOOKUP(E386,[1]Sheet1!$C:$E,3,FALSE)</f>
        <v>S</v>
      </c>
      <c r="D386" s="8" t="s">
        <v>415</v>
      </c>
      <c r="E386" s="10">
        <v>533811820</v>
      </c>
      <c r="F386" s="8">
        <v>4.9</v>
      </c>
      <c r="G386" s="8">
        <v>8</v>
      </c>
      <c r="H386" s="8">
        <v>307.7</v>
      </c>
      <c r="I386" s="8">
        <v>47.39</v>
      </c>
      <c r="J386" s="8">
        <v>38.46</v>
      </c>
      <c r="K386" s="8">
        <v>706</v>
      </c>
      <c r="L386" s="11">
        <v>0.055</v>
      </c>
      <c r="M386" s="11">
        <v>0.205</v>
      </c>
      <c r="N386" s="11">
        <v>0.0113</v>
      </c>
      <c r="O386" s="8">
        <v>625</v>
      </c>
      <c r="P386" s="8">
        <v>81</v>
      </c>
      <c r="Q386" s="8">
        <v>4</v>
      </c>
      <c r="R386" s="11">
        <v>0.045</v>
      </c>
      <c r="S386" s="11">
        <v>0.136</v>
      </c>
      <c r="T386" s="11">
        <v>0.143</v>
      </c>
      <c r="U386" s="11">
        <v>0.364</v>
      </c>
      <c r="V386" s="11">
        <v>0.221</v>
      </c>
      <c r="W386" s="8">
        <v>1</v>
      </c>
      <c r="X386" s="8">
        <v>1</v>
      </c>
      <c r="Y386" s="8">
        <v>0</v>
      </c>
      <c r="Z386" s="8">
        <v>0</v>
      </c>
      <c r="AA386" s="11">
        <v>0.125</v>
      </c>
      <c r="AB386" s="11">
        <v>1</v>
      </c>
      <c r="AC386" s="11">
        <v>0</v>
      </c>
      <c r="AD386" s="11">
        <v>0</v>
      </c>
    </row>
    <row r="387" customFormat="1" ht="22" customHeight="1" spans="1:30">
      <c r="A387" s="8" t="s">
        <v>31</v>
      </c>
      <c r="B387" s="8" t="str">
        <f>VLOOKUP(E387,[1]Sheet1!$C:$E,2,FALSE)</f>
        <v>徐从众</v>
      </c>
      <c r="C387" s="8" t="str">
        <f>VLOOKUP(E387,[1]Sheet1!$C:$E,3,FALSE)</f>
        <v>B</v>
      </c>
      <c r="D387" s="8" t="s">
        <v>416</v>
      </c>
      <c r="E387" s="10">
        <v>1327940502</v>
      </c>
      <c r="F387" s="8">
        <v>4.8</v>
      </c>
      <c r="G387" s="8">
        <v>22</v>
      </c>
      <c r="H387" s="8">
        <v>307.09</v>
      </c>
      <c r="I387" s="8">
        <v>19.97</v>
      </c>
      <c r="J387" s="8">
        <v>13.96</v>
      </c>
      <c r="K387" s="8">
        <v>1172</v>
      </c>
      <c r="L387" s="11">
        <v>0.078</v>
      </c>
      <c r="M387" s="11">
        <v>0.239</v>
      </c>
      <c r="N387" s="11">
        <v>0.0186</v>
      </c>
      <c r="O387" s="8">
        <v>1019</v>
      </c>
      <c r="P387" s="8">
        <v>153</v>
      </c>
      <c r="Q387" s="8">
        <v>12</v>
      </c>
      <c r="R387" s="11">
        <v>0.06</v>
      </c>
      <c r="S387" s="11">
        <v>0.203</v>
      </c>
      <c r="T387" s="11">
        <v>0.164</v>
      </c>
      <c r="U387" s="11">
        <v>0.387</v>
      </c>
      <c r="V387" s="11">
        <v>0.285</v>
      </c>
      <c r="W387" s="8">
        <v>3</v>
      </c>
      <c r="X387" s="8">
        <v>2</v>
      </c>
      <c r="Y387" s="8">
        <v>0</v>
      </c>
      <c r="Z387" s="8">
        <v>1</v>
      </c>
      <c r="AA387" s="11">
        <v>0.1364</v>
      </c>
      <c r="AB387" s="11">
        <v>0.6667</v>
      </c>
      <c r="AC387" s="11">
        <v>0</v>
      </c>
      <c r="AD387" s="11">
        <v>0.3333</v>
      </c>
    </row>
    <row r="388" customFormat="1" ht="22" customHeight="1" spans="1:30">
      <c r="A388" s="8" t="s">
        <v>31</v>
      </c>
      <c r="B388" s="8" t="str">
        <f>VLOOKUP(E388,[1]Sheet1!$C:$E,2,FALSE)</f>
        <v>刘欢</v>
      </c>
      <c r="C388" s="8">
        <f>VLOOKUP(E388,[1]Sheet1!$C:$E,3,FALSE)</f>
        <v>0</v>
      </c>
      <c r="D388" s="8" t="s">
        <v>417</v>
      </c>
      <c r="E388" s="10">
        <v>544340684</v>
      </c>
      <c r="F388" s="8">
        <v>4.8</v>
      </c>
      <c r="G388" s="8">
        <v>6</v>
      </c>
      <c r="H388" s="8">
        <v>305.57</v>
      </c>
      <c r="I388" s="8">
        <v>56.61</v>
      </c>
      <c r="J388" s="8">
        <v>50.93</v>
      </c>
      <c r="K388" s="8">
        <v>656</v>
      </c>
      <c r="L388" s="11">
        <v>0.078</v>
      </c>
      <c r="M388" s="11">
        <v>0.118</v>
      </c>
      <c r="N388" s="11">
        <v>0.0092</v>
      </c>
      <c r="O388" s="8">
        <v>615</v>
      </c>
      <c r="P388" s="8">
        <v>41</v>
      </c>
      <c r="Q388" s="8">
        <v>1</v>
      </c>
      <c r="R388" s="11">
        <v>0.076</v>
      </c>
      <c r="S388" s="11">
        <v>0.098</v>
      </c>
      <c r="T388" s="11">
        <v>0.106</v>
      </c>
      <c r="U388" s="11">
        <v>0.25</v>
      </c>
      <c r="V388" s="11">
        <v>0.102</v>
      </c>
      <c r="W388" s="8">
        <v>1</v>
      </c>
      <c r="X388" s="8">
        <v>1</v>
      </c>
      <c r="Y388" s="8">
        <v>0</v>
      </c>
      <c r="Z388" s="8">
        <v>0</v>
      </c>
      <c r="AA388" s="11">
        <v>0.1667</v>
      </c>
      <c r="AB388" s="11">
        <v>1</v>
      </c>
      <c r="AC388" s="11">
        <v>0</v>
      </c>
      <c r="AD388" s="11">
        <v>0</v>
      </c>
    </row>
    <row r="389" customFormat="1" ht="22" customHeight="1" spans="1:30">
      <c r="A389" s="8" t="s">
        <v>31</v>
      </c>
      <c r="B389" s="8" t="str">
        <f>VLOOKUP(E389,[1]Sheet1!$C:$E,2,FALSE)</f>
        <v>王森</v>
      </c>
      <c r="C389" s="8">
        <f>VLOOKUP(E389,[1]Sheet1!$C:$E,3,FALSE)</f>
        <v>0</v>
      </c>
      <c r="D389" s="12" t="s">
        <v>418</v>
      </c>
      <c r="E389" s="13">
        <v>544082445</v>
      </c>
      <c r="F389" s="12">
        <v>4.5</v>
      </c>
      <c r="G389" s="8">
        <v>8</v>
      </c>
      <c r="H389" s="8">
        <v>304.51</v>
      </c>
      <c r="I389" s="8">
        <v>43.7</v>
      </c>
      <c r="J389" s="8">
        <v>38.06</v>
      </c>
      <c r="K389" s="8">
        <v>732</v>
      </c>
      <c r="L389" s="11">
        <v>0.093</v>
      </c>
      <c r="M389" s="11">
        <v>0.118</v>
      </c>
      <c r="N389" s="11">
        <v>0.011</v>
      </c>
      <c r="O389" s="8">
        <v>684</v>
      </c>
      <c r="P389" s="8">
        <v>48</v>
      </c>
      <c r="Q389" s="8">
        <v>2</v>
      </c>
      <c r="R389" s="11">
        <v>0.092</v>
      </c>
      <c r="S389" s="11">
        <v>0.104</v>
      </c>
      <c r="T389" s="11">
        <v>0.095</v>
      </c>
      <c r="U389" s="11">
        <v>0.4</v>
      </c>
      <c r="V389" s="11">
        <v>0.164</v>
      </c>
      <c r="W389" s="8">
        <v>3</v>
      </c>
      <c r="X389" s="8">
        <v>3</v>
      </c>
      <c r="Y389" s="8">
        <v>0</v>
      </c>
      <c r="Z389" s="8">
        <v>0</v>
      </c>
      <c r="AA389" s="11">
        <v>0.375</v>
      </c>
      <c r="AB389" s="11">
        <v>1</v>
      </c>
      <c r="AC389" s="11">
        <v>0</v>
      </c>
      <c r="AD389" s="11">
        <v>0</v>
      </c>
    </row>
    <row r="390" customFormat="1" ht="22" customHeight="1" spans="1:30">
      <c r="A390" s="8" t="s">
        <v>31</v>
      </c>
      <c r="B390" s="8" t="str">
        <f>VLOOKUP(E390,[1]Sheet1!$C:$E,2,FALSE)</f>
        <v>岳贝贝</v>
      </c>
      <c r="C390" s="8">
        <f>VLOOKUP(E390,[1]Sheet1!$C:$E,3,FALSE)</f>
        <v>0</v>
      </c>
      <c r="D390" s="8" t="s">
        <v>419</v>
      </c>
      <c r="E390" s="10">
        <v>1317753106</v>
      </c>
      <c r="F390" s="8">
        <v>4.8</v>
      </c>
      <c r="G390" s="8">
        <v>38</v>
      </c>
      <c r="H390" s="14">
        <v>299.63</v>
      </c>
      <c r="I390" s="8">
        <v>0</v>
      </c>
      <c r="J390" s="8">
        <v>7.89</v>
      </c>
      <c r="K390" s="8">
        <v>1961</v>
      </c>
      <c r="L390" s="11">
        <v>0.063</v>
      </c>
      <c r="M390" s="11">
        <v>0.29</v>
      </c>
      <c r="N390" s="11">
        <v>0.0183</v>
      </c>
      <c r="O390" s="8">
        <v>0</v>
      </c>
      <c r="P390" s="8">
        <v>0</v>
      </c>
      <c r="Q390" s="8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0.299</v>
      </c>
      <c r="W390" s="8">
        <v>0</v>
      </c>
      <c r="X390" s="8">
        <v>0</v>
      </c>
      <c r="Y390" s="8">
        <v>0</v>
      </c>
      <c r="Z390" s="8">
        <v>0</v>
      </c>
      <c r="AA390" s="11">
        <v>0</v>
      </c>
      <c r="AB390" s="11">
        <v>0</v>
      </c>
      <c r="AC390" s="11">
        <v>0</v>
      </c>
      <c r="AD390" s="11">
        <v>0</v>
      </c>
    </row>
    <row r="391" customFormat="1" ht="22" customHeight="1" spans="1:30">
      <c r="A391" s="8" t="s">
        <v>31</v>
      </c>
      <c r="B391" s="8" t="e">
        <f>VLOOKUP(E391,[1]Sheet1!$C:$E,2,FALSE)</f>
        <v>#N/A</v>
      </c>
      <c r="C391" s="8" t="e">
        <f>VLOOKUP(E391,[1]Sheet1!$C:$E,3,FALSE)</f>
        <v>#N/A</v>
      </c>
      <c r="D391" s="8" t="s">
        <v>420</v>
      </c>
      <c r="E391" s="10">
        <v>544937372</v>
      </c>
      <c r="F391" s="8">
        <v>4.9</v>
      </c>
      <c r="G391" s="8">
        <v>4</v>
      </c>
      <c r="H391" s="14">
        <v>296.89</v>
      </c>
      <c r="I391" s="8">
        <v>75.68</v>
      </c>
      <c r="J391" s="8">
        <v>74.22</v>
      </c>
      <c r="K391" s="8">
        <v>1626</v>
      </c>
      <c r="L391" s="11">
        <v>0.047</v>
      </c>
      <c r="M391" s="11">
        <v>0.053</v>
      </c>
      <c r="N391" s="11">
        <v>0.0025</v>
      </c>
      <c r="O391" s="8">
        <v>1552</v>
      </c>
      <c r="P391" s="8">
        <v>74</v>
      </c>
      <c r="Q391" s="8">
        <v>1</v>
      </c>
      <c r="R391" s="11">
        <v>0.041</v>
      </c>
      <c r="S391" s="11">
        <v>0.162</v>
      </c>
      <c r="T391" s="11">
        <v>0.047</v>
      </c>
      <c r="U391" s="11">
        <v>0.083</v>
      </c>
      <c r="V391" s="11">
        <v>0.103</v>
      </c>
      <c r="W391" s="8">
        <v>0</v>
      </c>
      <c r="X391" s="8">
        <v>0</v>
      </c>
      <c r="Y391" s="8">
        <v>0</v>
      </c>
      <c r="Z391" s="8">
        <v>0</v>
      </c>
      <c r="AA391" s="11">
        <v>0</v>
      </c>
      <c r="AB391" s="11">
        <v>0</v>
      </c>
      <c r="AC391" s="11">
        <v>0</v>
      </c>
      <c r="AD391" s="11">
        <v>0</v>
      </c>
    </row>
    <row r="392" customFormat="1" ht="22" customHeight="1" spans="1:30">
      <c r="A392" s="8" t="s">
        <v>31</v>
      </c>
      <c r="B392" s="8" t="str">
        <f>VLOOKUP(E392,[1]Sheet1!$C:$E,2,FALSE)</f>
        <v>刘欢</v>
      </c>
      <c r="C392" s="9" t="str">
        <f>VLOOKUP(E392,[1]Sheet1!$C:$E,3,FALSE)</f>
        <v>A</v>
      </c>
      <c r="D392" s="12" t="s">
        <v>421</v>
      </c>
      <c r="E392" s="13">
        <v>544341224</v>
      </c>
      <c r="F392" s="12">
        <v>4.7</v>
      </c>
      <c r="G392" s="8">
        <v>8</v>
      </c>
      <c r="H392" s="14">
        <v>290.5</v>
      </c>
      <c r="I392" s="8">
        <v>0</v>
      </c>
      <c r="J392" s="8">
        <v>36.31</v>
      </c>
      <c r="K392" s="8">
        <v>1126</v>
      </c>
      <c r="L392" s="11">
        <v>0.041</v>
      </c>
      <c r="M392" s="11">
        <v>0.152</v>
      </c>
      <c r="N392" s="11">
        <v>0.0062</v>
      </c>
      <c r="O392" s="8">
        <v>0</v>
      </c>
      <c r="P392" s="8">
        <v>0</v>
      </c>
      <c r="Q392" s="8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0.137</v>
      </c>
      <c r="W392" s="8">
        <v>0</v>
      </c>
      <c r="X392" s="8">
        <v>0</v>
      </c>
      <c r="Y392" s="8">
        <v>0</v>
      </c>
      <c r="Z392" s="8">
        <v>0</v>
      </c>
      <c r="AA392" s="11">
        <v>0</v>
      </c>
      <c r="AB392" s="11">
        <v>0</v>
      </c>
      <c r="AC392" s="11">
        <v>0</v>
      </c>
      <c r="AD392" s="11">
        <v>0</v>
      </c>
    </row>
    <row r="393" customFormat="1" ht="22" customHeight="1" spans="1:30">
      <c r="A393" s="8" t="s">
        <v>31</v>
      </c>
      <c r="B393" s="8" t="str">
        <f>VLOOKUP(E393,[1]Sheet1!$C:$E,2,FALSE)</f>
        <v>徐从众</v>
      </c>
      <c r="C393" s="8" t="str">
        <f>VLOOKUP(E393,[1]Sheet1!$C:$E,3,FALSE)</f>
        <v>B</v>
      </c>
      <c r="D393" s="8" t="s">
        <v>422</v>
      </c>
      <c r="E393" s="10">
        <v>1308715853</v>
      </c>
      <c r="F393" s="8">
        <v>4.8</v>
      </c>
      <c r="G393" s="8">
        <v>34</v>
      </c>
      <c r="H393" s="14">
        <v>287.11</v>
      </c>
      <c r="I393" s="8">
        <v>12.16</v>
      </c>
      <c r="J393" s="8">
        <v>8.44</v>
      </c>
      <c r="K393" s="8">
        <v>1710</v>
      </c>
      <c r="L393" s="11">
        <v>0.064</v>
      </c>
      <c r="M393" s="11">
        <v>0.291</v>
      </c>
      <c r="N393" s="11">
        <v>0.0186</v>
      </c>
      <c r="O393" s="8">
        <v>1449</v>
      </c>
      <c r="P393" s="8">
        <v>261</v>
      </c>
      <c r="Q393" s="8">
        <v>16</v>
      </c>
      <c r="R393" s="11">
        <v>0.057</v>
      </c>
      <c r="S393" s="11">
        <v>0.103</v>
      </c>
      <c r="T393" s="11">
        <v>0.193</v>
      </c>
      <c r="U393" s="11">
        <v>0.593</v>
      </c>
      <c r="V393" s="11">
        <v>0.17</v>
      </c>
      <c r="W393" s="8">
        <v>1</v>
      </c>
      <c r="X393" s="8">
        <v>1</v>
      </c>
      <c r="Y393" s="8">
        <v>0</v>
      </c>
      <c r="Z393" s="8">
        <v>0</v>
      </c>
      <c r="AA393" s="11">
        <v>0.0294</v>
      </c>
      <c r="AB393" s="11">
        <v>1</v>
      </c>
      <c r="AC393" s="11">
        <v>0</v>
      </c>
      <c r="AD393" s="11">
        <v>0</v>
      </c>
    </row>
    <row r="394" customFormat="1" ht="22" customHeight="1" spans="1:30">
      <c r="A394" s="8" t="s">
        <v>31</v>
      </c>
      <c r="B394" s="8" t="e">
        <f>VLOOKUP(E394,[1]Sheet1!$C:$E,2,FALSE)</f>
        <v>#N/A</v>
      </c>
      <c r="C394" s="8" t="e">
        <f>VLOOKUP(E394,[1]Sheet1!$C:$E,3,FALSE)</f>
        <v>#N/A</v>
      </c>
      <c r="D394" s="12" t="s">
        <v>423</v>
      </c>
      <c r="E394" s="13">
        <v>538106341</v>
      </c>
      <c r="F394" s="12">
        <v>4.3</v>
      </c>
      <c r="G394" s="8">
        <v>29</v>
      </c>
      <c r="H394" s="14">
        <v>282.37</v>
      </c>
      <c r="I394" s="8">
        <v>16.34</v>
      </c>
      <c r="J394" s="8">
        <v>9.74</v>
      </c>
      <c r="K394" s="8">
        <v>1446</v>
      </c>
      <c r="L394" s="11">
        <v>0.062</v>
      </c>
      <c r="M394" s="11">
        <v>0.315</v>
      </c>
      <c r="N394" s="11">
        <v>0.0195</v>
      </c>
      <c r="O394" s="8">
        <v>1215</v>
      </c>
      <c r="P394" s="8">
        <v>231</v>
      </c>
      <c r="Q394" s="8">
        <v>9</v>
      </c>
      <c r="R394" s="11">
        <v>0.053</v>
      </c>
      <c r="S394" s="11">
        <v>0.104</v>
      </c>
      <c r="T394" s="11">
        <v>0.292</v>
      </c>
      <c r="U394" s="11">
        <v>0.375</v>
      </c>
      <c r="V394" s="11">
        <v>0.122</v>
      </c>
      <c r="W394" s="8">
        <v>1</v>
      </c>
      <c r="X394" s="8">
        <v>1</v>
      </c>
      <c r="Y394" s="8">
        <v>0</v>
      </c>
      <c r="Z394" s="8">
        <v>0</v>
      </c>
      <c r="AA394" s="11">
        <v>0.0345</v>
      </c>
      <c r="AB394" s="11">
        <v>1</v>
      </c>
      <c r="AC394" s="11">
        <v>0</v>
      </c>
      <c r="AD394" s="11">
        <v>0</v>
      </c>
    </row>
    <row r="395" customFormat="1" ht="22" customHeight="1" spans="1:30">
      <c r="A395" s="8" t="s">
        <v>31</v>
      </c>
      <c r="B395" s="8" t="str">
        <f>VLOOKUP(E395,[1]Sheet1!$C:$E,2,FALSE)</f>
        <v>刘欢</v>
      </c>
      <c r="C395" s="8" t="str">
        <f>VLOOKUP(E395,[1]Sheet1!$C:$E,3,FALSE)</f>
        <v>B</v>
      </c>
      <c r="D395" s="12" t="s">
        <v>424</v>
      </c>
      <c r="E395" s="13">
        <v>1315225130</v>
      </c>
      <c r="F395" s="12">
        <v>4.4</v>
      </c>
      <c r="G395" s="8">
        <v>21</v>
      </c>
      <c r="H395" s="14">
        <v>278.12</v>
      </c>
      <c r="I395" s="8">
        <v>18.93</v>
      </c>
      <c r="J395" s="8">
        <v>13.24</v>
      </c>
      <c r="K395" s="8">
        <v>1965</v>
      </c>
      <c r="L395" s="11">
        <v>0.085</v>
      </c>
      <c r="M395" s="11">
        <v>0.126</v>
      </c>
      <c r="N395" s="11">
        <v>0.0107</v>
      </c>
      <c r="O395" s="8">
        <v>1744</v>
      </c>
      <c r="P395" s="8">
        <v>221</v>
      </c>
      <c r="Q395" s="8">
        <v>7</v>
      </c>
      <c r="R395" s="11">
        <v>0.082</v>
      </c>
      <c r="S395" s="11">
        <v>0.109</v>
      </c>
      <c r="T395" s="11">
        <v>0.098</v>
      </c>
      <c r="U395" s="11">
        <v>0.292</v>
      </c>
      <c r="V395" s="11">
        <v>0.085</v>
      </c>
      <c r="W395" s="8">
        <v>3</v>
      </c>
      <c r="X395" s="8">
        <v>3</v>
      </c>
      <c r="Y395" s="8">
        <v>0</v>
      </c>
      <c r="Z395" s="8">
        <v>0</v>
      </c>
      <c r="AA395" s="11">
        <v>0.1429</v>
      </c>
      <c r="AB395" s="11">
        <v>1</v>
      </c>
      <c r="AC395" s="11">
        <v>0</v>
      </c>
      <c r="AD395" s="11">
        <v>0</v>
      </c>
    </row>
    <row r="396" customFormat="1" ht="22" customHeight="1" spans="1:30">
      <c r="A396" s="8" t="s">
        <v>31</v>
      </c>
      <c r="B396" s="8" t="str">
        <f>VLOOKUP(E396,[1]Sheet1!$C:$E,2,FALSE)</f>
        <v>王森</v>
      </c>
      <c r="C396" s="8">
        <f>VLOOKUP(E396,[1]Sheet1!$C:$E,3,FALSE)</f>
        <v>0</v>
      </c>
      <c r="D396" s="12" t="s">
        <v>425</v>
      </c>
      <c r="E396" s="13">
        <v>1331573828</v>
      </c>
      <c r="F396" s="12">
        <v>4.7</v>
      </c>
      <c r="G396" s="8">
        <v>20</v>
      </c>
      <c r="H396" s="14">
        <v>275.41</v>
      </c>
      <c r="I396" s="8">
        <v>21.08</v>
      </c>
      <c r="J396" s="8">
        <v>13.77</v>
      </c>
      <c r="K396" s="8">
        <v>786</v>
      </c>
      <c r="L396" s="11">
        <v>0.092</v>
      </c>
      <c r="M396" s="11">
        <v>0.278</v>
      </c>
      <c r="N396" s="11">
        <v>0.0256</v>
      </c>
      <c r="O396" s="8">
        <v>647</v>
      </c>
      <c r="P396" s="8">
        <v>139</v>
      </c>
      <c r="Q396" s="8">
        <v>7</v>
      </c>
      <c r="R396" s="11">
        <v>0.082</v>
      </c>
      <c r="S396" s="11">
        <v>0.137</v>
      </c>
      <c r="T396" s="11">
        <v>0.245</v>
      </c>
      <c r="U396" s="11">
        <v>0.368</v>
      </c>
      <c r="V396" s="11">
        <v>0.181</v>
      </c>
      <c r="W396" s="8">
        <v>1</v>
      </c>
      <c r="X396" s="8">
        <v>0</v>
      </c>
      <c r="Y396" s="8">
        <v>0</v>
      </c>
      <c r="Z396" s="8">
        <v>1</v>
      </c>
      <c r="AA396" s="11">
        <v>0.05</v>
      </c>
      <c r="AB396" s="11">
        <v>0</v>
      </c>
      <c r="AC396" s="11">
        <v>0</v>
      </c>
      <c r="AD396" s="11">
        <v>1</v>
      </c>
    </row>
    <row r="397" customFormat="1" ht="22" customHeight="1" spans="1:30">
      <c r="A397" s="8" t="s">
        <v>31</v>
      </c>
      <c r="B397" s="8" t="str">
        <f>VLOOKUP(E397,[1]Sheet1!$C:$E,2,FALSE)</f>
        <v>岳贝贝</v>
      </c>
      <c r="C397" s="8">
        <f>VLOOKUP(E397,[1]Sheet1!$C:$E,3,FALSE)</f>
        <v>0</v>
      </c>
      <c r="D397" s="8" t="s">
        <v>426</v>
      </c>
      <c r="E397" s="10">
        <v>1313629830</v>
      </c>
      <c r="F397" s="8">
        <v>4.8</v>
      </c>
      <c r="G397" s="8">
        <v>23</v>
      </c>
      <c r="H397" s="14">
        <v>270.24</v>
      </c>
      <c r="I397" s="8">
        <v>18.39</v>
      </c>
      <c r="J397" s="8">
        <v>11.75</v>
      </c>
      <c r="K397" s="8">
        <v>1266</v>
      </c>
      <c r="L397" s="11">
        <v>0.062</v>
      </c>
      <c r="M397" s="11">
        <v>0.308</v>
      </c>
      <c r="N397" s="11">
        <v>0.0191</v>
      </c>
      <c r="O397" s="8">
        <v>1055</v>
      </c>
      <c r="P397" s="8">
        <v>211</v>
      </c>
      <c r="Q397" s="8">
        <v>10</v>
      </c>
      <c r="R397" s="11">
        <v>0.055</v>
      </c>
      <c r="S397" s="11">
        <v>0.095</v>
      </c>
      <c r="T397" s="11">
        <v>0.241</v>
      </c>
      <c r="U397" s="11">
        <v>0.5</v>
      </c>
      <c r="V397" s="11">
        <v>0.172</v>
      </c>
      <c r="W397" s="8">
        <v>1</v>
      </c>
      <c r="X397" s="8">
        <v>1</v>
      </c>
      <c r="Y397" s="8">
        <v>0</v>
      </c>
      <c r="Z397" s="8">
        <v>0</v>
      </c>
      <c r="AA397" s="11">
        <v>0.0435</v>
      </c>
      <c r="AB397" s="11">
        <v>1</v>
      </c>
      <c r="AC397" s="11">
        <v>0</v>
      </c>
      <c r="AD397" s="11">
        <v>0</v>
      </c>
    </row>
    <row r="398" customFormat="1" ht="22" customHeight="1" spans="1:30">
      <c r="A398" s="8" t="s">
        <v>31</v>
      </c>
      <c r="B398" s="8" t="str">
        <f>VLOOKUP(E398,[1]Sheet1!$C:$E,2,FALSE)</f>
        <v>刘欢</v>
      </c>
      <c r="C398" s="9" t="str">
        <f>VLOOKUP(E398,[1]Sheet1!$C:$E,3,FALSE)</f>
        <v>A</v>
      </c>
      <c r="D398" s="8" t="s">
        <v>427</v>
      </c>
      <c r="E398" s="10">
        <v>2056847253</v>
      </c>
      <c r="F398" s="8">
        <v>4.9</v>
      </c>
      <c r="G398" s="8">
        <v>6</v>
      </c>
      <c r="H398" s="14">
        <v>269.13</v>
      </c>
      <c r="I398" s="8">
        <v>56.33</v>
      </c>
      <c r="J398" s="8">
        <v>44.86</v>
      </c>
      <c r="K398" s="8">
        <v>450</v>
      </c>
      <c r="L398" s="11">
        <v>0.082</v>
      </c>
      <c r="M398" s="11">
        <v>0.162</v>
      </c>
      <c r="N398" s="11">
        <v>0.0133</v>
      </c>
      <c r="O398" s="8">
        <v>353</v>
      </c>
      <c r="P398" s="8">
        <v>97</v>
      </c>
      <c r="Q398" s="8">
        <v>2</v>
      </c>
      <c r="R398" s="11">
        <v>0.074</v>
      </c>
      <c r="S398" s="11">
        <v>0.113</v>
      </c>
      <c r="T398" s="11">
        <v>0.154</v>
      </c>
      <c r="U398" s="11">
        <v>0.182</v>
      </c>
      <c r="V398" s="11">
        <v>0.24</v>
      </c>
      <c r="W398" s="8">
        <v>0</v>
      </c>
      <c r="X398" s="8">
        <v>0</v>
      </c>
      <c r="Y398" s="8">
        <v>0</v>
      </c>
      <c r="Z398" s="8">
        <v>0</v>
      </c>
      <c r="AA398" s="11">
        <v>0</v>
      </c>
      <c r="AB398" s="11">
        <v>0</v>
      </c>
      <c r="AC398" s="11">
        <v>0</v>
      </c>
      <c r="AD398" s="11">
        <v>0</v>
      </c>
    </row>
    <row r="399" customFormat="1" ht="22" customHeight="1" spans="1:30">
      <c r="A399" s="8" t="s">
        <v>31</v>
      </c>
      <c r="B399" s="8" t="str">
        <f>VLOOKUP(E399,[1]Sheet1!$C:$E,2,FALSE)</f>
        <v>王森</v>
      </c>
      <c r="C399" s="8">
        <f>VLOOKUP(E399,[1]Sheet1!$C:$E,3,FALSE)</f>
        <v>0</v>
      </c>
      <c r="D399" s="12" t="s">
        <v>428</v>
      </c>
      <c r="E399" s="13">
        <v>1343710410</v>
      </c>
      <c r="F399" s="12">
        <v>4.7</v>
      </c>
      <c r="G399" s="8">
        <v>13</v>
      </c>
      <c r="H399" s="14">
        <v>268.7</v>
      </c>
      <c r="I399" s="8">
        <v>31.21</v>
      </c>
      <c r="J399" s="8">
        <v>20.67</v>
      </c>
      <c r="K399" s="8">
        <v>1232</v>
      </c>
      <c r="L399" s="11">
        <v>0.079</v>
      </c>
      <c r="M399" s="11">
        <v>0.134</v>
      </c>
      <c r="N399" s="11">
        <v>0.0106</v>
      </c>
      <c r="O399" s="8">
        <v>1119</v>
      </c>
      <c r="P399" s="8">
        <v>113</v>
      </c>
      <c r="Q399" s="8">
        <v>3</v>
      </c>
      <c r="R399" s="11">
        <v>0.08</v>
      </c>
      <c r="S399" s="11">
        <v>0.071</v>
      </c>
      <c r="T399" s="11">
        <v>0.112</v>
      </c>
      <c r="U399" s="11">
        <v>0.375</v>
      </c>
      <c r="V399" s="11">
        <v>0.08</v>
      </c>
      <c r="W399" s="8">
        <v>1</v>
      </c>
      <c r="X399" s="8">
        <v>1</v>
      </c>
      <c r="Y399" s="8">
        <v>0</v>
      </c>
      <c r="Z399" s="8">
        <v>0</v>
      </c>
      <c r="AA399" s="11">
        <v>0.0769</v>
      </c>
      <c r="AB399" s="11">
        <v>1</v>
      </c>
      <c r="AC399" s="11">
        <v>0</v>
      </c>
      <c r="AD399" s="11">
        <v>0</v>
      </c>
    </row>
    <row r="400" customFormat="1" ht="22" customHeight="1" spans="1:30">
      <c r="A400" s="8" t="s">
        <v>31</v>
      </c>
      <c r="B400" s="8" t="str">
        <f>VLOOKUP(E400,[1]Sheet1!$C:$E,2,FALSE)</f>
        <v>王森</v>
      </c>
      <c r="C400" s="9" t="str">
        <f>VLOOKUP(E400,[1]Sheet1!$C:$E,3,FALSE)</f>
        <v>A</v>
      </c>
      <c r="D400" s="8" t="s">
        <v>429</v>
      </c>
      <c r="E400" s="10">
        <v>1350818373</v>
      </c>
      <c r="F400" s="8">
        <v>4.9</v>
      </c>
      <c r="G400" s="8">
        <v>6</v>
      </c>
      <c r="H400" s="14">
        <v>268.28</v>
      </c>
      <c r="I400" s="8">
        <v>53.61</v>
      </c>
      <c r="J400" s="8">
        <v>44.71</v>
      </c>
      <c r="K400" s="8">
        <v>478</v>
      </c>
      <c r="L400" s="11">
        <v>0.088</v>
      </c>
      <c r="M400" s="11">
        <v>0.143</v>
      </c>
      <c r="N400" s="11">
        <v>0.0126</v>
      </c>
      <c r="O400" s="8">
        <v>438</v>
      </c>
      <c r="P400" s="8">
        <v>40</v>
      </c>
      <c r="Q400" s="8">
        <v>1</v>
      </c>
      <c r="R400" s="11">
        <v>0.087</v>
      </c>
      <c r="S400" s="11">
        <v>0.1</v>
      </c>
      <c r="T400" s="11">
        <v>0.132</v>
      </c>
      <c r="U400" s="11">
        <v>0.25</v>
      </c>
      <c r="V400" s="11">
        <v>0.079</v>
      </c>
      <c r="W400" s="8">
        <v>1</v>
      </c>
      <c r="X400" s="8">
        <v>1</v>
      </c>
      <c r="Y400" s="8">
        <v>0</v>
      </c>
      <c r="Z400" s="8">
        <v>0</v>
      </c>
      <c r="AA400" s="11">
        <v>0.1667</v>
      </c>
      <c r="AB400" s="11">
        <v>1</v>
      </c>
      <c r="AC400" s="11">
        <v>0</v>
      </c>
      <c r="AD400" s="11">
        <v>0</v>
      </c>
    </row>
    <row r="401" customFormat="1" ht="22" customHeight="1" spans="1:30">
      <c r="A401" s="8" t="s">
        <v>31</v>
      </c>
      <c r="B401" s="8" t="str">
        <f>VLOOKUP(E401,[1]Sheet1!$C:$E,2,FALSE)</f>
        <v>刘欢</v>
      </c>
      <c r="C401" s="9" t="str">
        <f>VLOOKUP(E401,[1]Sheet1!$C:$E,3,FALSE)</f>
        <v>A</v>
      </c>
      <c r="D401" s="8" t="s">
        <v>430</v>
      </c>
      <c r="E401" s="10">
        <v>543921914</v>
      </c>
      <c r="F401" s="8">
        <v>4.9</v>
      </c>
      <c r="G401" s="8">
        <v>8</v>
      </c>
      <c r="H401" s="14">
        <v>267.06</v>
      </c>
      <c r="I401" s="8">
        <v>0</v>
      </c>
      <c r="J401" s="8">
        <v>33.38</v>
      </c>
      <c r="K401" s="8">
        <v>848</v>
      </c>
      <c r="L401" s="11">
        <v>0.044</v>
      </c>
      <c r="M401" s="11">
        <v>0.216</v>
      </c>
      <c r="N401" s="11">
        <v>0.0095</v>
      </c>
      <c r="O401" s="8">
        <v>0</v>
      </c>
      <c r="P401" s="8">
        <v>0</v>
      </c>
      <c r="Q401" s="8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0.2</v>
      </c>
      <c r="W401" s="8">
        <v>0</v>
      </c>
      <c r="X401" s="8">
        <v>0</v>
      </c>
      <c r="Y401" s="8">
        <v>0</v>
      </c>
      <c r="Z401" s="8">
        <v>0</v>
      </c>
      <c r="AA401" s="11">
        <v>0</v>
      </c>
      <c r="AB401" s="11">
        <v>0</v>
      </c>
      <c r="AC401" s="11">
        <v>0</v>
      </c>
      <c r="AD401" s="11">
        <v>0</v>
      </c>
    </row>
    <row r="402" customFormat="1" ht="22" customHeight="1" spans="1:30">
      <c r="A402" s="8" t="s">
        <v>31</v>
      </c>
      <c r="B402" s="8" t="str">
        <f>VLOOKUP(E402,[1]Sheet1!$C:$E,2,FALSE)</f>
        <v>刘欢</v>
      </c>
      <c r="C402" s="8" t="str">
        <f>VLOOKUP(E402,[1]Sheet1!$C:$E,3,FALSE)</f>
        <v>C</v>
      </c>
      <c r="D402" s="8" t="s">
        <v>431</v>
      </c>
      <c r="E402" s="10">
        <v>541773891</v>
      </c>
      <c r="F402" s="8">
        <v>4.9</v>
      </c>
      <c r="G402" s="8">
        <v>8</v>
      </c>
      <c r="H402" s="14">
        <v>265.84</v>
      </c>
      <c r="I402" s="8">
        <v>38.48</v>
      </c>
      <c r="J402" s="8">
        <v>33.23</v>
      </c>
      <c r="K402" s="8">
        <v>462</v>
      </c>
      <c r="L402" s="11">
        <v>0.093</v>
      </c>
      <c r="M402" s="11">
        <v>0.186</v>
      </c>
      <c r="N402" s="11">
        <v>0.0173</v>
      </c>
      <c r="O402" s="8">
        <v>412</v>
      </c>
      <c r="P402" s="8">
        <v>50</v>
      </c>
      <c r="Q402" s="8">
        <v>2</v>
      </c>
      <c r="R402" s="11">
        <v>0.095</v>
      </c>
      <c r="S402" s="11">
        <v>0.08</v>
      </c>
      <c r="T402" s="11">
        <v>0.154</v>
      </c>
      <c r="U402" s="11">
        <v>0.5</v>
      </c>
      <c r="V402" s="11">
        <v>0.211</v>
      </c>
      <c r="W402" s="8">
        <v>4</v>
      </c>
      <c r="X402" s="8">
        <v>4</v>
      </c>
      <c r="Y402" s="8">
        <v>0</v>
      </c>
      <c r="Z402" s="8">
        <v>0</v>
      </c>
      <c r="AA402" s="11">
        <v>0.5</v>
      </c>
      <c r="AB402" s="11">
        <v>1</v>
      </c>
      <c r="AC402" s="11">
        <v>0</v>
      </c>
      <c r="AD402" s="11">
        <v>0</v>
      </c>
    </row>
    <row r="403" customFormat="1" ht="22" customHeight="1" spans="1:30">
      <c r="A403" s="8" t="s">
        <v>31</v>
      </c>
      <c r="B403" s="8" t="e">
        <f>VLOOKUP(E403,[1]Sheet1!$C:$E,2,FALSE)</f>
        <v>#N/A</v>
      </c>
      <c r="C403" s="8" t="e">
        <f>VLOOKUP(E403,[1]Sheet1!$C:$E,3,FALSE)</f>
        <v>#N/A</v>
      </c>
      <c r="D403" s="8" t="s">
        <v>432</v>
      </c>
      <c r="E403" s="10">
        <v>544969833</v>
      </c>
      <c r="F403" s="8">
        <v>4.9</v>
      </c>
      <c r="G403" s="8">
        <v>17</v>
      </c>
      <c r="H403" s="14">
        <v>265.79</v>
      </c>
      <c r="I403" s="8">
        <v>24.25</v>
      </c>
      <c r="J403" s="8">
        <v>15.63</v>
      </c>
      <c r="K403" s="8">
        <v>2748</v>
      </c>
      <c r="L403" s="11">
        <v>0.025</v>
      </c>
      <c r="M403" s="11">
        <v>0.257</v>
      </c>
      <c r="N403" s="11">
        <v>0.0064</v>
      </c>
      <c r="O403" s="8">
        <v>2673</v>
      </c>
      <c r="P403" s="8">
        <v>75</v>
      </c>
      <c r="Q403" s="8">
        <v>9</v>
      </c>
      <c r="R403" s="11">
        <v>0.021</v>
      </c>
      <c r="S403" s="11">
        <v>0.2</v>
      </c>
      <c r="T403" s="11">
        <v>0.164</v>
      </c>
      <c r="U403" s="11">
        <v>0.6</v>
      </c>
      <c r="V403" s="11">
        <v>0.206</v>
      </c>
      <c r="W403" s="8">
        <v>0</v>
      </c>
      <c r="X403" s="8">
        <v>0</v>
      </c>
      <c r="Y403" s="8">
        <v>0</v>
      </c>
      <c r="Z403" s="8">
        <v>0</v>
      </c>
      <c r="AA403" s="11">
        <v>0</v>
      </c>
      <c r="AB403" s="11">
        <v>0</v>
      </c>
      <c r="AC403" s="11">
        <v>0</v>
      </c>
      <c r="AD403" s="11">
        <v>0</v>
      </c>
    </row>
    <row r="404" customFormat="1" ht="22" customHeight="1" spans="1:30">
      <c r="A404" s="8" t="s">
        <v>31</v>
      </c>
      <c r="B404" s="8" t="str">
        <f>VLOOKUP(E404,[1]Sheet1!$C:$E,2,FALSE)</f>
        <v>岳贝贝</v>
      </c>
      <c r="C404" s="8" t="str">
        <f>VLOOKUP(E404,[1]Sheet1!$C:$E,3,FALSE)</f>
        <v>B</v>
      </c>
      <c r="D404" s="12" t="s">
        <v>433</v>
      </c>
      <c r="E404" s="13">
        <v>1325576560</v>
      </c>
      <c r="F404" s="12">
        <v>4.7</v>
      </c>
      <c r="G404" s="8">
        <v>19</v>
      </c>
      <c r="H404" s="14">
        <v>265.03</v>
      </c>
      <c r="I404" s="8">
        <v>20.31</v>
      </c>
      <c r="J404" s="8">
        <v>13.95</v>
      </c>
      <c r="K404" s="8">
        <v>1160</v>
      </c>
      <c r="L404" s="11">
        <v>0.077</v>
      </c>
      <c r="M404" s="11">
        <v>0.213</v>
      </c>
      <c r="N404" s="11">
        <v>0.0164</v>
      </c>
      <c r="O404" s="8">
        <v>980</v>
      </c>
      <c r="P404" s="8">
        <v>180</v>
      </c>
      <c r="Q404" s="8">
        <v>11</v>
      </c>
      <c r="R404" s="11">
        <v>0.066</v>
      </c>
      <c r="S404" s="11">
        <v>0.133</v>
      </c>
      <c r="T404" s="11">
        <v>0.123</v>
      </c>
      <c r="U404" s="11">
        <v>0.458</v>
      </c>
      <c r="V404" s="11">
        <v>0.231</v>
      </c>
      <c r="W404" s="8">
        <v>0</v>
      </c>
      <c r="X404" s="8">
        <v>0</v>
      </c>
      <c r="Y404" s="8">
        <v>0</v>
      </c>
      <c r="Z404" s="8">
        <v>0</v>
      </c>
      <c r="AA404" s="11">
        <v>0</v>
      </c>
      <c r="AB404" s="11">
        <v>0</v>
      </c>
      <c r="AC404" s="11">
        <v>0</v>
      </c>
      <c r="AD404" s="11">
        <v>0</v>
      </c>
    </row>
    <row r="405" customFormat="1" ht="22" customHeight="1" spans="1:30">
      <c r="A405" s="8" t="s">
        <v>31</v>
      </c>
      <c r="B405" s="8" t="e">
        <f>VLOOKUP(E405,[1]Sheet1!$C:$E,2,FALSE)</f>
        <v>#N/A</v>
      </c>
      <c r="C405" s="8" t="e">
        <f>VLOOKUP(E405,[1]Sheet1!$C:$E,3,FALSE)</f>
        <v>#N/A</v>
      </c>
      <c r="D405" s="12" t="s">
        <v>434</v>
      </c>
      <c r="E405" s="13">
        <v>2083879325</v>
      </c>
      <c r="F405" s="12">
        <v>4.5</v>
      </c>
      <c r="G405" s="8">
        <v>11</v>
      </c>
      <c r="H405" s="14">
        <v>260.4</v>
      </c>
      <c r="I405" s="8">
        <v>28.92</v>
      </c>
      <c r="J405" s="8">
        <v>23.67</v>
      </c>
      <c r="K405" s="8">
        <v>983</v>
      </c>
      <c r="L405" s="11">
        <v>0.079</v>
      </c>
      <c r="M405" s="11">
        <v>0.141</v>
      </c>
      <c r="N405" s="11">
        <v>0.0111</v>
      </c>
      <c r="O405" s="8">
        <v>805</v>
      </c>
      <c r="P405" s="8">
        <v>178</v>
      </c>
      <c r="Q405" s="8">
        <v>8</v>
      </c>
      <c r="R405" s="11">
        <v>0.072</v>
      </c>
      <c r="S405" s="11">
        <v>0.112</v>
      </c>
      <c r="T405" s="11">
        <v>0.052</v>
      </c>
      <c r="U405" s="11">
        <v>0.4</v>
      </c>
      <c r="V405" s="11">
        <v>0.156</v>
      </c>
      <c r="W405" s="8">
        <v>0</v>
      </c>
      <c r="X405" s="8">
        <v>0</v>
      </c>
      <c r="Y405" s="8">
        <v>0</v>
      </c>
      <c r="Z405" s="8">
        <v>0</v>
      </c>
      <c r="AA405" s="11">
        <v>0</v>
      </c>
      <c r="AB405" s="11">
        <v>0</v>
      </c>
      <c r="AC405" s="11">
        <v>0</v>
      </c>
      <c r="AD405" s="11">
        <v>0</v>
      </c>
    </row>
    <row r="406" customFormat="1" ht="22" customHeight="1" spans="1:30">
      <c r="A406" s="8" t="s">
        <v>31</v>
      </c>
      <c r="B406" s="8" t="e">
        <f>VLOOKUP(E406,[1]Sheet1!$C:$E,2,FALSE)</f>
        <v>#N/A</v>
      </c>
      <c r="C406" s="8" t="e">
        <f>VLOOKUP(E406,[1]Sheet1!$C:$E,3,FALSE)</f>
        <v>#N/A</v>
      </c>
      <c r="D406" s="12" t="s">
        <v>435</v>
      </c>
      <c r="E406" s="13">
        <v>1332209714</v>
      </c>
      <c r="F406" s="12">
        <v>4.5</v>
      </c>
      <c r="G406" s="8">
        <v>13</v>
      </c>
      <c r="H406" s="14">
        <v>260.27</v>
      </c>
      <c r="I406" s="8">
        <v>0</v>
      </c>
      <c r="J406" s="8">
        <v>20.02</v>
      </c>
      <c r="K406" s="8">
        <v>642</v>
      </c>
      <c r="L406" s="11">
        <v>0.084</v>
      </c>
      <c r="M406" s="11">
        <v>0.259</v>
      </c>
      <c r="N406" s="11">
        <v>0.0218</v>
      </c>
      <c r="O406" s="8">
        <v>0</v>
      </c>
      <c r="P406" s="8">
        <v>0</v>
      </c>
      <c r="Q406" s="8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0.163</v>
      </c>
      <c r="W406" s="8">
        <v>0</v>
      </c>
      <c r="X406" s="8">
        <v>0</v>
      </c>
      <c r="Y406" s="8">
        <v>0</v>
      </c>
      <c r="Z406" s="8">
        <v>0</v>
      </c>
      <c r="AA406" s="11">
        <v>0</v>
      </c>
      <c r="AB406" s="11">
        <v>0</v>
      </c>
      <c r="AC406" s="11">
        <v>0</v>
      </c>
      <c r="AD406" s="11">
        <v>0</v>
      </c>
    </row>
    <row r="407" customFormat="1" ht="22" customHeight="1" spans="1:30">
      <c r="A407" s="8" t="s">
        <v>31</v>
      </c>
      <c r="B407" s="8" t="str">
        <f>VLOOKUP(E407,[1]Sheet1!$C:$E,2,FALSE)</f>
        <v>徐从众</v>
      </c>
      <c r="C407" s="9" t="str">
        <f>VLOOKUP(E407,[1]Sheet1!$C:$E,3,FALSE)</f>
        <v>S</v>
      </c>
      <c r="D407" s="12" t="s">
        <v>436</v>
      </c>
      <c r="E407" s="13">
        <v>1316504629</v>
      </c>
      <c r="F407" s="12">
        <v>4.7</v>
      </c>
      <c r="G407" s="8">
        <v>6</v>
      </c>
      <c r="H407" s="14">
        <v>257.02</v>
      </c>
      <c r="I407" s="8">
        <v>0</v>
      </c>
      <c r="J407" s="8">
        <v>42.84</v>
      </c>
      <c r="K407" s="8">
        <v>504</v>
      </c>
      <c r="L407" s="11">
        <v>0.109</v>
      </c>
      <c r="M407" s="11">
        <v>0.109</v>
      </c>
      <c r="N407" s="11">
        <v>0.0119</v>
      </c>
      <c r="O407" s="8">
        <v>0</v>
      </c>
      <c r="P407" s="8">
        <v>0</v>
      </c>
      <c r="Q407" s="8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0.234</v>
      </c>
      <c r="W407" s="8">
        <v>0</v>
      </c>
      <c r="X407" s="8">
        <v>0</v>
      </c>
      <c r="Y407" s="8">
        <v>0</v>
      </c>
      <c r="Z407" s="8">
        <v>0</v>
      </c>
      <c r="AA407" s="11">
        <v>0</v>
      </c>
      <c r="AB407" s="11">
        <v>0</v>
      </c>
      <c r="AC407" s="11">
        <v>0</v>
      </c>
      <c r="AD407" s="11">
        <v>0</v>
      </c>
    </row>
    <row r="408" customFormat="1" ht="22" customHeight="1" spans="1:30">
      <c r="A408" s="8" t="s">
        <v>31</v>
      </c>
      <c r="B408" s="8" t="e">
        <f>VLOOKUP(E408,[1]Sheet1!$C:$E,2,FALSE)</f>
        <v>#N/A</v>
      </c>
      <c r="C408" s="8" t="e">
        <f>VLOOKUP(E408,[1]Sheet1!$C:$E,3,FALSE)</f>
        <v>#N/A</v>
      </c>
      <c r="D408" s="8" t="s">
        <v>437</v>
      </c>
      <c r="E408" s="10">
        <v>544572174</v>
      </c>
      <c r="F408" s="8">
        <v>4.8</v>
      </c>
      <c r="G408" s="8">
        <v>17</v>
      </c>
      <c r="H408" s="14">
        <v>256.32</v>
      </c>
      <c r="I408" s="8">
        <v>20.96</v>
      </c>
      <c r="J408" s="8">
        <v>15.08</v>
      </c>
      <c r="K408" s="8">
        <v>1470</v>
      </c>
      <c r="L408" s="11">
        <v>0.066</v>
      </c>
      <c r="M408" s="11">
        <v>0.175</v>
      </c>
      <c r="N408" s="11">
        <v>0.0116</v>
      </c>
      <c r="O408" s="8">
        <v>1390</v>
      </c>
      <c r="P408" s="8">
        <v>80</v>
      </c>
      <c r="Q408" s="8">
        <v>7</v>
      </c>
      <c r="R408" s="11">
        <v>0.062</v>
      </c>
      <c r="S408" s="11">
        <v>0.138</v>
      </c>
      <c r="T408" s="11">
        <v>0.116</v>
      </c>
      <c r="U408" s="11">
        <v>0.636</v>
      </c>
      <c r="V408" s="11">
        <v>0.099</v>
      </c>
      <c r="W408" s="8">
        <v>1</v>
      </c>
      <c r="X408" s="8">
        <v>1</v>
      </c>
      <c r="Y408" s="8">
        <v>0</v>
      </c>
      <c r="Z408" s="8">
        <v>0</v>
      </c>
      <c r="AA408" s="11">
        <v>0.0588</v>
      </c>
      <c r="AB408" s="11">
        <v>1</v>
      </c>
      <c r="AC408" s="11">
        <v>0</v>
      </c>
      <c r="AD408" s="11">
        <v>0</v>
      </c>
    </row>
    <row r="409" customFormat="1" ht="22" customHeight="1" spans="1:30">
      <c r="A409" s="8" t="s">
        <v>31</v>
      </c>
      <c r="B409" s="8" t="str">
        <f>VLOOKUP(E409,[1]Sheet1!$C:$E,2,FALSE)</f>
        <v>刘欢</v>
      </c>
      <c r="C409" s="9" t="str">
        <f>VLOOKUP(E409,[1]Sheet1!$C:$E,3,FALSE)</f>
        <v>A</v>
      </c>
      <c r="D409" s="12" t="s">
        <v>438</v>
      </c>
      <c r="E409" s="13">
        <v>544061558</v>
      </c>
      <c r="F409" s="12">
        <v>4.7</v>
      </c>
      <c r="G409" s="8">
        <v>11</v>
      </c>
      <c r="H409" s="14">
        <v>252.73</v>
      </c>
      <c r="I409" s="8">
        <v>30.21</v>
      </c>
      <c r="J409" s="8">
        <v>22.98</v>
      </c>
      <c r="K409" s="8">
        <v>907</v>
      </c>
      <c r="L409" s="11">
        <v>0.061</v>
      </c>
      <c r="M409" s="11">
        <v>0.2</v>
      </c>
      <c r="N409" s="11">
        <v>0.0122</v>
      </c>
      <c r="O409" s="8">
        <v>761</v>
      </c>
      <c r="P409" s="8">
        <v>146</v>
      </c>
      <c r="Q409" s="8">
        <v>7</v>
      </c>
      <c r="R409" s="11">
        <v>0.051</v>
      </c>
      <c r="S409" s="11">
        <v>0.11</v>
      </c>
      <c r="T409" s="11">
        <v>0.103</v>
      </c>
      <c r="U409" s="11">
        <v>0.438</v>
      </c>
      <c r="V409" s="11">
        <v>0.137</v>
      </c>
      <c r="W409" s="8">
        <v>1</v>
      </c>
      <c r="X409" s="8">
        <v>1</v>
      </c>
      <c r="Y409" s="8">
        <v>0</v>
      </c>
      <c r="Z409" s="8">
        <v>0</v>
      </c>
      <c r="AA409" s="11">
        <v>0.0909</v>
      </c>
      <c r="AB409" s="11">
        <v>1</v>
      </c>
      <c r="AC409" s="11">
        <v>0</v>
      </c>
      <c r="AD409" s="11">
        <v>0</v>
      </c>
    </row>
    <row r="410" customFormat="1" ht="22" customHeight="1" spans="1:30">
      <c r="A410" s="8" t="s">
        <v>31</v>
      </c>
      <c r="B410" s="8" t="e">
        <f>VLOOKUP(E410,[1]Sheet1!$C:$E,2,FALSE)</f>
        <v>#N/A</v>
      </c>
      <c r="C410" s="8" t="e">
        <f>VLOOKUP(E410,[1]Sheet1!$C:$E,3,FALSE)</f>
        <v>#N/A</v>
      </c>
      <c r="D410" s="12" t="s">
        <v>439</v>
      </c>
      <c r="E410" s="13">
        <v>542740905</v>
      </c>
      <c r="F410" s="12">
        <v>4.7</v>
      </c>
      <c r="G410" s="8">
        <v>11</v>
      </c>
      <c r="H410" s="14">
        <v>250.22</v>
      </c>
      <c r="I410" s="8">
        <v>0</v>
      </c>
      <c r="J410" s="8">
        <v>22.75</v>
      </c>
      <c r="K410" s="8">
        <v>1039</v>
      </c>
      <c r="L410" s="11">
        <v>0.069</v>
      </c>
      <c r="M410" s="11">
        <v>0.153</v>
      </c>
      <c r="N410" s="11">
        <v>0.0106</v>
      </c>
      <c r="O410" s="8">
        <v>0</v>
      </c>
      <c r="P410" s="8">
        <v>0</v>
      </c>
      <c r="Q410" s="8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0.141</v>
      </c>
      <c r="W410" s="8">
        <v>0</v>
      </c>
      <c r="X410" s="8">
        <v>0</v>
      </c>
      <c r="Y410" s="8">
        <v>0</v>
      </c>
      <c r="Z410" s="8">
        <v>0</v>
      </c>
      <c r="AA410" s="11">
        <v>0</v>
      </c>
      <c r="AB410" s="11">
        <v>0</v>
      </c>
      <c r="AC410" s="11">
        <v>0</v>
      </c>
      <c r="AD410" s="11">
        <v>0</v>
      </c>
    </row>
    <row r="411" customFormat="1" ht="22" customHeight="1" spans="1:30">
      <c r="A411" s="8" t="s">
        <v>31</v>
      </c>
      <c r="B411" s="8" t="str">
        <f>VLOOKUP(E411,[1]Sheet1!$C:$E,2,FALSE)</f>
        <v>刘欢</v>
      </c>
      <c r="C411" s="8" t="str">
        <f>VLOOKUP(E411,[1]Sheet1!$C:$E,3,FALSE)</f>
        <v>B</v>
      </c>
      <c r="D411" s="12" t="s">
        <v>440</v>
      </c>
      <c r="E411" s="13">
        <v>544061585</v>
      </c>
      <c r="F411" s="12">
        <v>4.6</v>
      </c>
      <c r="G411" s="8">
        <v>26</v>
      </c>
      <c r="H411" s="14">
        <v>242.45</v>
      </c>
      <c r="I411" s="8">
        <v>17.68</v>
      </c>
      <c r="J411" s="8">
        <v>9.33</v>
      </c>
      <c r="K411" s="8">
        <v>3603</v>
      </c>
      <c r="L411" s="11">
        <v>0.062</v>
      </c>
      <c r="M411" s="11">
        <v>0.116</v>
      </c>
      <c r="N411" s="11">
        <v>0.0072</v>
      </c>
      <c r="O411" s="8">
        <v>3483</v>
      </c>
      <c r="P411" s="8">
        <v>120</v>
      </c>
      <c r="Q411" s="8">
        <v>4</v>
      </c>
      <c r="R411" s="11">
        <v>0.06</v>
      </c>
      <c r="S411" s="11">
        <v>0.125</v>
      </c>
      <c r="T411" s="11">
        <v>0.105</v>
      </c>
      <c r="U411" s="11">
        <v>0.267</v>
      </c>
      <c r="V411" s="11">
        <v>0.081</v>
      </c>
      <c r="W411" s="8">
        <v>5</v>
      </c>
      <c r="X411" s="8">
        <v>5</v>
      </c>
      <c r="Y411" s="8">
        <v>0</v>
      </c>
      <c r="Z411" s="8">
        <v>0</v>
      </c>
      <c r="AA411" s="11">
        <v>0.1923</v>
      </c>
      <c r="AB411" s="11">
        <v>1</v>
      </c>
      <c r="AC411" s="11">
        <v>0</v>
      </c>
      <c r="AD411" s="11">
        <v>0</v>
      </c>
    </row>
    <row r="412" customFormat="1" ht="22" customHeight="1" spans="1:30">
      <c r="A412" s="8" t="s">
        <v>31</v>
      </c>
      <c r="B412" s="8" t="str">
        <f>VLOOKUP(E412,[1]Sheet1!$C:$E,2,FALSE)</f>
        <v>岳贝贝</v>
      </c>
      <c r="C412" s="8" t="str">
        <f>VLOOKUP(E412,[1]Sheet1!$C:$E,3,FALSE)</f>
        <v>B</v>
      </c>
      <c r="D412" s="8" t="s">
        <v>441</v>
      </c>
      <c r="E412" s="10">
        <v>541739590</v>
      </c>
      <c r="F412" s="8">
        <v>4.8</v>
      </c>
      <c r="G412" s="8">
        <v>16</v>
      </c>
      <c r="H412" s="14">
        <v>240.01</v>
      </c>
      <c r="I412" s="8">
        <v>0</v>
      </c>
      <c r="J412" s="8">
        <v>15</v>
      </c>
      <c r="K412" s="8">
        <v>1583</v>
      </c>
      <c r="L412" s="11">
        <v>0.059</v>
      </c>
      <c r="M412" s="11">
        <v>0.17</v>
      </c>
      <c r="N412" s="11">
        <v>0.01</v>
      </c>
      <c r="O412" s="8">
        <v>0</v>
      </c>
      <c r="P412" s="8">
        <v>0</v>
      </c>
      <c r="Q412" s="8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0.142</v>
      </c>
      <c r="W412" s="8">
        <v>2</v>
      </c>
      <c r="X412" s="8">
        <v>2</v>
      </c>
      <c r="Y412" s="8">
        <v>0</v>
      </c>
      <c r="Z412" s="8">
        <v>0</v>
      </c>
      <c r="AA412" s="11">
        <v>0.125</v>
      </c>
      <c r="AB412" s="11">
        <v>1</v>
      </c>
      <c r="AC412" s="11">
        <v>0</v>
      </c>
      <c r="AD412" s="11">
        <v>0</v>
      </c>
    </row>
    <row r="413" customFormat="1" ht="22" customHeight="1" spans="1:30">
      <c r="A413" s="8" t="s">
        <v>31</v>
      </c>
      <c r="B413" s="8" t="e">
        <f>VLOOKUP(E413,[1]Sheet1!$C:$E,2,FALSE)</f>
        <v>#N/A</v>
      </c>
      <c r="C413" s="8" t="e">
        <f>VLOOKUP(E413,[1]Sheet1!$C:$E,3,FALSE)</f>
        <v>#N/A</v>
      </c>
      <c r="D413" s="8" t="s">
        <v>442</v>
      </c>
      <c r="E413" s="10">
        <v>1327935756</v>
      </c>
      <c r="F413" s="8">
        <v>4.8</v>
      </c>
      <c r="G413" s="8">
        <v>13</v>
      </c>
      <c r="H413" s="14">
        <v>237.71</v>
      </c>
      <c r="I413" s="8">
        <v>24.92</v>
      </c>
      <c r="J413" s="8">
        <v>18.29</v>
      </c>
      <c r="K413" s="8">
        <v>1413</v>
      </c>
      <c r="L413" s="11">
        <v>0.054</v>
      </c>
      <c r="M413" s="11">
        <v>0.171</v>
      </c>
      <c r="N413" s="11">
        <v>0.0092</v>
      </c>
      <c r="O413" s="8">
        <v>1314</v>
      </c>
      <c r="P413" s="8">
        <v>99</v>
      </c>
      <c r="Q413" s="8">
        <v>5</v>
      </c>
      <c r="R413" s="11">
        <v>0.047</v>
      </c>
      <c r="S413" s="11">
        <v>0.141</v>
      </c>
      <c r="T413" s="11">
        <v>0.129</v>
      </c>
      <c r="U413" s="11">
        <v>0.357</v>
      </c>
      <c r="V413" s="11">
        <v>0.169</v>
      </c>
      <c r="W413" s="8">
        <v>1</v>
      </c>
      <c r="X413" s="8">
        <v>1</v>
      </c>
      <c r="Y413" s="8">
        <v>0</v>
      </c>
      <c r="Z413" s="8">
        <v>0</v>
      </c>
      <c r="AA413" s="11">
        <v>0.0769</v>
      </c>
      <c r="AB413" s="11">
        <v>1</v>
      </c>
      <c r="AC413" s="11">
        <v>0</v>
      </c>
      <c r="AD413" s="11">
        <v>0</v>
      </c>
    </row>
    <row r="414" customFormat="1" ht="22" customHeight="1" spans="1:30">
      <c r="A414" s="8" t="s">
        <v>31</v>
      </c>
      <c r="B414" s="8" t="str">
        <f>VLOOKUP(E414,[1]Sheet1!$C:$E,2,FALSE)</f>
        <v>岳贝贝</v>
      </c>
      <c r="C414" s="8" t="str">
        <f>VLOOKUP(E414,[1]Sheet1!$C:$E,3,FALSE)</f>
        <v>B</v>
      </c>
      <c r="D414" s="8" t="s">
        <v>443</v>
      </c>
      <c r="E414" s="10">
        <v>542742591</v>
      </c>
      <c r="F414" s="8">
        <v>4.8</v>
      </c>
      <c r="G414" s="8">
        <v>13</v>
      </c>
      <c r="H414" s="14">
        <v>233.98</v>
      </c>
      <c r="I414" s="8">
        <v>0</v>
      </c>
      <c r="J414" s="8">
        <v>18</v>
      </c>
      <c r="K414" s="8">
        <v>1536</v>
      </c>
      <c r="L414" s="11">
        <v>0.046</v>
      </c>
      <c r="M414" s="11">
        <v>0.186</v>
      </c>
      <c r="N414" s="11">
        <v>0.0086</v>
      </c>
      <c r="O414" s="8">
        <v>0</v>
      </c>
      <c r="P414" s="8">
        <v>0</v>
      </c>
      <c r="Q414" s="8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0.086</v>
      </c>
      <c r="W414" s="8">
        <v>0</v>
      </c>
      <c r="X414" s="8">
        <v>0</v>
      </c>
      <c r="Y414" s="8">
        <v>0</v>
      </c>
      <c r="Z414" s="8">
        <v>0</v>
      </c>
      <c r="AA414" s="11">
        <v>0</v>
      </c>
      <c r="AB414" s="11">
        <v>0</v>
      </c>
      <c r="AC414" s="11">
        <v>0</v>
      </c>
      <c r="AD414" s="11">
        <v>0</v>
      </c>
    </row>
    <row r="415" customFormat="1" ht="22" customHeight="1" spans="1:30">
      <c r="A415" s="8" t="s">
        <v>31</v>
      </c>
      <c r="B415" s="8" t="str">
        <f>VLOOKUP(E415,[1]Sheet1!$C:$E,2,FALSE)</f>
        <v>刘欢</v>
      </c>
      <c r="C415" s="8">
        <f>VLOOKUP(E415,[1]Sheet1!$C:$E,3,FALSE)</f>
        <v>0</v>
      </c>
      <c r="D415" s="8" t="s">
        <v>444</v>
      </c>
      <c r="E415" s="10">
        <v>1346685649</v>
      </c>
      <c r="F415" s="8">
        <v>4.8</v>
      </c>
      <c r="G415" s="8">
        <v>10</v>
      </c>
      <c r="H415" s="14">
        <v>228.85</v>
      </c>
      <c r="I415" s="8">
        <v>30.76</v>
      </c>
      <c r="J415" s="8">
        <v>22.89</v>
      </c>
      <c r="K415" s="8">
        <v>988</v>
      </c>
      <c r="L415" s="11">
        <v>0.089</v>
      </c>
      <c r="M415" s="11">
        <v>0.114</v>
      </c>
      <c r="N415" s="11">
        <v>0.0101</v>
      </c>
      <c r="O415" s="8">
        <v>906</v>
      </c>
      <c r="P415" s="8">
        <v>82</v>
      </c>
      <c r="Q415" s="8">
        <v>3</v>
      </c>
      <c r="R415" s="11">
        <v>0.081</v>
      </c>
      <c r="S415" s="11">
        <v>0.183</v>
      </c>
      <c r="T415" s="11">
        <v>0.096</v>
      </c>
      <c r="U415" s="11">
        <v>0.2</v>
      </c>
      <c r="V415" s="11">
        <v>0.212</v>
      </c>
      <c r="W415" s="8">
        <v>1</v>
      </c>
      <c r="X415" s="8">
        <v>1</v>
      </c>
      <c r="Y415" s="8">
        <v>0</v>
      </c>
      <c r="Z415" s="8">
        <v>0</v>
      </c>
      <c r="AA415" s="11">
        <v>0.1</v>
      </c>
      <c r="AB415" s="11">
        <v>1</v>
      </c>
      <c r="AC415" s="11">
        <v>0</v>
      </c>
      <c r="AD415" s="11">
        <v>0</v>
      </c>
    </row>
    <row r="416" customFormat="1" ht="22" customHeight="1" spans="1:30">
      <c r="A416" s="8" t="s">
        <v>31</v>
      </c>
      <c r="B416" s="8" t="str">
        <f>VLOOKUP(E416,[1]Sheet1!$C:$E,2,FALSE)</f>
        <v>岳贝贝</v>
      </c>
      <c r="C416" s="8">
        <f>VLOOKUP(E416,[1]Sheet1!$C:$E,3,FALSE)</f>
        <v>0</v>
      </c>
      <c r="D416" s="12" t="s">
        <v>445</v>
      </c>
      <c r="E416" s="13">
        <v>525036503</v>
      </c>
      <c r="F416" s="12">
        <v>4.7</v>
      </c>
      <c r="G416" s="8">
        <v>14</v>
      </c>
      <c r="H416" s="14">
        <v>227.46</v>
      </c>
      <c r="I416" s="8">
        <v>0</v>
      </c>
      <c r="J416" s="8">
        <v>16.25</v>
      </c>
      <c r="K416" s="8">
        <v>964</v>
      </c>
      <c r="L416" s="11">
        <v>0.06</v>
      </c>
      <c r="M416" s="11">
        <v>0.241</v>
      </c>
      <c r="N416" s="11">
        <v>0.0145</v>
      </c>
      <c r="O416" s="8">
        <v>0</v>
      </c>
      <c r="P416" s="8">
        <v>0</v>
      </c>
      <c r="Q416" s="8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0.153</v>
      </c>
      <c r="W416" s="8">
        <v>0</v>
      </c>
      <c r="X416" s="8">
        <v>0</v>
      </c>
      <c r="Y416" s="8">
        <v>0</v>
      </c>
      <c r="Z416" s="8">
        <v>0</v>
      </c>
      <c r="AA416" s="11">
        <v>0</v>
      </c>
      <c r="AB416" s="11">
        <v>0</v>
      </c>
      <c r="AC416" s="11">
        <v>0</v>
      </c>
      <c r="AD416" s="11">
        <v>0</v>
      </c>
    </row>
    <row r="417" customFormat="1" ht="22" customHeight="1" spans="1:30">
      <c r="A417" s="8" t="s">
        <v>31</v>
      </c>
      <c r="B417" s="8" t="e">
        <f>VLOOKUP(E417,[1]Sheet1!$C:$E,2,FALSE)</f>
        <v>#N/A</v>
      </c>
      <c r="C417" s="8" t="e">
        <f>VLOOKUP(E417,[1]Sheet1!$C:$E,3,FALSE)</f>
        <v>#N/A</v>
      </c>
      <c r="D417" s="12" t="s">
        <v>446</v>
      </c>
      <c r="E417" s="13">
        <v>1352136563</v>
      </c>
      <c r="F417" s="12">
        <v>4.5</v>
      </c>
      <c r="G417" s="8">
        <v>20</v>
      </c>
      <c r="H417" s="14">
        <v>222.67</v>
      </c>
      <c r="I417" s="8">
        <v>19.17</v>
      </c>
      <c r="J417" s="8">
        <v>11.13</v>
      </c>
      <c r="K417" s="8">
        <v>871</v>
      </c>
      <c r="L417" s="11">
        <v>0.065</v>
      </c>
      <c r="M417" s="11">
        <v>0.351</v>
      </c>
      <c r="N417" s="11">
        <v>0.0228</v>
      </c>
      <c r="O417" s="8">
        <v>795</v>
      </c>
      <c r="P417" s="8">
        <v>76</v>
      </c>
      <c r="Q417" s="8">
        <v>11</v>
      </c>
      <c r="R417" s="11">
        <v>0.049</v>
      </c>
      <c r="S417" s="11">
        <v>0.237</v>
      </c>
      <c r="T417" s="11">
        <v>0.231</v>
      </c>
      <c r="U417" s="11">
        <v>0.611</v>
      </c>
      <c r="V417" s="11">
        <v>0.21</v>
      </c>
      <c r="W417" s="8">
        <v>1</v>
      </c>
      <c r="X417" s="8">
        <v>1</v>
      </c>
      <c r="Y417" s="8">
        <v>0</v>
      </c>
      <c r="Z417" s="8">
        <v>0</v>
      </c>
      <c r="AA417" s="11">
        <v>0.05</v>
      </c>
      <c r="AB417" s="11">
        <v>1</v>
      </c>
      <c r="AC417" s="11">
        <v>0</v>
      </c>
      <c r="AD417" s="11">
        <v>0</v>
      </c>
    </row>
    <row r="418" customFormat="1" ht="22" customHeight="1" spans="1:30">
      <c r="A418" s="8" t="s">
        <v>31</v>
      </c>
      <c r="B418" s="8" t="e">
        <f>VLOOKUP(E418,[1]Sheet1!$C:$E,2,FALSE)</f>
        <v>#N/A</v>
      </c>
      <c r="C418" s="8" t="e">
        <f>VLOOKUP(E418,[1]Sheet1!$C:$E,3,FALSE)</f>
        <v>#N/A</v>
      </c>
      <c r="D418" s="8" t="s">
        <v>447</v>
      </c>
      <c r="E418" s="10">
        <v>544636559</v>
      </c>
      <c r="F418" s="8">
        <v>4.9</v>
      </c>
      <c r="G418" s="8">
        <v>22</v>
      </c>
      <c r="H418" s="14">
        <v>221.4</v>
      </c>
      <c r="I418" s="8">
        <v>12.84</v>
      </c>
      <c r="J418" s="8">
        <v>10.06</v>
      </c>
      <c r="K418" s="8">
        <v>836</v>
      </c>
      <c r="L418" s="11">
        <v>0.087</v>
      </c>
      <c r="M418" s="11">
        <v>0.301</v>
      </c>
      <c r="N418" s="11">
        <v>0.0262</v>
      </c>
      <c r="O418" s="8">
        <v>775</v>
      </c>
      <c r="P418" s="8">
        <v>61</v>
      </c>
      <c r="Q418" s="8">
        <v>9</v>
      </c>
      <c r="R418" s="11">
        <v>0.074</v>
      </c>
      <c r="S418" s="11">
        <v>0.262</v>
      </c>
      <c r="T418" s="11">
        <v>0.228</v>
      </c>
      <c r="U418" s="11">
        <v>0.563</v>
      </c>
      <c r="V418" s="11">
        <v>0.227</v>
      </c>
      <c r="W418" s="8">
        <v>1</v>
      </c>
      <c r="X418" s="8">
        <v>1</v>
      </c>
      <c r="Y418" s="8">
        <v>0</v>
      </c>
      <c r="Z418" s="8">
        <v>0</v>
      </c>
      <c r="AA418" s="11">
        <v>0.0455</v>
      </c>
      <c r="AB418" s="11">
        <v>1</v>
      </c>
      <c r="AC418" s="11">
        <v>0</v>
      </c>
      <c r="AD418" s="11">
        <v>0</v>
      </c>
    </row>
    <row r="419" customFormat="1" ht="22" customHeight="1" spans="1:30">
      <c r="A419" s="8" t="s">
        <v>31</v>
      </c>
      <c r="B419" s="8" t="str">
        <f>VLOOKUP(E419,[1]Sheet1!$C:$E,2,FALSE)</f>
        <v>徐从众</v>
      </c>
      <c r="C419" s="9" t="str">
        <f>VLOOKUP(E419,[1]Sheet1!$C:$E,3,FALSE)</f>
        <v>S</v>
      </c>
      <c r="D419" s="8" t="s">
        <v>448</v>
      </c>
      <c r="E419" s="10">
        <v>1316579622</v>
      </c>
      <c r="F419" s="8">
        <v>4.8</v>
      </c>
      <c r="G419" s="8">
        <v>6</v>
      </c>
      <c r="H419" s="14">
        <v>221</v>
      </c>
      <c r="I419" s="8">
        <v>0</v>
      </c>
      <c r="J419" s="8">
        <v>36.83</v>
      </c>
      <c r="K419" s="8">
        <v>307</v>
      </c>
      <c r="L419" s="11">
        <v>0.147</v>
      </c>
      <c r="M419" s="11">
        <v>0.133</v>
      </c>
      <c r="N419" s="11">
        <v>0.0196</v>
      </c>
      <c r="O419" s="8">
        <v>0</v>
      </c>
      <c r="P419" s="8">
        <v>0</v>
      </c>
      <c r="Q419" s="8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0.218</v>
      </c>
      <c r="W419" s="8">
        <v>0</v>
      </c>
      <c r="X419" s="8">
        <v>0</v>
      </c>
      <c r="Y419" s="8">
        <v>0</v>
      </c>
      <c r="Z419" s="8">
        <v>0</v>
      </c>
      <c r="AA419" s="11">
        <v>0</v>
      </c>
      <c r="AB419" s="11">
        <v>0</v>
      </c>
      <c r="AC419" s="11">
        <v>0</v>
      </c>
      <c r="AD419" s="11">
        <v>0</v>
      </c>
    </row>
    <row r="420" customFormat="1" ht="22" customHeight="1" spans="1:30">
      <c r="A420" s="8" t="s">
        <v>31</v>
      </c>
      <c r="B420" s="8" t="str">
        <f>VLOOKUP(E420,[1]Sheet1!$C:$E,2,FALSE)</f>
        <v>徐从众</v>
      </c>
      <c r="C420" s="9" t="str">
        <f>VLOOKUP(E420,[1]Sheet1!$C:$E,3,FALSE)</f>
        <v>A</v>
      </c>
      <c r="D420" s="8" t="s">
        <v>449</v>
      </c>
      <c r="E420" s="10">
        <v>1128333508</v>
      </c>
      <c r="F420" s="8">
        <v>4.9</v>
      </c>
      <c r="G420" s="8">
        <v>6</v>
      </c>
      <c r="H420" s="14">
        <v>220.08</v>
      </c>
      <c r="I420" s="8">
        <v>48.93</v>
      </c>
      <c r="J420" s="8">
        <v>36.68</v>
      </c>
      <c r="K420" s="8">
        <v>294</v>
      </c>
      <c r="L420" s="11">
        <v>0.119</v>
      </c>
      <c r="M420" s="11">
        <v>0.171</v>
      </c>
      <c r="N420" s="11">
        <v>0.0203</v>
      </c>
      <c r="O420" s="8">
        <v>220</v>
      </c>
      <c r="P420" s="8">
        <v>74</v>
      </c>
      <c r="Q420" s="8">
        <v>4</v>
      </c>
      <c r="R420" s="11">
        <v>0.109</v>
      </c>
      <c r="S420" s="11">
        <v>0.149</v>
      </c>
      <c r="T420" s="11">
        <v>0.083</v>
      </c>
      <c r="U420" s="11">
        <v>0.364</v>
      </c>
      <c r="V420" s="11">
        <v>0.183</v>
      </c>
      <c r="W420" s="8">
        <v>0</v>
      </c>
      <c r="X420" s="8">
        <v>0</v>
      </c>
      <c r="Y420" s="8">
        <v>0</v>
      </c>
      <c r="Z420" s="8">
        <v>0</v>
      </c>
      <c r="AA420" s="11">
        <v>0</v>
      </c>
      <c r="AB420" s="11">
        <v>0</v>
      </c>
      <c r="AC420" s="11">
        <v>0</v>
      </c>
      <c r="AD420" s="11">
        <v>0</v>
      </c>
    </row>
    <row r="421" customFormat="1" ht="22" customHeight="1" spans="1:30">
      <c r="A421" s="8" t="s">
        <v>31</v>
      </c>
      <c r="B421" s="8" t="str">
        <f>VLOOKUP(E421,[1]Sheet1!$C:$E,2,FALSE)</f>
        <v>刘欢</v>
      </c>
      <c r="C421" s="8" t="str">
        <f>VLOOKUP(E421,[1]Sheet1!$C:$E,3,FALSE)</f>
        <v>C</v>
      </c>
      <c r="D421" s="12" t="s">
        <v>450</v>
      </c>
      <c r="E421" s="13">
        <v>538395008</v>
      </c>
      <c r="F421" s="12">
        <v>4.7</v>
      </c>
      <c r="G421" s="8">
        <v>24</v>
      </c>
      <c r="H421" s="14">
        <v>219</v>
      </c>
      <c r="I421" s="8">
        <v>15.58</v>
      </c>
      <c r="J421" s="8">
        <v>9.13</v>
      </c>
      <c r="K421" s="8">
        <v>1492</v>
      </c>
      <c r="L421" s="11">
        <v>0.066</v>
      </c>
      <c r="M421" s="11">
        <v>0.242</v>
      </c>
      <c r="N421" s="11">
        <v>0.016</v>
      </c>
      <c r="O421" s="8">
        <v>1270</v>
      </c>
      <c r="P421" s="8">
        <v>222</v>
      </c>
      <c r="Q421" s="8">
        <v>13</v>
      </c>
      <c r="R421" s="11">
        <v>0.056</v>
      </c>
      <c r="S421" s="11">
        <v>0.126</v>
      </c>
      <c r="T421" s="11">
        <v>0.155</v>
      </c>
      <c r="U421" s="11">
        <v>0.464</v>
      </c>
      <c r="V421" s="11">
        <v>0.123</v>
      </c>
      <c r="W421" s="8">
        <v>0</v>
      </c>
      <c r="X421" s="8">
        <v>0</v>
      </c>
      <c r="Y421" s="8">
        <v>0</v>
      </c>
      <c r="Z421" s="8">
        <v>0</v>
      </c>
      <c r="AA421" s="11">
        <v>0</v>
      </c>
      <c r="AB421" s="11">
        <v>0</v>
      </c>
      <c r="AC421" s="11">
        <v>0</v>
      </c>
      <c r="AD421" s="11">
        <v>0</v>
      </c>
    </row>
    <row r="422" customFormat="1" ht="22" customHeight="1" spans="1:30">
      <c r="A422" s="8" t="s">
        <v>31</v>
      </c>
      <c r="B422" s="8" t="str">
        <f>VLOOKUP(E422,[1]Sheet1!$C:$E,2,FALSE)</f>
        <v>刘欢</v>
      </c>
      <c r="C422" s="8">
        <f>VLOOKUP(E422,[1]Sheet1!$C:$E,3,FALSE)</f>
        <v>0</v>
      </c>
      <c r="D422" s="8" t="s">
        <v>451</v>
      </c>
      <c r="E422" s="10">
        <v>1341031786</v>
      </c>
      <c r="F422" s="8">
        <v>4.8</v>
      </c>
      <c r="G422" s="8">
        <v>10</v>
      </c>
      <c r="H422" s="14">
        <v>218.49</v>
      </c>
      <c r="I422" s="8">
        <v>26.13</v>
      </c>
      <c r="J422" s="8">
        <v>21.85</v>
      </c>
      <c r="K422" s="8">
        <v>933</v>
      </c>
      <c r="L422" s="11">
        <v>0.08</v>
      </c>
      <c r="M422" s="11">
        <v>0.133</v>
      </c>
      <c r="N422" s="11">
        <v>0.0106</v>
      </c>
      <c r="O422" s="8">
        <v>861</v>
      </c>
      <c r="P422" s="8">
        <v>72</v>
      </c>
      <c r="Q422" s="8">
        <v>5</v>
      </c>
      <c r="R422" s="11">
        <v>0.072</v>
      </c>
      <c r="S422" s="11">
        <v>0.181</v>
      </c>
      <c r="T422" s="11">
        <v>0.081</v>
      </c>
      <c r="U422" s="11">
        <v>0.385</v>
      </c>
      <c r="V422" s="11">
        <v>0.233</v>
      </c>
      <c r="W422" s="8">
        <v>0</v>
      </c>
      <c r="X422" s="8">
        <v>0</v>
      </c>
      <c r="Y422" s="8">
        <v>0</v>
      </c>
      <c r="Z422" s="8">
        <v>0</v>
      </c>
      <c r="AA422" s="11">
        <v>0</v>
      </c>
      <c r="AB422" s="11">
        <v>0</v>
      </c>
      <c r="AC422" s="11">
        <v>0</v>
      </c>
      <c r="AD422" s="11">
        <v>0</v>
      </c>
    </row>
    <row r="423" customFormat="1" ht="22" customHeight="1" spans="1:30">
      <c r="A423" s="8" t="s">
        <v>31</v>
      </c>
      <c r="B423" s="8" t="str">
        <f>VLOOKUP(E423,[1]Sheet1!$C:$E,2,FALSE)</f>
        <v>刘欢</v>
      </c>
      <c r="C423" s="8">
        <f>VLOOKUP(E423,[1]Sheet1!$C:$E,3,FALSE)</f>
        <v>0</v>
      </c>
      <c r="D423" s="8" t="s">
        <v>452</v>
      </c>
      <c r="E423" s="10">
        <v>1268614739</v>
      </c>
      <c r="F423" s="8">
        <v>4.9</v>
      </c>
      <c r="G423" s="8">
        <v>37</v>
      </c>
      <c r="H423" s="14">
        <v>212.44</v>
      </c>
      <c r="I423" s="8">
        <v>7.35</v>
      </c>
      <c r="J423" s="8">
        <v>5.74</v>
      </c>
      <c r="K423" s="8">
        <v>3657</v>
      </c>
      <c r="L423" s="11">
        <v>0.032</v>
      </c>
      <c r="M423" s="11">
        <v>0.231</v>
      </c>
      <c r="N423" s="11">
        <v>0.0074</v>
      </c>
      <c r="O423" s="8">
        <v>3325</v>
      </c>
      <c r="P423" s="8">
        <v>332</v>
      </c>
      <c r="Q423" s="8">
        <v>16</v>
      </c>
      <c r="R423" s="11">
        <v>0.027</v>
      </c>
      <c r="S423" s="11">
        <v>0.081</v>
      </c>
      <c r="T423" s="11">
        <v>0.122</v>
      </c>
      <c r="U423" s="11">
        <v>0.593</v>
      </c>
      <c r="V423" s="11">
        <v>0.323</v>
      </c>
      <c r="W423" s="8">
        <v>2</v>
      </c>
      <c r="X423" s="8">
        <v>2</v>
      </c>
      <c r="Y423" s="8">
        <v>0</v>
      </c>
      <c r="Z423" s="8">
        <v>0</v>
      </c>
      <c r="AA423" s="11">
        <v>0.0541</v>
      </c>
      <c r="AB423" s="11">
        <v>1</v>
      </c>
      <c r="AC423" s="11">
        <v>0</v>
      </c>
      <c r="AD423" s="11">
        <v>0</v>
      </c>
    </row>
    <row r="424" customFormat="1" ht="22" customHeight="1" spans="1:30">
      <c r="A424" s="8" t="s">
        <v>31</v>
      </c>
      <c r="B424" s="8" t="str">
        <f>VLOOKUP(E424,[1]Sheet1!$C:$E,2,FALSE)</f>
        <v>徐从众</v>
      </c>
      <c r="C424" s="8" t="str">
        <f>VLOOKUP(E424,[1]Sheet1!$C:$E,3,FALSE)</f>
        <v>C</v>
      </c>
      <c r="D424" s="12" t="s">
        <v>453</v>
      </c>
      <c r="E424" s="13">
        <v>1161767624</v>
      </c>
      <c r="F424" s="12">
        <v>4.7</v>
      </c>
      <c r="G424" s="8">
        <v>17</v>
      </c>
      <c r="H424" s="14">
        <v>211.62</v>
      </c>
      <c r="I424" s="8">
        <v>17.84</v>
      </c>
      <c r="J424" s="8">
        <v>12.45</v>
      </c>
      <c r="K424" s="8">
        <v>1081</v>
      </c>
      <c r="L424" s="11">
        <v>0.073</v>
      </c>
      <c r="M424" s="11">
        <v>0.215</v>
      </c>
      <c r="N424" s="11">
        <v>0.0157</v>
      </c>
      <c r="O424" s="8">
        <v>949</v>
      </c>
      <c r="P424" s="8">
        <v>132</v>
      </c>
      <c r="Q424" s="8">
        <v>11</v>
      </c>
      <c r="R424" s="11">
        <v>0.059</v>
      </c>
      <c r="S424" s="11">
        <v>0.174</v>
      </c>
      <c r="T424" s="11">
        <v>0.107</v>
      </c>
      <c r="U424" s="11">
        <v>0.478</v>
      </c>
      <c r="V424" s="11">
        <v>0.202</v>
      </c>
      <c r="W424" s="8">
        <v>2</v>
      </c>
      <c r="X424" s="8">
        <v>2</v>
      </c>
      <c r="Y424" s="8">
        <v>0</v>
      </c>
      <c r="Z424" s="8">
        <v>0</v>
      </c>
      <c r="AA424" s="11">
        <v>0.1176</v>
      </c>
      <c r="AB424" s="11">
        <v>1</v>
      </c>
      <c r="AC424" s="11">
        <v>0</v>
      </c>
      <c r="AD424" s="11">
        <v>0</v>
      </c>
    </row>
    <row r="425" customFormat="1" ht="22" customHeight="1" spans="1:30">
      <c r="A425" s="8" t="s">
        <v>31</v>
      </c>
      <c r="B425" s="8" t="str">
        <f>VLOOKUP(E425,[1]Sheet1!$C:$E,2,FALSE)</f>
        <v>岳贝贝</v>
      </c>
      <c r="C425" s="9" t="str">
        <f>VLOOKUP(E425,[1]Sheet1!$C:$E,3,FALSE)</f>
        <v>A</v>
      </c>
      <c r="D425" s="8" t="s">
        <v>454</v>
      </c>
      <c r="E425" s="10">
        <v>531075022</v>
      </c>
      <c r="F425" s="8">
        <v>4.9</v>
      </c>
      <c r="G425" s="8">
        <v>12</v>
      </c>
      <c r="H425" s="14">
        <v>209.8</v>
      </c>
      <c r="I425" s="8">
        <v>24.13</v>
      </c>
      <c r="J425" s="8">
        <v>17.48</v>
      </c>
      <c r="K425" s="8">
        <v>505</v>
      </c>
      <c r="L425" s="11">
        <v>0.097</v>
      </c>
      <c r="M425" s="11">
        <v>0.245</v>
      </c>
      <c r="N425" s="11">
        <v>0.0238</v>
      </c>
      <c r="O425" s="8">
        <v>434</v>
      </c>
      <c r="P425" s="8">
        <v>71</v>
      </c>
      <c r="Q425" s="8">
        <v>7</v>
      </c>
      <c r="R425" s="11">
        <v>0.088</v>
      </c>
      <c r="S425" s="11">
        <v>0.155</v>
      </c>
      <c r="T425" s="11">
        <v>0.132</v>
      </c>
      <c r="U425" s="11">
        <v>0.636</v>
      </c>
      <c r="V425" s="11">
        <v>0.2</v>
      </c>
      <c r="W425" s="8">
        <v>0</v>
      </c>
      <c r="X425" s="8">
        <v>0</v>
      </c>
      <c r="Y425" s="8">
        <v>0</v>
      </c>
      <c r="Z425" s="8">
        <v>0</v>
      </c>
      <c r="AA425" s="11">
        <v>0</v>
      </c>
      <c r="AB425" s="11">
        <v>0</v>
      </c>
      <c r="AC425" s="11">
        <v>0</v>
      </c>
      <c r="AD425" s="11">
        <v>0</v>
      </c>
    </row>
    <row r="426" customFormat="1" ht="22" customHeight="1" spans="1:30">
      <c r="A426" s="8" t="s">
        <v>31</v>
      </c>
      <c r="B426" s="8" t="e">
        <f>VLOOKUP(E426,[1]Sheet1!$C:$E,2,FALSE)</f>
        <v>#N/A</v>
      </c>
      <c r="C426" s="8" t="e">
        <f>VLOOKUP(E426,[1]Sheet1!$C:$E,3,FALSE)</f>
        <v>#N/A</v>
      </c>
      <c r="D426" s="12" t="s">
        <v>455</v>
      </c>
      <c r="E426" s="13">
        <v>535432147</v>
      </c>
      <c r="F426" s="12">
        <v>4.4</v>
      </c>
      <c r="G426" s="8">
        <v>11</v>
      </c>
      <c r="H426" s="14">
        <v>203.83</v>
      </c>
      <c r="I426" s="8">
        <v>23.53</v>
      </c>
      <c r="J426" s="8">
        <v>18.53</v>
      </c>
      <c r="K426" s="8">
        <v>1037</v>
      </c>
      <c r="L426" s="11">
        <v>0.044</v>
      </c>
      <c r="M426" s="11">
        <v>0.239</v>
      </c>
      <c r="N426" s="11">
        <v>0.0105</v>
      </c>
      <c r="O426" s="8">
        <v>947</v>
      </c>
      <c r="P426" s="8">
        <v>90</v>
      </c>
      <c r="Q426" s="8">
        <v>4</v>
      </c>
      <c r="R426" s="11">
        <v>0.038</v>
      </c>
      <c r="S426" s="11">
        <v>0.111</v>
      </c>
      <c r="T426" s="11">
        <v>0.194</v>
      </c>
      <c r="U426" s="11">
        <v>0.4</v>
      </c>
      <c r="V426" s="11">
        <v>0.188</v>
      </c>
      <c r="W426" s="8">
        <v>0</v>
      </c>
      <c r="X426" s="8">
        <v>0</v>
      </c>
      <c r="Y426" s="8">
        <v>0</v>
      </c>
      <c r="Z426" s="8">
        <v>0</v>
      </c>
      <c r="AA426" s="11">
        <v>0</v>
      </c>
      <c r="AB426" s="11">
        <v>0</v>
      </c>
      <c r="AC426" s="11">
        <v>0</v>
      </c>
      <c r="AD426" s="11">
        <v>0</v>
      </c>
    </row>
    <row r="427" customFormat="1" ht="22" customHeight="1" spans="1:30">
      <c r="A427" s="8" t="s">
        <v>31</v>
      </c>
      <c r="B427" s="8" t="e">
        <f>VLOOKUP(E427,[1]Sheet1!$C:$E,2,FALSE)</f>
        <v>#N/A</v>
      </c>
      <c r="C427" s="8" t="e">
        <f>VLOOKUP(E427,[1]Sheet1!$C:$E,3,FALSE)</f>
        <v>#N/A</v>
      </c>
      <c r="D427" s="12" t="s">
        <v>456</v>
      </c>
      <c r="E427" s="13">
        <v>530335513</v>
      </c>
      <c r="F427" s="12">
        <v>4.7</v>
      </c>
      <c r="G427" s="8">
        <v>12</v>
      </c>
      <c r="H427" s="14">
        <v>203.72</v>
      </c>
      <c r="I427" s="8">
        <v>19.91</v>
      </c>
      <c r="J427" s="8">
        <v>16.98</v>
      </c>
      <c r="K427" s="8">
        <v>1007</v>
      </c>
      <c r="L427" s="11">
        <v>0.062</v>
      </c>
      <c r="M427" s="11">
        <v>0.194</v>
      </c>
      <c r="N427" s="11">
        <v>0.012</v>
      </c>
      <c r="O427" s="8">
        <v>948</v>
      </c>
      <c r="P427" s="8">
        <v>59</v>
      </c>
      <c r="Q427" s="8">
        <v>3</v>
      </c>
      <c r="R427" s="11">
        <v>0.056</v>
      </c>
      <c r="S427" s="11">
        <v>0.153</v>
      </c>
      <c r="T427" s="11">
        <v>0.17</v>
      </c>
      <c r="U427" s="11">
        <v>0.333</v>
      </c>
      <c r="V427" s="11">
        <v>0.214</v>
      </c>
      <c r="W427" s="8">
        <v>1</v>
      </c>
      <c r="X427" s="8">
        <v>1</v>
      </c>
      <c r="Y427" s="8">
        <v>0</v>
      </c>
      <c r="Z427" s="8">
        <v>0</v>
      </c>
      <c r="AA427" s="11">
        <v>0.0833</v>
      </c>
      <c r="AB427" s="11">
        <v>1</v>
      </c>
      <c r="AC427" s="11">
        <v>0</v>
      </c>
      <c r="AD427" s="11">
        <v>0</v>
      </c>
    </row>
    <row r="428" customFormat="1" ht="22" customHeight="1" spans="1:30">
      <c r="A428" s="8" t="s">
        <v>31</v>
      </c>
      <c r="B428" s="8" t="e">
        <f>VLOOKUP(E428,[1]Sheet1!$C:$E,2,FALSE)</f>
        <v>#N/A</v>
      </c>
      <c r="C428" s="8" t="e">
        <f>VLOOKUP(E428,[1]Sheet1!$C:$E,3,FALSE)</f>
        <v>#N/A</v>
      </c>
      <c r="D428" s="8" t="s">
        <v>457</v>
      </c>
      <c r="E428" s="10">
        <v>544299258</v>
      </c>
      <c r="F428" s="8">
        <v>4.9</v>
      </c>
      <c r="G428" s="8">
        <v>2</v>
      </c>
      <c r="H428" s="14">
        <v>201.97</v>
      </c>
      <c r="I428" s="8">
        <v>103.71</v>
      </c>
      <c r="J428" s="8">
        <v>100.99</v>
      </c>
      <c r="K428" s="8">
        <v>883</v>
      </c>
      <c r="L428" s="11">
        <v>0.043</v>
      </c>
      <c r="M428" s="11">
        <v>0.053</v>
      </c>
      <c r="N428" s="11">
        <v>0.0023</v>
      </c>
      <c r="O428" s="8">
        <v>856</v>
      </c>
      <c r="P428" s="8">
        <v>27</v>
      </c>
      <c r="Q428" s="8">
        <v>2</v>
      </c>
      <c r="R428" s="11">
        <v>0.041</v>
      </c>
      <c r="S428" s="11">
        <v>0.111</v>
      </c>
      <c r="T428" s="11">
        <v>0</v>
      </c>
      <c r="U428" s="11">
        <v>0.667</v>
      </c>
      <c r="V428" s="11">
        <v>0.132</v>
      </c>
      <c r="W428" s="8">
        <v>0</v>
      </c>
      <c r="X428" s="8">
        <v>0</v>
      </c>
      <c r="Y428" s="8">
        <v>0</v>
      </c>
      <c r="Z428" s="8">
        <v>0</v>
      </c>
      <c r="AA428" s="11">
        <v>0</v>
      </c>
      <c r="AB428" s="11">
        <v>0</v>
      </c>
      <c r="AC428" s="11">
        <v>0</v>
      </c>
      <c r="AD428" s="11">
        <v>0</v>
      </c>
    </row>
    <row r="429" customFormat="1" ht="22" customHeight="1" spans="1:30">
      <c r="A429" s="8" t="s">
        <v>31</v>
      </c>
      <c r="B429" s="8" t="e">
        <f>VLOOKUP(E429,[1]Sheet1!$C:$E,2,FALSE)</f>
        <v>#N/A</v>
      </c>
      <c r="C429" s="8" t="e">
        <f>VLOOKUP(E429,[1]Sheet1!$C:$E,3,FALSE)</f>
        <v>#N/A</v>
      </c>
      <c r="D429" s="8" t="s">
        <v>458</v>
      </c>
      <c r="E429" s="10">
        <v>1272642668</v>
      </c>
      <c r="F429" s="8">
        <v>4.9</v>
      </c>
      <c r="G429" s="8">
        <v>14</v>
      </c>
      <c r="H429" s="14">
        <v>201.93</v>
      </c>
      <c r="I429" s="8">
        <v>0</v>
      </c>
      <c r="J429" s="8">
        <v>14.42</v>
      </c>
      <c r="K429" s="8">
        <v>864</v>
      </c>
      <c r="L429" s="11">
        <v>0.086</v>
      </c>
      <c r="M429" s="11">
        <v>0.162</v>
      </c>
      <c r="N429" s="11">
        <v>0.0139</v>
      </c>
      <c r="O429" s="8">
        <v>0</v>
      </c>
      <c r="P429" s="8">
        <v>0</v>
      </c>
      <c r="Q429" s="8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0.163</v>
      </c>
      <c r="W429" s="8">
        <v>0</v>
      </c>
      <c r="X429" s="8">
        <v>0</v>
      </c>
      <c r="Y429" s="8">
        <v>0</v>
      </c>
      <c r="Z429" s="8">
        <v>0</v>
      </c>
      <c r="AA429" s="11">
        <v>0</v>
      </c>
      <c r="AB429" s="11">
        <v>0</v>
      </c>
      <c r="AC429" s="11">
        <v>0</v>
      </c>
      <c r="AD429" s="11">
        <v>0</v>
      </c>
    </row>
    <row r="430" customFormat="1" ht="22" customHeight="1" spans="1:30">
      <c r="A430" s="8" t="s">
        <v>31</v>
      </c>
      <c r="B430" s="8" t="e">
        <f>VLOOKUP(E430,[1]Sheet1!$C:$E,2,FALSE)</f>
        <v>#N/A</v>
      </c>
      <c r="C430" s="8" t="e">
        <f>VLOOKUP(E430,[1]Sheet1!$C:$E,3,FALSE)</f>
        <v>#N/A</v>
      </c>
      <c r="D430" s="8" t="s">
        <v>459</v>
      </c>
      <c r="E430" s="10">
        <v>543774550</v>
      </c>
      <c r="F430" s="8">
        <v>4.8</v>
      </c>
      <c r="G430" s="8">
        <v>11</v>
      </c>
      <c r="H430" s="14">
        <v>201.67</v>
      </c>
      <c r="I430" s="8">
        <v>24.71</v>
      </c>
      <c r="J430" s="8">
        <v>18.33</v>
      </c>
      <c r="K430" s="8">
        <v>726</v>
      </c>
      <c r="L430" s="11">
        <v>0.054</v>
      </c>
      <c r="M430" s="11">
        <v>0.256</v>
      </c>
      <c r="N430" s="11">
        <v>0.0138</v>
      </c>
      <c r="O430" s="8">
        <v>698</v>
      </c>
      <c r="P430" s="8">
        <v>28</v>
      </c>
      <c r="Q430" s="8">
        <v>2</v>
      </c>
      <c r="R430" s="11">
        <v>0.05</v>
      </c>
      <c r="S430" s="11">
        <v>0.143</v>
      </c>
      <c r="T430" s="11">
        <v>0.229</v>
      </c>
      <c r="U430" s="11">
        <v>0.5</v>
      </c>
      <c r="V430" s="11">
        <v>0.148</v>
      </c>
      <c r="W430" s="8">
        <v>0</v>
      </c>
      <c r="X430" s="8">
        <v>0</v>
      </c>
      <c r="Y430" s="8">
        <v>0</v>
      </c>
      <c r="Z430" s="8">
        <v>0</v>
      </c>
      <c r="AA430" s="11">
        <v>0</v>
      </c>
      <c r="AB430" s="11">
        <v>0</v>
      </c>
      <c r="AC430" s="11">
        <v>0</v>
      </c>
      <c r="AD430" s="11">
        <v>0</v>
      </c>
    </row>
    <row r="431" customFormat="1" ht="22" customHeight="1" spans="1:30">
      <c r="A431" s="8" t="s">
        <v>31</v>
      </c>
      <c r="B431" s="8" t="e">
        <f>VLOOKUP(E431,[1]Sheet1!$C:$E,2,FALSE)</f>
        <v>#N/A</v>
      </c>
      <c r="C431" s="8" t="e">
        <f>VLOOKUP(E431,[1]Sheet1!$C:$E,3,FALSE)</f>
        <v>#N/A</v>
      </c>
      <c r="D431" s="8" t="s">
        <v>460</v>
      </c>
      <c r="E431" s="10">
        <v>1298069837</v>
      </c>
      <c r="F431" s="8">
        <v>4.9</v>
      </c>
      <c r="G431" s="8">
        <v>8</v>
      </c>
      <c r="H431" s="14">
        <v>201.21</v>
      </c>
      <c r="I431" s="8">
        <v>33.14</v>
      </c>
      <c r="J431" s="8">
        <v>25.15</v>
      </c>
      <c r="K431" s="8">
        <v>873</v>
      </c>
      <c r="L431" s="11">
        <v>0.087</v>
      </c>
      <c r="M431" s="11">
        <v>0.105</v>
      </c>
      <c r="N431" s="11">
        <v>0.0091</v>
      </c>
      <c r="O431" s="8">
        <v>813</v>
      </c>
      <c r="P431" s="8">
        <v>60</v>
      </c>
      <c r="Q431" s="8">
        <v>1</v>
      </c>
      <c r="R431" s="11">
        <v>0.08</v>
      </c>
      <c r="S431" s="11">
        <v>0.183</v>
      </c>
      <c r="T431" s="11">
        <v>0.108</v>
      </c>
      <c r="U431" s="11">
        <v>0.091</v>
      </c>
      <c r="V431" s="11">
        <v>0.098</v>
      </c>
      <c r="W431" s="8">
        <v>0</v>
      </c>
      <c r="X431" s="8">
        <v>0</v>
      </c>
      <c r="Y431" s="8">
        <v>0</v>
      </c>
      <c r="Z431" s="8">
        <v>0</v>
      </c>
      <c r="AA431" s="11">
        <v>0</v>
      </c>
      <c r="AB431" s="11">
        <v>0</v>
      </c>
      <c r="AC431" s="11">
        <v>0</v>
      </c>
      <c r="AD431" s="11">
        <v>0</v>
      </c>
    </row>
    <row r="432" customFormat="1" ht="22" customHeight="1" spans="1:30">
      <c r="A432" s="8" t="s">
        <v>31</v>
      </c>
      <c r="B432" s="8" t="str">
        <f>VLOOKUP(E432,[1]Sheet1!$C:$E,2,FALSE)</f>
        <v>徐从众</v>
      </c>
      <c r="C432" s="9" t="str">
        <f>VLOOKUP(E432,[1]Sheet1!$C:$E,3,FALSE)</f>
        <v>S</v>
      </c>
      <c r="D432" s="12" t="s">
        <v>461</v>
      </c>
      <c r="E432" s="13">
        <v>1328488693</v>
      </c>
      <c r="F432" s="12">
        <v>4.5</v>
      </c>
      <c r="G432" s="8">
        <v>15</v>
      </c>
      <c r="H432" s="14">
        <v>201.03</v>
      </c>
      <c r="I432" s="8">
        <v>19.32</v>
      </c>
      <c r="J432" s="8">
        <v>13.4</v>
      </c>
      <c r="K432" s="8">
        <v>1996</v>
      </c>
      <c r="L432" s="11">
        <v>0.043</v>
      </c>
      <c r="M432" s="11">
        <v>0.174</v>
      </c>
      <c r="N432" s="11">
        <v>0.0075</v>
      </c>
      <c r="O432" s="8">
        <v>1834</v>
      </c>
      <c r="P432" s="8">
        <v>162</v>
      </c>
      <c r="Q432" s="8">
        <v>5</v>
      </c>
      <c r="R432" s="11">
        <v>0.037</v>
      </c>
      <c r="S432" s="11">
        <v>0.111</v>
      </c>
      <c r="T432" s="11">
        <v>0.147</v>
      </c>
      <c r="U432" s="11">
        <v>0.278</v>
      </c>
      <c r="V432" s="11">
        <v>0.188</v>
      </c>
      <c r="W432" s="8">
        <v>0</v>
      </c>
      <c r="X432" s="8">
        <v>0</v>
      </c>
      <c r="Y432" s="8">
        <v>0</v>
      </c>
      <c r="Z432" s="8">
        <v>0</v>
      </c>
      <c r="AA432" s="11">
        <v>0</v>
      </c>
      <c r="AB432" s="11">
        <v>0</v>
      </c>
      <c r="AC432" s="11">
        <v>0</v>
      </c>
      <c r="AD432" s="11">
        <v>0</v>
      </c>
    </row>
    <row r="433" customFormat="1" ht="22" customHeight="1" spans="1:30">
      <c r="A433" s="8" t="s">
        <v>31</v>
      </c>
      <c r="B433" s="8" t="str">
        <f>VLOOKUP(E433,[1]Sheet1!$C:$E,2,FALSE)</f>
        <v>徐从众</v>
      </c>
      <c r="C433" s="9" t="str">
        <f>VLOOKUP(E433,[1]Sheet1!$C:$E,3,FALSE)</f>
        <v>A</v>
      </c>
      <c r="D433" s="8" t="s">
        <v>462</v>
      </c>
      <c r="E433" s="10">
        <v>522890733</v>
      </c>
      <c r="F433" s="8">
        <v>4.9</v>
      </c>
      <c r="G433" s="8">
        <v>4</v>
      </c>
      <c r="H433" s="14">
        <v>200.99</v>
      </c>
      <c r="I433" s="8">
        <v>59.7</v>
      </c>
      <c r="J433" s="8">
        <v>50.25</v>
      </c>
      <c r="K433" s="8">
        <v>202</v>
      </c>
      <c r="L433" s="11">
        <v>0.099</v>
      </c>
      <c r="M433" s="11">
        <v>0.2</v>
      </c>
      <c r="N433" s="11">
        <v>0.0198</v>
      </c>
      <c r="O433" s="8">
        <v>184</v>
      </c>
      <c r="P433" s="8">
        <v>18</v>
      </c>
      <c r="Q433" s="8">
        <v>2</v>
      </c>
      <c r="R433" s="11">
        <v>0.087</v>
      </c>
      <c r="S433" s="11">
        <v>0.222</v>
      </c>
      <c r="T433" s="11">
        <v>0.125</v>
      </c>
      <c r="U433" s="11">
        <v>0.5</v>
      </c>
      <c r="V433" s="11">
        <v>0.167</v>
      </c>
      <c r="W433" s="8">
        <v>0</v>
      </c>
      <c r="X433" s="8">
        <v>0</v>
      </c>
      <c r="Y433" s="8">
        <v>0</v>
      </c>
      <c r="Z433" s="8">
        <v>0</v>
      </c>
      <c r="AA433" s="11">
        <v>0</v>
      </c>
      <c r="AB433" s="11">
        <v>0</v>
      </c>
      <c r="AC433" s="11">
        <v>0</v>
      </c>
      <c r="AD433" s="11">
        <v>0</v>
      </c>
    </row>
    <row r="434" customFormat="1" ht="22" customHeight="1" spans="1:30">
      <c r="A434" s="8" t="s">
        <v>31</v>
      </c>
      <c r="B434" s="8" t="str">
        <f>VLOOKUP(E434,[1]Sheet1!$C:$E,2,FALSE)</f>
        <v>王森</v>
      </c>
      <c r="C434" s="8">
        <f>VLOOKUP(E434,[1]Sheet1!$C:$E,3,FALSE)</f>
        <v>0</v>
      </c>
      <c r="D434" s="12" t="s">
        <v>463</v>
      </c>
      <c r="E434" s="13">
        <v>541775413</v>
      </c>
      <c r="F434" s="12">
        <v>4.5</v>
      </c>
      <c r="G434" s="8">
        <v>16</v>
      </c>
      <c r="H434" s="14">
        <v>199.58</v>
      </c>
      <c r="I434" s="8">
        <v>15.27</v>
      </c>
      <c r="J434" s="8">
        <v>12.47</v>
      </c>
      <c r="K434" s="8">
        <v>1053</v>
      </c>
      <c r="L434" s="11">
        <v>0.091</v>
      </c>
      <c r="M434" s="11">
        <v>0.167</v>
      </c>
      <c r="N434" s="11">
        <v>0.0152</v>
      </c>
      <c r="O434" s="8">
        <v>894</v>
      </c>
      <c r="P434" s="8">
        <v>159</v>
      </c>
      <c r="Q434" s="8">
        <v>11</v>
      </c>
      <c r="R434" s="11">
        <v>0.066</v>
      </c>
      <c r="S434" s="11">
        <v>0.233</v>
      </c>
      <c r="T434" s="11">
        <v>0.085</v>
      </c>
      <c r="U434" s="11">
        <v>0.297</v>
      </c>
      <c r="V434" s="11">
        <v>0.224</v>
      </c>
      <c r="W434" s="8">
        <v>0</v>
      </c>
      <c r="X434" s="8">
        <v>0</v>
      </c>
      <c r="Y434" s="8">
        <v>0</v>
      </c>
      <c r="Z434" s="8">
        <v>0</v>
      </c>
      <c r="AA434" s="11">
        <v>0</v>
      </c>
      <c r="AB434" s="11">
        <v>0</v>
      </c>
      <c r="AC434" s="11">
        <v>0</v>
      </c>
      <c r="AD434" s="11">
        <v>0</v>
      </c>
    </row>
    <row r="435" customFormat="1" ht="22" customHeight="1" spans="1:30">
      <c r="A435" s="8" t="s">
        <v>31</v>
      </c>
      <c r="B435" s="8" t="e">
        <f>VLOOKUP(E435,[1]Sheet1!$C:$E,2,FALSE)</f>
        <v>#N/A</v>
      </c>
      <c r="C435" s="8" t="e">
        <f>VLOOKUP(E435,[1]Sheet1!$C:$E,3,FALSE)</f>
        <v>#N/A</v>
      </c>
      <c r="D435" s="12" t="s">
        <v>464</v>
      </c>
      <c r="E435" s="13">
        <v>544380288</v>
      </c>
      <c r="F435" s="12">
        <v>4.6</v>
      </c>
      <c r="G435" s="8">
        <v>13</v>
      </c>
      <c r="H435" s="14">
        <v>199.48</v>
      </c>
      <c r="I435" s="8">
        <v>19.74</v>
      </c>
      <c r="J435" s="8">
        <v>15.34</v>
      </c>
      <c r="K435" s="8">
        <v>3764</v>
      </c>
      <c r="L435" s="11">
        <v>0.035</v>
      </c>
      <c r="M435" s="11">
        <v>0.099</v>
      </c>
      <c r="N435" s="11">
        <v>0.0035</v>
      </c>
      <c r="O435" s="8">
        <v>3676</v>
      </c>
      <c r="P435" s="8">
        <v>88</v>
      </c>
      <c r="Q435" s="8">
        <v>1</v>
      </c>
      <c r="R435" s="11">
        <v>0.033</v>
      </c>
      <c r="S435" s="11">
        <v>0.114</v>
      </c>
      <c r="T435" s="11">
        <v>0.099</v>
      </c>
      <c r="U435" s="11">
        <v>0.1</v>
      </c>
      <c r="V435" s="11">
        <v>0.077</v>
      </c>
      <c r="W435" s="8">
        <v>2</v>
      </c>
      <c r="X435" s="8">
        <v>2</v>
      </c>
      <c r="Y435" s="8">
        <v>0</v>
      </c>
      <c r="Z435" s="8">
        <v>0</v>
      </c>
      <c r="AA435" s="11">
        <v>0.1538</v>
      </c>
      <c r="AB435" s="11">
        <v>1</v>
      </c>
      <c r="AC435" s="11">
        <v>0</v>
      </c>
      <c r="AD435" s="11">
        <v>0</v>
      </c>
    </row>
    <row r="436" customFormat="1" ht="22" customHeight="1" spans="1:30">
      <c r="A436" s="8" t="s">
        <v>31</v>
      </c>
      <c r="B436" s="8" t="str">
        <f>VLOOKUP(E436,[1]Sheet1!$C:$E,2,FALSE)</f>
        <v>岳贝贝</v>
      </c>
      <c r="C436" s="8" t="str">
        <f>VLOOKUP(E436,[1]Sheet1!$C:$E,3,FALSE)</f>
        <v>B</v>
      </c>
      <c r="D436" s="12" t="s">
        <v>465</v>
      </c>
      <c r="E436" s="13">
        <v>544253178</v>
      </c>
      <c r="F436" s="12">
        <v>4.7</v>
      </c>
      <c r="G436" s="8">
        <v>12</v>
      </c>
      <c r="H436" s="14">
        <v>196.6</v>
      </c>
      <c r="I436" s="8">
        <v>26.71</v>
      </c>
      <c r="J436" s="8">
        <v>16.38</v>
      </c>
      <c r="K436" s="8">
        <v>1259</v>
      </c>
      <c r="L436" s="11">
        <v>0.05</v>
      </c>
      <c r="M436" s="11">
        <v>0.206</v>
      </c>
      <c r="N436" s="11">
        <v>0.0103</v>
      </c>
      <c r="O436" s="8">
        <v>1167</v>
      </c>
      <c r="P436" s="8">
        <v>92</v>
      </c>
      <c r="Q436" s="8">
        <v>5</v>
      </c>
      <c r="R436" s="11">
        <v>0.045</v>
      </c>
      <c r="S436" s="11">
        <v>0.12</v>
      </c>
      <c r="T436" s="11">
        <v>0.154</v>
      </c>
      <c r="U436" s="11">
        <v>0.455</v>
      </c>
      <c r="V436" s="11">
        <v>0.147</v>
      </c>
      <c r="W436" s="8">
        <v>0</v>
      </c>
      <c r="X436" s="8">
        <v>0</v>
      </c>
      <c r="Y436" s="8">
        <v>0</v>
      </c>
      <c r="Z436" s="8">
        <v>0</v>
      </c>
      <c r="AA436" s="11">
        <v>0</v>
      </c>
      <c r="AB436" s="11">
        <v>0</v>
      </c>
      <c r="AC436" s="11">
        <v>0</v>
      </c>
      <c r="AD436" s="11">
        <v>0</v>
      </c>
    </row>
    <row r="437" customFormat="1" ht="22" customHeight="1" spans="1:30">
      <c r="A437" s="8" t="s">
        <v>31</v>
      </c>
      <c r="B437" s="8" t="str">
        <f>VLOOKUP(E437,[1]Sheet1!$C:$E,2,FALSE)</f>
        <v>岳贝贝</v>
      </c>
      <c r="C437" s="9" t="str">
        <f>VLOOKUP(E437,[1]Sheet1!$C:$E,3,FALSE)</f>
        <v>A</v>
      </c>
      <c r="D437" s="8" t="s">
        <v>466</v>
      </c>
      <c r="E437" s="10">
        <v>2057183637</v>
      </c>
      <c r="F437" s="8">
        <v>4.9</v>
      </c>
      <c r="G437" s="8">
        <v>11</v>
      </c>
      <c r="H437" s="14">
        <v>195.53</v>
      </c>
      <c r="I437" s="8">
        <v>24.85</v>
      </c>
      <c r="J437" s="8">
        <v>17.78</v>
      </c>
      <c r="K437" s="8">
        <v>833</v>
      </c>
      <c r="L437" s="11">
        <v>0.05</v>
      </c>
      <c r="M437" s="11">
        <v>0.262</v>
      </c>
      <c r="N437" s="11">
        <v>0.0131</v>
      </c>
      <c r="O437" s="8">
        <v>643</v>
      </c>
      <c r="P437" s="8">
        <v>190</v>
      </c>
      <c r="Q437" s="8">
        <v>7</v>
      </c>
      <c r="R437" s="11">
        <v>0.037</v>
      </c>
      <c r="S437" s="11">
        <v>0.095</v>
      </c>
      <c r="T437" s="11">
        <v>0.167</v>
      </c>
      <c r="U437" s="11">
        <v>0.389</v>
      </c>
      <c r="V437" s="11">
        <v>0.241</v>
      </c>
      <c r="W437" s="8">
        <v>0</v>
      </c>
      <c r="X437" s="8">
        <v>0</v>
      </c>
      <c r="Y437" s="8">
        <v>0</v>
      </c>
      <c r="Z437" s="8">
        <v>0</v>
      </c>
      <c r="AA437" s="11">
        <v>0</v>
      </c>
      <c r="AB437" s="11">
        <v>0</v>
      </c>
      <c r="AC437" s="11">
        <v>0</v>
      </c>
      <c r="AD437" s="11">
        <v>0</v>
      </c>
    </row>
    <row r="438" customFormat="1" ht="22" customHeight="1" spans="1:30">
      <c r="A438" s="8" t="s">
        <v>31</v>
      </c>
      <c r="B438" s="8" t="e">
        <f>VLOOKUP(E438,[1]Sheet1!$C:$E,2,FALSE)</f>
        <v>#N/A</v>
      </c>
      <c r="C438" s="8" t="e">
        <f>VLOOKUP(E438,[1]Sheet1!$C:$E,3,FALSE)</f>
        <v>#N/A</v>
      </c>
      <c r="D438" s="8" t="s">
        <v>467</v>
      </c>
      <c r="E438" s="10">
        <v>1335534734</v>
      </c>
      <c r="F438" s="8">
        <v>4.9</v>
      </c>
      <c r="G438" s="8">
        <v>11</v>
      </c>
      <c r="H438" s="14">
        <v>195.31</v>
      </c>
      <c r="I438" s="8">
        <v>22.03</v>
      </c>
      <c r="J438" s="8">
        <v>17.76</v>
      </c>
      <c r="K438" s="8">
        <v>617</v>
      </c>
      <c r="L438" s="11">
        <v>0.097</v>
      </c>
      <c r="M438" s="11">
        <v>0.183</v>
      </c>
      <c r="N438" s="11">
        <v>0.0178</v>
      </c>
      <c r="O438" s="8">
        <v>512</v>
      </c>
      <c r="P438" s="8">
        <v>105</v>
      </c>
      <c r="Q438" s="8">
        <v>6</v>
      </c>
      <c r="R438" s="11">
        <v>0.07</v>
      </c>
      <c r="S438" s="11">
        <v>0.229</v>
      </c>
      <c r="T438" s="11">
        <v>0.139</v>
      </c>
      <c r="U438" s="11">
        <v>0.25</v>
      </c>
      <c r="V438" s="11">
        <v>0.307</v>
      </c>
      <c r="W438" s="8">
        <v>0</v>
      </c>
      <c r="X438" s="8">
        <v>0</v>
      </c>
      <c r="Y438" s="8">
        <v>0</v>
      </c>
      <c r="Z438" s="8">
        <v>0</v>
      </c>
      <c r="AA438" s="11">
        <v>0</v>
      </c>
      <c r="AB438" s="11">
        <v>0</v>
      </c>
      <c r="AC438" s="11">
        <v>0</v>
      </c>
      <c r="AD438" s="11">
        <v>0</v>
      </c>
    </row>
    <row r="439" customFormat="1" ht="22" customHeight="1" spans="1:30">
      <c r="A439" s="8" t="s">
        <v>31</v>
      </c>
      <c r="B439" s="8" t="str">
        <f>VLOOKUP(E439,[1]Sheet1!$C:$E,2,FALSE)</f>
        <v>刘欢</v>
      </c>
      <c r="C439" s="8" t="str">
        <f>VLOOKUP(E439,[1]Sheet1!$C:$E,3,FALSE)</f>
        <v>B</v>
      </c>
      <c r="D439" s="12" t="s">
        <v>468</v>
      </c>
      <c r="E439" s="13">
        <v>1331456663</v>
      </c>
      <c r="F439" s="12">
        <v>4.7</v>
      </c>
      <c r="G439" s="8">
        <v>7</v>
      </c>
      <c r="H439" s="14">
        <v>192.75</v>
      </c>
      <c r="I439" s="8">
        <v>34.56</v>
      </c>
      <c r="J439" s="8">
        <v>27.54</v>
      </c>
      <c r="K439" s="8">
        <v>1501</v>
      </c>
      <c r="L439" s="11">
        <v>0.072</v>
      </c>
      <c r="M439" s="11">
        <v>0.065</v>
      </c>
      <c r="N439" s="11">
        <v>0.0047</v>
      </c>
      <c r="O439" s="8">
        <v>1432</v>
      </c>
      <c r="P439" s="8">
        <v>69</v>
      </c>
      <c r="Q439" s="8">
        <v>2</v>
      </c>
      <c r="R439" s="11">
        <v>0.069</v>
      </c>
      <c r="S439" s="11">
        <v>0.13</v>
      </c>
      <c r="T439" s="11">
        <v>0.051</v>
      </c>
      <c r="U439" s="11">
        <v>0.222</v>
      </c>
      <c r="V439" s="11">
        <v>0.085</v>
      </c>
      <c r="W439" s="8">
        <v>1</v>
      </c>
      <c r="X439" s="8">
        <v>1</v>
      </c>
      <c r="Y439" s="8">
        <v>0</v>
      </c>
      <c r="Z439" s="8">
        <v>0</v>
      </c>
      <c r="AA439" s="11">
        <v>0.1429</v>
      </c>
      <c r="AB439" s="11">
        <v>1</v>
      </c>
      <c r="AC439" s="11">
        <v>0</v>
      </c>
      <c r="AD439" s="11">
        <v>0</v>
      </c>
    </row>
    <row r="440" customFormat="1" ht="22" customHeight="1" spans="1:30">
      <c r="A440" s="8" t="s">
        <v>31</v>
      </c>
      <c r="B440" s="8" t="str">
        <f>VLOOKUP(E440,[1]Sheet1!$C:$E,2,FALSE)</f>
        <v>刘欢</v>
      </c>
      <c r="C440" s="8" t="str">
        <f>VLOOKUP(E440,[1]Sheet1!$C:$E,3,FALSE)</f>
        <v>C</v>
      </c>
      <c r="D440" s="8" t="s">
        <v>469</v>
      </c>
      <c r="E440" s="10">
        <v>543910034</v>
      </c>
      <c r="F440" s="8">
        <v>4.9</v>
      </c>
      <c r="G440" s="8">
        <v>12</v>
      </c>
      <c r="H440" s="14">
        <v>190.78</v>
      </c>
      <c r="I440" s="8">
        <v>21.21</v>
      </c>
      <c r="J440" s="8">
        <v>15.9</v>
      </c>
      <c r="K440" s="8">
        <v>844</v>
      </c>
      <c r="L440" s="11">
        <v>0.069</v>
      </c>
      <c r="M440" s="11">
        <v>0.207</v>
      </c>
      <c r="N440" s="11">
        <v>0.0143</v>
      </c>
      <c r="O440" s="8">
        <v>761</v>
      </c>
      <c r="P440" s="8">
        <v>83</v>
      </c>
      <c r="Q440" s="8">
        <v>8</v>
      </c>
      <c r="R440" s="11">
        <v>0.057</v>
      </c>
      <c r="S440" s="11">
        <v>0.181</v>
      </c>
      <c r="T440" s="11">
        <v>0.093</v>
      </c>
      <c r="U440" s="11">
        <v>0.533</v>
      </c>
      <c r="V440" s="11">
        <v>0.198</v>
      </c>
      <c r="W440" s="8">
        <v>0</v>
      </c>
      <c r="X440" s="8">
        <v>0</v>
      </c>
      <c r="Y440" s="8">
        <v>0</v>
      </c>
      <c r="Z440" s="8">
        <v>0</v>
      </c>
      <c r="AA440" s="11">
        <v>0</v>
      </c>
      <c r="AB440" s="11">
        <v>0</v>
      </c>
      <c r="AC440" s="11">
        <v>0</v>
      </c>
      <c r="AD440" s="11">
        <v>0</v>
      </c>
    </row>
    <row r="441" customFormat="1" ht="22" customHeight="1" spans="1:30">
      <c r="A441" s="8" t="s">
        <v>31</v>
      </c>
      <c r="B441" s="8" t="str">
        <f>VLOOKUP(E441,[1]Sheet1!$C:$E,2,FALSE)</f>
        <v>刘欢</v>
      </c>
      <c r="C441" s="8" t="str">
        <f>VLOOKUP(E441,[1]Sheet1!$C:$E,3,FALSE)</f>
        <v>C</v>
      </c>
      <c r="D441" s="12" t="s">
        <v>470</v>
      </c>
      <c r="E441" s="13">
        <v>1302010435</v>
      </c>
      <c r="F441" s="12">
        <v>4.5</v>
      </c>
      <c r="G441" s="8">
        <v>20</v>
      </c>
      <c r="H441" s="14">
        <v>190.72</v>
      </c>
      <c r="I441" s="8">
        <v>11</v>
      </c>
      <c r="J441" s="8">
        <v>9.54</v>
      </c>
      <c r="K441" s="8">
        <v>1858</v>
      </c>
      <c r="L441" s="11">
        <v>0.054</v>
      </c>
      <c r="M441" s="11">
        <v>0.198</v>
      </c>
      <c r="N441" s="11">
        <v>0.0107</v>
      </c>
      <c r="O441" s="8">
        <v>1561</v>
      </c>
      <c r="P441" s="8">
        <v>297</v>
      </c>
      <c r="Q441" s="8">
        <v>13</v>
      </c>
      <c r="R441" s="11">
        <v>0.048</v>
      </c>
      <c r="S441" s="11">
        <v>0.088</v>
      </c>
      <c r="T441" s="11">
        <v>0.093</v>
      </c>
      <c r="U441" s="11">
        <v>0.5</v>
      </c>
      <c r="V441" s="11">
        <v>0.14</v>
      </c>
      <c r="W441" s="8">
        <v>0</v>
      </c>
      <c r="X441" s="8">
        <v>0</v>
      </c>
      <c r="Y441" s="8">
        <v>0</v>
      </c>
      <c r="Z441" s="8">
        <v>0</v>
      </c>
      <c r="AA441" s="11">
        <v>0</v>
      </c>
      <c r="AB441" s="11">
        <v>0</v>
      </c>
      <c r="AC441" s="11">
        <v>0</v>
      </c>
      <c r="AD441" s="11">
        <v>0</v>
      </c>
    </row>
    <row r="442" customFormat="1" ht="22" customHeight="1" spans="1:30">
      <c r="A442" s="8" t="s">
        <v>31</v>
      </c>
      <c r="B442" s="8" t="str">
        <f>VLOOKUP(E442,[1]Sheet1!$C:$E,2,FALSE)</f>
        <v>岳贝贝</v>
      </c>
      <c r="C442" s="8" t="str">
        <f>VLOOKUP(E442,[1]Sheet1!$C:$E,3,FALSE)</f>
        <v>C</v>
      </c>
      <c r="D442" s="12" t="s">
        <v>471</v>
      </c>
      <c r="E442" s="13">
        <v>538843950</v>
      </c>
      <c r="F442" s="12">
        <v>4.5</v>
      </c>
      <c r="G442" s="8">
        <v>11</v>
      </c>
      <c r="H442" s="14">
        <v>185.6</v>
      </c>
      <c r="I442" s="8">
        <v>19.37</v>
      </c>
      <c r="J442" s="8">
        <v>16.87</v>
      </c>
      <c r="K442" s="8">
        <v>779</v>
      </c>
      <c r="L442" s="11">
        <v>0.047</v>
      </c>
      <c r="M442" s="11">
        <v>0.297</v>
      </c>
      <c r="N442" s="11">
        <v>0.014</v>
      </c>
      <c r="O442" s="8">
        <v>688</v>
      </c>
      <c r="P442" s="8">
        <v>91</v>
      </c>
      <c r="Q442" s="8">
        <v>6</v>
      </c>
      <c r="R442" s="11">
        <v>0.039</v>
      </c>
      <c r="S442" s="11">
        <v>0.11</v>
      </c>
      <c r="T442" s="11">
        <v>0.185</v>
      </c>
      <c r="U442" s="11">
        <v>0.6</v>
      </c>
      <c r="V442" s="11">
        <v>0.193</v>
      </c>
      <c r="W442" s="8">
        <v>1</v>
      </c>
      <c r="X442" s="8">
        <v>0</v>
      </c>
      <c r="Y442" s="8">
        <v>0</v>
      </c>
      <c r="Z442" s="8">
        <v>1</v>
      </c>
      <c r="AA442" s="11">
        <v>0.0909</v>
      </c>
      <c r="AB442" s="11">
        <v>0</v>
      </c>
      <c r="AC442" s="11">
        <v>0</v>
      </c>
      <c r="AD442" s="11">
        <v>1</v>
      </c>
    </row>
    <row r="443" customFormat="1" ht="22" customHeight="1" spans="1:30">
      <c r="A443" s="8" t="s">
        <v>31</v>
      </c>
      <c r="B443" s="8" t="str">
        <f>VLOOKUP(E443,[1]Sheet1!$C:$E,2,FALSE)</f>
        <v>徐从众</v>
      </c>
      <c r="C443" s="9" t="str">
        <f>VLOOKUP(E443,[1]Sheet1!$C:$E,3,FALSE)</f>
        <v>S</v>
      </c>
      <c r="D443" s="12" t="s">
        <v>472</v>
      </c>
      <c r="E443" s="13">
        <v>529511969</v>
      </c>
      <c r="F443" s="12">
        <v>4.6</v>
      </c>
      <c r="G443" s="8">
        <v>4</v>
      </c>
      <c r="H443" s="14">
        <v>182.68</v>
      </c>
      <c r="I443" s="8">
        <v>0</v>
      </c>
      <c r="J443" s="8">
        <v>45.67</v>
      </c>
      <c r="K443" s="8">
        <v>515</v>
      </c>
      <c r="L443" s="11">
        <v>0.099</v>
      </c>
      <c r="M443" s="11">
        <v>0.078</v>
      </c>
      <c r="N443" s="11">
        <v>0.0077</v>
      </c>
      <c r="O443" s="8">
        <v>0</v>
      </c>
      <c r="P443" s="8">
        <v>0</v>
      </c>
      <c r="Q443" s="8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0.146</v>
      </c>
      <c r="W443" s="8">
        <v>0</v>
      </c>
      <c r="X443" s="8">
        <v>0</v>
      </c>
      <c r="Y443" s="8">
        <v>0</v>
      </c>
      <c r="Z443" s="8">
        <v>0</v>
      </c>
      <c r="AA443" s="11">
        <v>0</v>
      </c>
      <c r="AB443" s="11">
        <v>0</v>
      </c>
      <c r="AC443" s="11">
        <v>0</v>
      </c>
      <c r="AD443" s="11">
        <v>0</v>
      </c>
    </row>
    <row r="444" customFormat="1" ht="22" customHeight="1" spans="1:30">
      <c r="A444" s="8" t="s">
        <v>31</v>
      </c>
      <c r="B444" s="8" t="e">
        <f>VLOOKUP(E444,[1]Sheet1!$C:$E,2,FALSE)</f>
        <v>#N/A</v>
      </c>
      <c r="C444" s="8" t="e">
        <f>VLOOKUP(E444,[1]Sheet1!$C:$E,3,FALSE)</f>
        <v>#N/A</v>
      </c>
      <c r="D444" s="12" t="s">
        <v>473</v>
      </c>
      <c r="E444" s="13">
        <v>1349181020</v>
      </c>
      <c r="F444" s="12">
        <v>0</v>
      </c>
      <c r="G444" s="8">
        <v>7</v>
      </c>
      <c r="H444" s="14">
        <v>179.47</v>
      </c>
      <c r="I444" s="8">
        <v>0</v>
      </c>
      <c r="J444" s="8">
        <v>0</v>
      </c>
      <c r="K444" s="8">
        <v>0</v>
      </c>
      <c r="L444" s="11">
        <v>0</v>
      </c>
      <c r="M444" s="11">
        <v>0</v>
      </c>
      <c r="N444" s="11">
        <v>0</v>
      </c>
      <c r="O444" s="8">
        <v>0</v>
      </c>
      <c r="P444" s="8">
        <v>0</v>
      </c>
      <c r="Q444" s="8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8">
        <v>0</v>
      </c>
      <c r="X444" s="8">
        <v>0</v>
      </c>
      <c r="Y444" s="8">
        <v>0</v>
      </c>
      <c r="Z444" s="8">
        <v>0</v>
      </c>
      <c r="AA444" s="11">
        <v>0</v>
      </c>
      <c r="AB444" s="11">
        <v>0</v>
      </c>
      <c r="AC444" s="11">
        <v>0</v>
      </c>
      <c r="AD444" s="11">
        <v>0</v>
      </c>
    </row>
    <row r="445" customFormat="1" ht="22" customHeight="1" spans="1:30">
      <c r="A445" s="8" t="s">
        <v>31</v>
      </c>
      <c r="B445" s="8" t="e">
        <f>VLOOKUP(E445,[1]Sheet1!$C:$E,2,FALSE)</f>
        <v>#N/A</v>
      </c>
      <c r="C445" s="8" t="e">
        <f>VLOOKUP(E445,[1]Sheet1!$C:$E,3,FALSE)</f>
        <v>#N/A</v>
      </c>
      <c r="D445" s="12" t="s">
        <v>474</v>
      </c>
      <c r="E445" s="13">
        <v>528424157</v>
      </c>
      <c r="F445" s="12">
        <v>4.4</v>
      </c>
      <c r="G445" s="8">
        <v>10</v>
      </c>
      <c r="H445" s="14">
        <v>179.15</v>
      </c>
      <c r="I445" s="8">
        <v>0</v>
      </c>
      <c r="J445" s="8">
        <v>17.92</v>
      </c>
      <c r="K445" s="8">
        <v>391</v>
      </c>
      <c r="L445" s="11">
        <v>0.074</v>
      </c>
      <c r="M445" s="11">
        <v>0.345</v>
      </c>
      <c r="N445" s="11">
        <v>0.0255</v>
      </c>
      <c r="O445" s="8">
        <v>0</v>
      </c>
      <c r="P445" s="8">
        <v>0</v>
      </c>
      <c r="Q445" s="8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0.147</v>
      </c>
      <c r="W445" s="8">
        <v>1</v>
      </c>
      <c r="X445" s="8">
        <v>1</v>
      </c>
      <c r="Y445" s="8">
        <v>0</v>
      </c>
      <c r="Z445" s="8">
        <v>0</v>
      </c>
      <c r="AA445" s="11">
        <v>0.1</v>
      </c>
      <c r="AB445" s="11">
        <v>1</v>
      </c>
      <c r="AC445" s="11">
        <v>0</v>
      </c>
      <c r="AD445" s="11">
        <v>0</v>
      </c>
    </row>
    <row r="446" customFormat="1" ht="22" customHeight="1" spans="1:30">
      <c r="A446" s="8" t="s">
        <v>31</v>
      </c>
      <c r="B446" s="8" t="str">
        <f>VLOOKUP(E446,[1]Sheet1!$C:$E,2,FALSE)</f>
        <v>刘欢</v>
      </c>
      <c r="C446" s="8" t="str">
        <f>VLOOKUP(E446,[1]Sheet1!$C:$E,3,FALSE)</f>
        <v>B</v>
      </c>
      <c r="D446" s="8" t="s">
        <v>475</v>
      </c>
      <c r="E446" s="10">
        <v>1332600093</v>
      </c>
      <c r="F446" s="8">
        <v>4.9</v>
      </c>
      <c r="G446" s="8">
        <v>17</v>
      </c>
      <c r="H446" s="14">
        <v>178.99</v>
      </c>
      <c r="I446" s="8">
        <v>15.36</v>
      </c>
      <c r="J446" s="8">
        <v>10.53</v>
      </c>
      <c r="K446" s="8">
        <v>1181</v>
      </c>
      <c r="L446" s="11">
        <v>0.056</v>
      </c>
      <c r="M446" s="11">
        <v>0.258</v>
      </c>
      <c r="N446" s="11">
        <v>0.0144</v>
      </c>
      <c r="O446" s="8">
        <v>1002</v>
      </c>
      <c r="P446" s="8">
        <v>179</v>
      </c>
      <c r="Q446" s="8">
        <v>8</v>
      </c>
      <c r="R446" s="11">
        <v>0.043</v>
      </c>
      <c r="S446" s="11">
        <v>0.128</v>
      </c>
      <c r="T446" s="11">
        <v>0.209</v>
      </c>
      <c r="U446" s="11">
        <v>0.348</v>
      </c>
      <c r="V446" s="11">
        <v>0.287</v>
      </c>
      <c r="W446" s="8">
        <v>1</v>
      </c>
      <c r="X446" s="8">
        <v>1</v>
      </c>
      <c r="Y446" s="8">
        <v>0</v>
      </c>
      <c r="Z446" s="8">
        <v>0</v>
      </c>
      <c r="AA446" s="11">
        <v>0.0588</v>
      </c>
      <c r="AB446" s="11">
        <v>1</v>
      </c>
      <c r="AC446" s="11">
        <v>0</v>
      </c>
      <c r="AD446" s="11">
        <v>0</v>
      </c>
    </row>
    <row r="447" customFormat="1" ht="22" customHeight="1" spans="1:30">
      <c r="A447" s="8" t="s">
        <v>31</v>
      </c>
      <c r="B447" s="8" t="str">
        <f>VLOOKUP(E447,[1]Sheet1!$C:$E,2,FALSE)</f>
        <v>王森</v>
      </c>
      <c r="C447" s="8">
        <f>VLOOKUP(E447,[1]Sheet1!$C:$E,3,FALSE)</f>
        <v>0</v>
      </c>
      <c r="D447" s="8" t="s">
        <v>476</v>
      </c>
      <c r="E447" s="10">
        <v>2135178919</v>
      </c>
      <c r="F447" s="8">
        <v>5</v>
      </c>
      <c r="G447" s="8">
        <v>6</v>
      </c>
      <c r="H447" s="14">
        <v>175.52</v>
      </c>
      <c r="I447" s="8">
        <v>36.57</v>
      </c>
      <c r="J447" s="8">
        <v>29.25</v>
      </c>
      <c r="K447" s="8">
        <v>190</v>
      </c>
      <c r="L447" s="11">
        <v>0.058</v>
      </c>
      <c r="M447" s="11">
        <v>0.545</v>
      </c>
      <c r="N447" s="11">
        <v>0.0316</v>
      </c>
      <c r="O447" s="8">
        <v>145</v>
      </c>
      <c r="P447" s="8">
        <v>45</v>
      </c>
      <c r="Q447" s="8">
        <v>3</v>
      </c>
      <c r="R447" s="11">
        <v>0.041</v>
      </c>
      <c r="S447" s="11">
        <v>0.111</v>
      </c>
      <c r="T447" s="11">
        <v>0.5</v>
      </c>
      <c r="U447" s="11">
        <v>0.6</v>
      </c>
      <c r="V447" s="11">
        <v>0.318</v>
      </c>
      <c r="W447" s="8">
        <v>0</v>
      </c>
      <c r="X447" s="8">
        <v>0</v>
      </c>
      <c r="Y447" s="8">
        <v>0</v>
      </c>
      <c r="Z447" s="8">
        <v>0</v>
      </c>
      <c r="AA447" s="11">
        <v>0</v>
      </c>
      <c r="AB447" s="11">
        <v>0</v>
      </c>
      <c r="AC447" s="11">
        <v>0</v>
      </c>
      <c r="AD447" s="11">
        <v>0</v>
      </c>
    </row>
    <row r="448" customFormat="1" ht="22" customHeight="1" spans="1:30">
      <c r="A448" s="8" t="s">
        <v>31</v>
      </c>
      <c r="B448" s="8" t="e">
        <f>VLOOKUP(E448,[1]Sheet1!$C:$E,2,FALSE)</f>
        <v>#N/A</v>
      </c>
      <c r="C448" s="8" t="e">
        <f>VLOOKUP(E448,[1]Sheet1!$C:$E,3,FALSE)</f>
        <v>#N/A</v>
      </c>
      <c r="D448" s="12" t="s">
        <v>477</v>
      </c>
      <c r="E448" s="13">
        <v>545376239</v>
      </c>
      <c r="F448" s="12">
        <v>0</v>
      </c>
      <c r="G448" s="8">
        <v>7</v>
      </c>
      <c r="H448" s="14">
        <v>173.44</v>
      </c>
      <c r="I448" s="8">
        <v>31.97</v>
      </c>
      <c r="J448" s="8">
        <v>24.78</v>
      </c>
      <c r="K448" s="8">
        <v>90</v>
      </c>
      <c r="L448" s="11">
        <v>0.156</v>
      </c>
      <c r="M448" s="11">
        <v>0.5</v>
      </c>
      <c r="N448" s="11">
        <v>0.078</v>
      </c>
      <c r="O448" s="8">
        <v>90</v>
      </c>
      <c r="P448" s="8">
        <v>0</v>
      </c>
      <c r="Q448" s="8">
        <v>0</v>
      </c>
      <c r="R448" s="11">
        <v>0.156</v>
      </c>
      <c r="S448" s="11">
        <v>0</v>
      </c>
      <c r="T448" s="11">
        <v>0.5</v>
      </c>
      <c r="U448" s="11">
        <v>0</v>
      </c>
      <c r="V448" s="11">
        <v>0</v>
      </c>
      <c r="W448" s="8">
        <v>4</v>
      </c>
      <c r="X448" s="8">
        <v>4</v>
      </c>
      <c r="Y448" s="8">
        <v>0</v>
      </c>
      <c r="Z448" s="8">
        <v>0</v>
      </c>
      <c r="AA448" s="11">
        <v>0.5714</v>
      </c>
      <c r="AB448" s="11">
        <v>1</v>
      </c>
      <c r="AC448" s="11">
        <v>0</v>
      </c>
      <c r="AD448" s="11">
        <v>0</v>
      </c>
    </row>
    <row r="449" customFormat="1" ht="22" customHeight="1" spans="1:30">
      <c r="A449" s="8" t="s">
        <v>31</v>
      </c>
      <c r="B449" s="8" t="str">
        <f>VLOOKUP(E449,[1]Sheet1!$C:$E,2,FALSE)</f>
        <v>刘欢</v>
      </c>
      <c r="C449" s="8" t="str">
        <f>VLOOKUP(E449,[1]Sheet1!$C:$E,3,FALSE)</f>
        <v>B</v>
      </c>
      <c r="D449" s="8" t="s">
        <v>478</v>
      </c>
      <c r="E449" s="10">
        <v>1350433685</v>
      </c>
      <c r="F449" s="8">
        <v>4.8</v>
      </c>
      <c r="G449" s="8">
        <v>9</v>
      </c>
      <c r="H449" s="14">
        <v>173</v>
      </c>
      <c r="I449" s="8">
        <v>22.54</v>
      </c>
      <c r="J449" s="8">
        <v>19.22</v>
      </c>
      <c r="K449" s="8">
        <v>948</v>
      </c>
      <c r="L449" s="11">
        <v>0.047</v>
      </c>
      <c r="M449" s="11">
        <v>0.2</v>
      </c>
      <c r="N449" s="11">
        <v>0.0094</v>
      </c>
      <c r="O449" s="8">
        <v>899</v>
      </c>
      <c r="P449" s="8">
        <v>49</v>
      </c>
      <c r="Q449" s="8">
        <v>3</v>
      </c>
      <c r="R449" s="11">
        <v>0.046</v>
      </c>
      <c r="S449" s="11">
        <v>0.082</v>
      </c>
      <c r="T449" s="11">
        <v>0.146</v>
      </c>
      <c r="U449" s="11">
        <v>0.75</v>
      </c>
      <c r="V449" s="11">
        <v>0.165</v>
      </c>
      <c r="W449" s="8">
        <v>1</v>
      </c>
      <c r="X449" s="8">
        <v>1</v>
      </c>
      <c r="Y449" s="8">
        <v>0</v>
      </c>
      <c r="Z449" s="8">
        <v>0</v>
      </c>
      <c r="AA449" s="11">
        <v>0.1111</v>
      </c>
      <c r="AB449" s="11">
        <v>1</v>
      </c>
      <c r="AC449" s="11">
        <v>0</v>
      </c>
      <c r="AD449" s="11">
        <v>0</v>
      </c>
    </row>
    <row r="450" customFormat="1" ht="22" customHeight="1" spans="1:30">
      <c r="A450" s="8" t="s">
        <v>31</v>
      </c>
      <c r="B450" s="8" t="str">
        <f>VLOOKUP(E450,[1]Sheet1!$C:$E,2,FALSE)</f>
        <v>刘欢</v>
      </c>
      <c r="C450" s="8" t="str">
        <f>VLOOKUP(E450,[1]Sheet1!$C:$E,3,FALSE)</f>
        <v>C</v>
      </c>
      <c r="D450" s="8" t="s">
        <v>479</v>
      </c>
      <c r="E450" s="10">
        <v>1268164934</v>
      </c>
      <c r="F450" s="8">
        <v>4.8</v>
      </c>
      <c r="G450" s="8">
        <v>8</v>
      </c>
      <c r="H450" s="14">
        <v>172.92</v>
      </c>
      <c r="I450" s="8">
        <v>25.88</v>
      </c>
      <c r="J450" s="8">
        <v>21.62</v>
      </c>
      <c r="K450" s="8">
        <v>1577</v>
      </c>
      <c r="L450" s="11">
        <v>0.038</v>
      </c>
      <c r="M450" s="11">
        <v>0.133</v>
      </c>
      <c r="N450" s="11">
        <v>0.0051</v>
      </c>
      <c r="O450" s="8">
        <v>1410</v>
      </c>
      <c r="P450" s="8">
        <v>167</v>
      </c>
      <c r="Q450" s="8">
        <v>5</v>
      </c>
      <c r="R450" s="11">
        <v>0.025</v>
      </c>
      <c r="S450" s="11">
        <v>0.15</v>
      </c>
      <c r="T450" s="11">
        <v>0.086</v>
      </c>
      <c r="U450" s="11">
        <v>0.2</v>
      </c>
      <c r="V450" s="11">
        <v>0.333</v>
      </c>
      <c r="W450" s="8">
        <v>0</v>
      </c>
      <c r="X450" s="8">
        <v>0</v>
      </c>
      <c r="Y450" s="8">
        <v>0</v>
      </c>
      <c r="Z450" s="8">
        <v>0</v>
      </c>
      <c r="AA450" s="11">
        <v>0</v>
      </c>
      <c r="AB450" s="11">
        <v>0</v>
      </c>
      <c r="AC450" s="11">
        <v>0</v>
      </c>
      <c r="AD450" s="11">
        <v>0</v>
      </c>
    </row>
    <row r="451" customFormat="1" ht="22" customHeight="1" spans="1:30">
      <c r="A451" s="8" t="s">
        <v>31</v>
      </c>
      <c r="B451" s="8" t="e">
        <f>VLOOKUP(E451,[1]Sheet1!$C:$E,2,FALSE)</f>
        <v>#N/A</v>
      </c>
      <c r="C451" s="8" t="e">
        <f>VLOOKUP(E451,[1]Sheet1!$C:$E,3,FALSE)</f>
        <v>#N/A</v>
      </c>
      <c r="D451" s="8" t="s">
        <v>480</v>
      </c>
      <c r="E451" s="10">
        <v>543403770</v>
      </c>
      <c r="F451" s="8">
        <v>4.8</v>
      </c>
      <c r="G451" s="8">
        <v>16</v>
      </c>
      <c r="H451" s="14">
        <v>170.86</v>
      </c>
      <c r="I451" s="8">
        <v>15.52</v>
      </c>
      <c r="J451" s="8">
        <v>10.68</v>
      </c>
      <c r="K451" s="8">
        <v>2125</v>
      </c>
      <c r="L451" s="11">
        <v>0.051</v>
      </c>
      <c r="M451" s="11">
        <v>0.139</v>
      </c>
      <c r="N451" s="11">
        <v>0.0071</v>
      </c>
      <c r="O451" s="8">
        <v>2035</v>
      </c>
      <c r="P451" s="8">
        <v>90</v>
      </c>
      <c r="Q451" s="8">
        <v>4</v>
      </c>
      <c r="R451" s="11">
        <v>0.045</v>
      </c>
      <c r="S451" s="11">
        <v>0.178</v>
      </c>
      <c r="T451" s="11">
        <v>0.12</v>
      </c>
      <c r="U451" s="11">
        <v>0.25</v>
      </c>
      <c r="V451" s="11">
        <v>0.177</v>
      </c>
      <c r="W451" s="8">
        <v>0</v>
      </c>
      <c r="X451" s="8">
        <v>0</v>
      </c>
      <c r="Y451" s="8">
        <v>0</v>
      </c>
      <c r="Z451" s="8">
        <v>0</v>
      </c>
      <c r="AA451" s="11">
        <v>0</v>
      </c>
      <c r="AB451" s="11">
        <v>0</v>
      </c>
      <c r="AC451" s="11">
        <v>0</v>
      </c>
      <c r="AD451" s="11">
        <v>0</v>
      </c>
    </row>
    <row r="452" customFormat="1" ht="22" customHeight="1" spans="1:30">
      <c r="A452" s="8" t="s">
        <v>31</v>
      </c>
      <c r="B452" s="8" t="e">
        <f>VLOOKUP(E452,[1]Sheet1!$C:$E,2,FALSE)</f>
        <v>#N/A</v>
      </c>
      <c r="C452" s="8" t="e">
        <f>VLOOKUP(E452,[1]Sheet1!$C:$E,3,FALSE)</f>
        <v>#N/A</v>
      </c>
      <c r="D452" s="8" t="s">
        <v>481</v>
      </c>
      <c r="E452" s="10">
        <v>1357499932</v>
      </c>
      <c r="F452" s="8">
        <v>4.9</v>
      </c>
      <c r="G452" s="8">
        <v>9</v>
      </c>
      <c r="H452" s="14">
        <v>168.97</v>
      </c>
      <c r="I452" s="8">
        <v>32.12</v>
      </c>
      <c r="J452" s="8">
        <v>18.77</v>
      </c>
      <c r="K452" s="8">
        <v>757</v>
      </c>
      <c r="L452" s="11">
        <v>0.082</v>
      </c>
      <c r="M452" s="11">
        <v>0.145</v>
      </c>
      <c r="N452" s="11">
        <v>0.0119</v>
      </c>
      <c r="O452" s="8">
        <v>731</v>
      </c>
      <c r="P452" s="8">
        <v>26</v>
      </c>
      <c r="Q452" s="8">
        <v>1</v>
      </c>
      <c r="R452" s="11">
        <v>0.081</v>
      </c>
      <c r="S452" s="11">
        <v>0.115</v>
      </c>
      <c r="T452" s="11">
        <v>0.136</v>
      </c>
      <c r="U452" s="11">
        <v>0.333</v>
      </c>
      <c r="V452" s="11">
        <v>0.085</v>
      </c>
      <c r="W452" s="8">
        <v>1</v>
      </c>
      <c r="X452" s="8">
        <v>1</v>
      </c>
      <c r="Y452" s="8">
        <v>0</v>
      </c>
      <c r="Z452" s="8">
        <v>0</v>
      </c>
      <c r="AA452" s="11">
        <v>0.1111</v>
      </c>
      <c r="AB452" s="11">
        <v>1</v>
      </c>
      <c r="AC452" s="11">
        <v>0</v>
      </c>
      <c r="AD452" s="11">
        <v>0</v>
      </c>
    </row>
    <row r="453" customFormat="1" ht="22" customHeight="1" spans="1:30">
      <c r="A453" s="8" t="s">
        <v>31</v>
      </c>
      <c r="B453" s="8" t="e">
        <f>VLOOKUP(E453,[1]Sheet1!$C:$E,2,FALSE)</f>
        <v>#N/A</v>
      </c>
      <c r="C453" s="8" t="e">
        <f>VLOOKUP(E453,[1]Sheet1!$C:$E,3,FALSE)</f>
        <v>#N/A</v>
      </c>
      <c r="D453" s="8" t="s">
        <v>482</v>
      </c>
      <c r="E453" s="10">
        <v>1356459202</v>
      </c>
      <c r="F453" s="8">
        <v>4.9</v>
      </c>
      <c r="G453" s="8">
        <v>13</v>
      </c>
      <c r="H453" s="14">
        <v>167.57</v>
      </c>
      <c r="I453" s="8">
        <v>25.01</v>
      </c>
      <c r="J453" s="8">
        <v>12.89</v>
      </c>
      <c r="K453" s="8">
        <v>2207</v>
      </c>
      <c r="L453" s="11">
        <v>0.052</v>
      </c>
      <c r="M453" s="11">
        <v>0.114</v>
      </c>
      <c r="N453" s="11">
        <v>0.0059</v>
      </c>
      <c r="O453" s="8">
        <v>2170</v>
      </c>
      <c r="P453" s="8">
        <v>37</v>
      </c>
      <c r="Q453" s="8">
        <v>1</v>
      </c>
      <c r="R453" s="11">
        <v>0.049</v>
      </c>
      <c r="S453" s="11">
        <v>0.189</v>
      </c>
      <c r="T453" s="11">
        <v>0.112</v>
      </c>
      <c r="U453" s="11">
        <v>0.143</v>
      </c>
      <c r="V453" s="11">
        <v>0.131</v>
      </c>
      <c r="W453" s="8">
        <v>0</v>
      </c>
      <c r="X453" s="8">
        <v>0</v>
      </c>
      <c r="Y453" s="8">
        <v>0</v>
      </c>
      <c r="Z453" s="8">
        <v>0</v>
      </c>
      <c r="AA453" s="11">
        <v>0</v>
      </c>
      <c r="AB453" s="11">
        <v>0</v>
      </c>
      <c r="AC453" s="11">
        <v>0</v>
      </c>
      <c r="AD453" s="11">
        <v>0</v>
      </c>
    </row>
    <row r="454" customFormat="1" ht="22" customHeight="1" spans="1:30">
      <c r="A454" s="8" t="s">
        <v>31</v>
      </c>
      <c r="B454" s="8" t="e">
        <f>VLOOKUP(E454,[1]Sheet1!$C:$E,2,FALSE)</f>
        <v>#N/A</v>
      </c>
      <c r="C454" s="8" t="e">
        <f>VLOOKUP(E454,[1]Sheet1!$C:$E,3,FALSE)</f>
        <v>#N/A</v>
      </c>
      <c r="D454" s="8" t="s">
        <v>483</v>
      </c>
      <c r="E454" s="10">
        <v>545432759</v>
      </c>
      <c r="F454" s="8">
        <v>4.9</v>
      </c>
      <c r="G454" s="8">
        <v>13</v>
      </c>
      <c r="H454" s="14">
        <v>167.26</v>
      </c>
      <c r="I454" s="8">
        <v>19.78</v>
      </c>
      <c r="J454" s="8">
        <v>12.87</v>
      </c>
      <c r="K454" s="8">
        <v>1456</v>
      </c>
      <c r="L454" s="11">
        <v>0.049</v>
      </c>
      <c r="M454" s="11">
        <v>0.181</v>
      </c>
      <c r="N454" s="11">
        <v>0.0089</v>
      </c>
      <c r="O454" s="8">
        <v>1418</v>
      </c>
      <c r="P454" s="8">
        <v>38</v>
      </c>
      <c r="Q454" s="8">
        <v>6</v>
      </c>
      <c r="R454" s="11">
        <v>0.042</v>
      </c>
      <c r="S454" s="11">
        <v>0.316</v>
      </c>
      <c r="T454" s="11">
        <v>0.117</v>
      </c>
      <c r="U454" s="11">
        <v>0.5</v>
      </c>
      <c r="V454" s="11">
        <v>0.142</v>
      </c>
      <c r="W454" s="8">
        <v>3</v>
      </c>
      <c r="X454" s="8">
        <v>3</v>
      </c>
      <c r="Y454" s="8">
        <v>0</v>
      </c>
      <c r="Z454" s="8">
        <v>0</v>
      </c>
      <c r="AA454" s="11">
        <v>0.2308</v>
      </c>
      <c r="AB454" s="11">
        <v>1</v>
      </c>
      <c r="AC454" s="11">
        <v>0</v>
      </c>
      <c r="AD454" s="11">
        <v>0</v>
      </c>
    </row>
    <row r="455" customFormat="1" ht="22" customHeight="1" spans="1:30">
      <c r="A455" s="8" t="s">
        <v>31</v>
      </c>
      <c r="B455" s="8" t="str">
        <f>VLOOKUP(E455,[1]Sheet1!$C:$E,2,FALSE)</f>
        <v>刘欢</v>
      </c>
      <c r="C455" s="8" t="str">
        <f>VLOOKUP(E455,[1]Sheet1!$C:$E,3,FALSE)</f>
        <v>B</v>
      </c>
      <c r="D455" s="12" t="s">
        <v>484</v>
      </c>
      <c r="E455" s="13">
        <v>2036084606</v>
      </c>
      <c r="F455" s="12">
        <v>4.5</v>
      </c>
      <c r="G455" s="8">
        <v>11</v>
      </c>
      <c r="H455" s="14">
        <v>166.8</v>
      </c>
      <c r="I455" s="8">
        <v>18.73</v>
      </c>
      <c r="J455" s="8">
        <v>15.16</v>
      </c>
      <c r="K455" s="8">
        <v>1703</v>
      </c>
      <c r="L455" s="11">
        <v>0.073</v>
      </c>
      <c r="M455" s="11">
        <v>0.088</v>
      </c>
      <c r="N455" s="11">
        <v>0.0064</v>
      </c>
      <c r="O455" s="8">
        <v>1470</v>
      </c>
      <c r="P455" s="8">
        <v>233</v>
      </c>
      <c r="Q455" s="8">
        <v>5</v>
      </c>
      <c r="R455" s="11">
        <v>0.062</v>
      </c>
      <c r="S455" s="11">
        <v>0.146</v>
      </c>
      <c r="T455" s="11">
        <v>0.066</v>
      </c>
      <c r="U455" s="11">
        <v>0.147</v>
      </c>
      <c r="V455" s="11">
        <v>0.162</v>
      </c>
      <c r="W455" s="8">
        <v>1</v>
      </c>
      <c r="X455" s="8">
        <v>0</v>
      </c>
      <c r="Y455" s="8">
        <v>0</v>
      </c>
      <c r="Z455" s="8">
        <v>1</v>
      </c>
      <c r="AA455" s="11">
        <v>0.0909</v>
      </c>
      <c r="AB455" s="11">
        <v>0</v>
      </c>
      <c r="AC455" s="11">
        <v>0</v>
      </c>
      <c r="AD455" s="11">
        <v>1</v>
      </c>
    </row>
    <row r="456" customFormat="1" ht="22" customHeight="1" spans="1:30">
      <c r="A456" s="8" t="s">
        <v>31</v>
      </c>
      <c r="B456" s="8" t="str">
        <f>VLOOKUP(E456,[1]Sheet1!$C:$E,2,FALSE)</f>
        <v>刘欢</v>
      </c>
      <c r="C456" s="9" t="str">
        <f>VLOOKUP(E456,[1]Sheet1!$C:$E,3,FALSE)</f>
        <v>S</v>
      </c>
      <c r="D456" s="8" t="s">
        <v>485</v>
      </c>
      <c r="E456" s="10">
        <v>1312803089</v>
      </c>
      <c r="F456" s="8">
        <v>4.9</v>
      </c>
      <c r="G456" s="8">
        <v>21</v>
      </c>
      <c r="H456" s="14">
        <v>164.72</v>
      </c>
      <c r="I456" s="8">
        <v>13.99</v>
      </c>
      <c r="J456" s="8">
        <v>7.84</v>
      </c>
      <c r="K456" s="8">
        <v>1254</v>
      </c>
      <c r="L456" s="11">
        <v>0.065</v>
      </c>
      <c r="M456" s="11">
        <v>0.259</v>
      </c>
      <c r="N456" s="11">
        <v>0.0168</v>
      </c>
      <c r="O456" s="8">
        <v>1054</v>
      </c>
      <c r="P456" s="8">
        <v>200</v>
      </c>
      <c r="Q456" s="8">
        <v>11</v>
      </c>
      <c r="R456" s="11">
        <v>0.05</v>
      </c>
      <c r="S456" s="11">
        <v>0.14</v>
      </c>
      <c r="T456" s="11">
        <v>0.189</v>
      </c>
      <c r="U456" s="11">
        <v>0.393</v>
      </c>
      <c r="V456" s="11">
        <v>0.216</v>
      </c>
      <c r="W456" s="8">
        <v>1</v>
      </c>
      <c r="X456" s="8">
        <v>1</v>
      </c>
      <c r="Y456" s="8">
        <v>0</v>
      </c>
      <c r="Z456" s="8">
        <v>0</v>
      </c>
      <c r="AA456" s="11">
        <v>0.0476</v>
      </c>
      <c r="AB456" s="11">
        <v>1</v>
      </c>
      <c r="AC456" s="11">
        <v>0</v>
      </c>
      <c r="AD456" s="11">
        <v>0</v>
      </c>
    </row>
    <row r="457" customFormat="1" ht="22" customHeight="1" spans="1:30">
      <c r="A457" s="8" t="s">
        <v>31</v>
      </c>
      <c r="B457" s="8" t="e">
        <f>VLOOKUP(E457,[1]Sheet1!$C:$E,2,FALSE)</f>
        <v>#N/A</v>
      </c>
      <c r="C457" s="8" t="e">
        <f>VLOOKUP(E457,[1]Sheet1!$C:$E,3,FALSE)</f>
        <v>#N/A</v>
      </c>
      <c r="D457" s="8" t="s">
        <v>486</v>
      </c>
      <c r="E457" s="10">
        <v>1338091116</v>
      </c>
      <c r="F457" s="8">
        <v>4.9</v>
      </c>
      <c r="G457" s="8">
        <v>12</v>
      </c>
      <c r="H457" s="14">
        <v>162.77</v>
      </c>
      <c r="I457" s="8">
        <v>18.25</v>
      </c>
      <c r="J457" s="8">
        <v>13.56</v>
      </c>
      <c r="K457" s="8">
        <v>565</v>
      </c>
      <c r="L457" s="11">
        <v>0.065</v>
      </c>
      <c r="M457" s="11">
        <v>0.324</v>
      </c>
      <c r="N457" s="11">
        <v>0.0211</v>
      </c>
      <c r="O457" s="8">
        <v>518</v>
      </c>
      <c r="P457" s="8">
        <v>47</v>
      </c>
      <c r="Q457" s="8">
        <v>5</v>
      </c>
      <c r="R457" s="11">
        <v>0.054</v>
      </c>
      <c r="S457" s="11">
        <v>0.191</v>
      </c>
      <c r="T457" s="11">
        <v>0.25</v>
      </c>
      <c r="U457" s="11">
        <v>0.556</v>
      </c>
      <c r="V457" s="11">
        <v>0.248</v>
      </c>
      <c r="W457" s="8">
        <v>3</v>
      </c>
      <c r="X457" s="8">
        <v>3</v>
      </c>
      <c r="Y457" s="8">
        <v>0</v>
      </c>
      <c r="Z457" s="8">
        <v>0</v>
      </c>
      <c r="AA457" s="11">
        <v>0.25</v>
      </c>
      <c r="AB457" s="11">
        <v>1</v>
      </c>
      <c r="AC457" s="11">
        <v>0</v>
      </c>
      <c r="AD457" s="11">
        <v>0</v>
      </c>
    </row>
    <row r="458" customFormat="1" ht="22" customHeight="1" spans="1:30">
      <c r="A458" s="8" t="s">
        <v>31</v>
      </c>
      <c r="B458" s="8" t="str">
        <f>VLOOKUP(E458,[1]Sheet1!$C:$E,2,FALSE)</f>
        <v>徐从众</v>
      </c>
      <c r="C458" s="9" t="str">
        <f>VLOOKUP(E458,[1]Sheet1!$C:$E,3,FALSE)</f>
        <v>S</v>
      </c>
      <c r="D458" s="12" t="s">
        <v>487</v>
      </c>
      <c r="E458" s="13">
        <v>1244800928</v>
      </c>
      <c r="F458" s="12">
        <v>4.7</v>
      </c>
      <c r="G458" s="8">
        <v>4</v>
      </c>
      <c r="H458" s="14">
        <v>161.17</v>
      </c>
      <c r="I458" s="8">
        <v>52.2</v>
      </c>
      <c r="J458" s="8">
        <v>40.29</v>
      </c>
      <c r="K458" s="8">
        <v>191</v>
      </c>
      <c r="L458" s="11">
        <v>0.073</v>
      </c>
      <c r="M458" s="11">
        <v>0.286</v>
      </c>
      <c r="N458" s="11">
        <v>0.0209</v>
      </c>
      <c r="O458" s="8">
        <v>166</v>
      </c>
      <c r="P458" s="8">
        <v>25</v>
      </c>
      <c r="Q458" s="8">
        <v>2</v>
      </c>
      <c r="R458" s="11">
        <v>0.06</v>
      </c>
      <c r="S458" s="11">
        <v>0.16</v>
      </c>
      <c r="T458" s="11">
        <v>0.2</v>
      </c>
      <c r="U458" s="11">
        <v>0.5</v>
      </c>
      <c r="V458" s="11">
        <v>0.295</v>
      </c>
      <c r="W458" s="8">
        <v>0</v>
      </c>
      <c r="X458" s="8">
        <v>0</v>
      </c>
      <c r="Y458" s="8">
        <v>0</v>
      </c>
      <c r="Z458" s="8">
        <v>0</v>
      </c>
      <c r="AA458" s="11">
        <v>0</v>
      </c>
      <c r="AB458" s="11">
        <v>0</v>
      </c>
      <c r="AC458" s="11">
        <v>0</v>
      </c>
      <c r="AD458" s="11">
        <v>0</v>
      </c>
    </row>
    <row r="459" customFormat="1" ht="22" customHeight="1" spans="1:30">
      <c r="A459" s="8" t="s">
        <v>31</v>
      </c>
      <c r="B459" s="8" t="str">
        <f>VLOOKUP(E459,[1]Sheet1!$C:$E,2,FALSE)</f>
        <v>刘欢</v>
      </c>
      <c r="C459" s="8" t="str">
        <f>VLOOKUP(E459,[1]Sheet1!$C:$E,3,FALSE)</f>
        <v>C</v>
      </c>
      <c r="D459" s="8" t="s">
        <v>488</v>
      </c>
      <c r="E459" s="10">
        <v>534970175</v>
      </c>
      <c r="F459" s="8">
        <v>4.8</v>
      </c>
      <c r="G459" s="8">
        <v>17</v>
      </c>
      <c r="H459" s="14">
        <v>160.04</v>
      </c>
      <c r="I459" s="8">
        <v>13.23</v>
      </c>
      <c r="J459" s="8">
        <v>9.41</v>
      </c>
      <c r="K459" s="8">
        <v>831</v>
      </c>
      <c r="L459" s="11">
        <v>0.064</v>
      </c>
      <c r="M459" s="11">
        <v>0.321</v>
      </c>
      <c r="N459" s="11">
        <v>0.0205</v>
      </c>
      <c r="O459" s="8">
        <v>750</v>
      </c>
      <c r="P459" s="8">
        <v>81</v>
      </c>
      <c r="Q459" s="8">
        <v>10</v>
      </c>
      <c r="R459" s="11">
        <v>0.055</v>
      </c>
      <c r="S459" s="11">
        <v>0.148</v>
      </c>
      <c r="T459" s="11">
        <v>0.171</v>
      </c>
      <c r="U459" s="11">
        <v>0.833</v>
      </c>
      <c r="V459" s="11">
        <v>0.171</v>
      </c>
      <c r="W459" s="8">
        <v>0</v>
      </c>
      <c r="X459" s="8">
        <v>0</v>
      </c>
      <c r="Y459" s="8">
        <v>0</v>
      </c>
      <c r="Z459" s="8">
        <v>0</v>
      </c>
      <c r="AA459" s="11">
        <v>0</v>
      </c>
      <c r="AB459" s="11">
        <v>0</v>
      </c>
      <c r="AC459" s="11">
        <v>0</v>
      </c>
      <c r="AD459" s="11">
        <v>0</v>
      </c>
    </row>
    <row r="460" customFormat="1" ht="22" customHeight="1" spans="1:30">
      <c r="A460" s="8" t="s">
        <v>31</v>
      </c>
      <c r="B460" s="8" t="e">
        <f>VLOOKUP(E460,[1]Sheet1!$C:$E,2,FALSE)</f>
        <v>#N/A</v>
      </c>
      <c r="C460" s="8" t="e">
        <f>VLOOKUP(E460,[1]Sheet1!$C:$E,3,FALSE)</f>
        <v>#N/A</v>
      </c>
      <c r="D460" s="12" t="s">
        <v>489</v>
      </c>
      <c r="E460" s="13">
        <v>1349291410</v>
      </c>
      <c r="F460" s="12">
        <v>4.7</v>
      </c>
      <c r="G460" s="8">
        <v>4</v>
      </c>
      <c r="H460" s="14">
        <v>157.69</v>
      </c>
      <c r="I460" s="8">
        <v>48.45</v>
      </c>
      <c r="J460" s="8">
        <v>39.42</v>
      </c>
      <c r="K460" s="8">
        <v>341</v>
      </c>
      <c r="L460" s="11">
        <v>0.126</v>
      </c>
      <c r="M460" s="11">
        <v>0.093</v>
      </c>
      <c r="N460" s="11">
        <v>0.0117</v>
      </c>
      <c r="O460" s="8">
        <v>329</v>
      </c>
      <c r="P460" s="8">
        <v>12</v>
      </c>
      <c r="Q460" s="8">
        <v>1</v>
      </c>
      <c r="R460" s="11">
        <v>0.119</v>
      </c>
      <c r="S460" s="11">
        <v>0.333</v>
      </c>
      <c r="T460" s="11">
        <v>0.077</v>
      </c>
      <c r="U460" s="11">
        <v>0.25</v>
      </c>
      <c r="V460" s="11">
        <v>0.077</v>
      </c>
      <c r="W460" s="8">
        <v>0</v>
      </c>
      <c r="X460" s="8">
        <v>0</v>
      </c>
      <c r="Y460" s="8">
        <v>0</v>
      </c>
      <c r="Z460" s="8">
        <v>0</v>
      </c>
      <c r="AA460" s="11">
        <v>0</v>
      </c>
      <c r="AB460" s="11">
        <v>0</v>
      </c>
      <c r="AC460" s="11">
        <v>0</v>
      </c>
      <c r="AD460" s="11">
        <v>0</v>
      </c>
    </row>
    <row r="461" customFormat="1" ht="22" customHeight="1" spans="1:30">
      <c r="A461" s="8" t="s">
        <v>31</v>
      </c>
      <c r="B461" s="8" t="str">
        <f>VLOOKUP(E461,[1]Sheet1!$C:$E,2,FALSE)</f>
        <v>岳贝贝</v>
      </c>
      <c r="C461" s="8" t="str">
        <f>VLOOKUP(E461,[1]Sheet1!$C:$E,3,FALSE)</f>
        <v>B</v>
      </c>
      <c r="D461" s="12" t="s">
        <v>490</v>
      </c>
      <c r="E461" s="13">
        <v>533889514</v>
      </c>
      <c r="F461" s="12">
        <v>4.6</v>
      </c>
      <c r="G461" s="8">
        <v>20</v>
      </c>
      <c r="H461" s="14">
        <v>156.8</v>
      </c>
      <c r="I461" s="8">
        <v>10.35</v>
      </c>
      <c r="J461" s="8">
        <v>7.84</v>
      </c>
      <c r="K461" s="8">
        <v>1507</v>
      </c>
      <c r="L461" s="11">
        <v>0.052</v>
      </c>
      <c r="M461" s="11">
        <v>0.192</v>
      </c>
      <c r="N461" s="11">
        <v>0.01</v>
      </c>
      <c r="O461" s="8">
        <v>1364</v>
      </c>
      <c r="P461" s="8">
        <v>143</v>
      </c>
      <c r="Q461" s="8">
        <v>5</v>
      </c>
      <c r="R461" s="11">
        <v>0.049</v>
      </c>
      <c r="S461" s="11">
        <v>0.077</v>
      </c>
      <c r="T461" s="11">
        <v>0.149</v>
      </c>
      <c r="U461" s="11">
        <v>0.455</v>
      </c>
      <c r="V461" s="11">
        <v>0.18</v>
      </c>
      <c r="W461" s="8">
        <v>0</v>
      </c>
      <c r="X461" s="8">
        <v>0</v>
      </c>
      <c r="Y461" s="8">
        <v>0</v>
      </c>
      <c r="Z461" s="8">
        <v>0</v>
      </c>
      <c r="AA461" s="11">
        <v>0</v>
      </c>
      <c r="AB461" s="11">
        <v>0</v>
      </c>
      <c r="AC461" s="11">
        <v>0</v>
      </c>
      <c r="AD461" s="11">
        <v>0</v>
      </c>
    </row>
    <row r="462" customFormat="1" ht="22" customHeight="1" spans="1:30">
      <c r="A462" s="8" t="s">
        <v>31</v>
      </c>
      <c r="B462" s="8" t="str">
        <f>VLOOKUP(E462,[1]Sheet1!$C:$E,2,FALSE)</f>
        <v>刘欢</v>
      </c>
      <c r="C462" s="8" t="str">
        <f>VLOOKUP(E462,[1]Sheet1!$C:$E,3,FALSE)</f>
        <v>C</v>
      </c>
      <c r="D462" s="8" t="s">
        <v>491</v>
      </c>
      <c r="E462" s="10">
        <v>1266874917</v>
      </c>
      <c r="F462" s="8">
        <v>4.9</v>
      </c>
      <c r="G462" s="8">
        <v>8</v>
      </c>
      <c r="H462" s="14">
        <v>156.25</v>
      </c>
      <c r="I462" s="8">
        <v>26.38</v>
      </c>
      <c r="J462" s="8">
        <v>19.53</v>
      </c>
      <c r="K462" s="8">
        <v>996</v>
      </c>
      <c r="L462" s="11">
        <v>0.057</v>
      </c>
      <c r="M462" s="11">
        <v>0.14</v>
      </c>
      <c r="N462" s="11">
        <v>0.008</v>
      </c>
      <c r="O462" s="8">
        <v>868</v>
      </c>
      <c r="P462" s="8">
        <v>128</v>
      </c>
      <c r="Q462" s="8">
        <v>3</v>
      </c>
      <c r="R462" s="11">
        <v>0.052</v>
      </c>
      <c r="S462" s="11">
        <v>0.094</v>
      </c>
      <c r="T462" s="11">
        <v>0.111</v>
      </c>
      <c r="U462" s="11">
        <v>0.25</v>
      </c>
      <c r="V462" s="11">
        <v>0.229</v>
      </c>
      <c r="W462" s="8">
        <v>1</v>
      </c>
      <c r="X462" s="8">
        <v>1</v>
      </c>
      <c r="Y462" s="8">
        <v>0</v>
      </c>
      <c r="Z462" s="8">
        <v>0</v>
      </c>
      <c r="AA462" s="11">
        <v>0.125</v>
      </c>
      <c r="AB462" s="11">
        <v>1</v>
      </c>
      <c r="AC462" s="11">
        <v>0</v>
      </c>
      <c r="AD462" s="11">
        <v>0</v>
      </c>
    </row>
    <row r="463" customFormat="1" ht="22" customHeight="1" spans="1:30">
      <c r="A463" s="8" t="s">
        <v>31</v>
      </c>
      <c r="B463" s="8" t="e">
        <f>VLOOKUP(E463,[1]Sheet1!$C:$E,2,FALSE)</f>
        <v>#N/A</v>
      </c>
      <c r="C463" s="8" t="e">
        <f>VLOOKUP(E463,[1]Sheet1!$C:$E,3,FALSE)</f>
        <v>#N/A</v>
      </c>
      <c r="D463" s="8" t="s">
        <v>492</v>
      </c>
      <c r="E463" s="10">
        <v>544929457</v>
      </c>
      <c r="F463" s="8">
        <v>4.9</v>
      </c>
      <c r="G463" s="8">
        <v>5</v>
      </c>
      <c r="H463" s="14">
        <v>155.57</v>
      </c>
      <c r="I463" s="8">
        <v>31.68</v>
      </c>
      <c r="J463" s="8">
        <v>31.11</v>
      </c>
      <c r="K463" s="8">
        <v>721</v>
      </c>
      <c r="L463" s="11">
        <v>0.078</v>
      </c>
      <c r="M463" s="11">
        <v>0.089</v>
      </c>
      <c r="N463" s="11">
        <v>0.0069</v>
      </c>
      <c r="O463" s="8">
        <v>699</v>
      </c>
      <c r="P463" s="8">
        <v>22</v>
      </c>
      <c r="Q463" s="8">
        <v>1</v>
      </c>
      <c r="R463" s="11">
        <v>0.074</v>
      </c>
      <c r="S463" s="11">
        <v>0.182</v>
      </c>
      <c r="T463" s="11">
        <v>0.077</v>
      </c>
      <c r="U463" s="11">
        <v>0.25</v>
      </c>
      <c r="V463" s="11">
        <v>0.197</v>
      </c>
      <c r="W463" s="8">
        <v>0</v>
      </c>
      <c r="X463" s="8">
        <v>0</v>
      </c>
      <c r="Y463" s="8">
        <v>0</v>
      </c>
      <c r="Z463" s="8">
        <v>0</v>
      </c>
      <c r="AA463" s="11">
        <v>0</v>
      </c>
      <c r="AB463" s="11">
        <v>0</v>
      </c>
      <c r="AC463" s="11">
        <v>0</v>
      </c>
      <c r="AD463" s="11">
        <v>0</v>
      </c>
    </row>
    <row r="464" customFormat="1" ht="22" customHeight="1" spans="1:30">
      <c r="A464" s="8" t="s">
        <v>31</v>
      </c>
      <c r="B464" s="8" t="e">
        <f>VLOOKUP(E464,[1]Sheet1!$C:$E,2,FALSE)</f>
        <v>#N/A</v>
      </c>
      <c r="C464" s="8" t="e">
        <f>VLOOKUP(E464,[1]Sheet1!$C:$E,3,FALSE)</f>
        <v>#N/A</v>
      </c>
      <c r="D464" s="8" t="s">
        <v>493</v>
      </c>
      <c r="E464" s="10">
        <v>1348180013</v>
      </c>
      <c r="F464" s="8">
        <v>4.9</v>
      </c>
      <c r="G464" s="8">
        <v>6</v>
      </c>
      <c r="H464" s="14">
        <v>155.38</v>
      </c>
      <c r="I464" s="8">
        <v>34.51</v>
      </c>
      <c r="J464" s="8">
        <v>25.9</v>
      </c>
      <c r="K464" s="8">
        <v>1579</v>
      </c>
      <c r="L464" s="11">
        <v>0.098</v>
      </c>
      <c r="M464" s="11">
        <v>0.039</v>
      </c>
      <c r="N464" s="11">
        <v>0.0038</v>
      </c>
      <c r="O464" s="8">
        <v>1469</v>
      </c>
      <c r="P464" s="8">
        <v>110</v>
      </c>
      <c r="Q464" s="8">
        <v>2</v>
      </c>
      <c r="R464" s="11">
        <v>0.088</v>
      </c>
      <c r="S464" s="11">
        <v>0.218</v>
      </c>
      <c r="T464" s="11">
        <v>0.031</v>
      </c>
      <c r="U464" s="11">
        <v>0.083</v>
      </c>
      <c r="V464" s="11">
        <v>0.191</v>
      </c>
      <c r="W464" s="8">
        <v>1</v>
      </c>
      <c r="X464" s="8">
        <v>1</v>
      </c>
      <c r="Y464" s="8">
        <v>0</v>
      </c>
      <c r="Z464" s="8">
        <v>0</v>
      </c>
      <c r="AA464" s="11">
        <v>0.1667</v>
      </c>
      <c r="AB464" s="11">
        <v>1</v>
      </c>
      <c r="AC464" s="11">
        <v>0</v>
      </c>
      <c r="AD464" s="11">
        <v>0</v>
      </c>
    </row>
    <row r="465" customFormat="1" ht="22" customHeight="1" spans="1:30">
      <c r="A465" s="8" t="s">
        <v>31</v>
      </c>
      <c r="B465" s="8" t="e">
        <f>VLOOKUP(E465,[1]Sheet1!$C:$E,2,FALSE)</f>
        <v>#N/A</v>
      </c>
      <c r="C465" s="8" t="e">
        <f>VLOOKUP(E465,[1]Sheet1!$C:$E,3,FALSE)</f>
        <v>#N/A</v>
      </c>
      <c r="D465" s="8" t="s">
        <v>494</v>
      </c>
      <c r="E465" s="10">
        <v>541713053</v>
      </c>
      <c r="F465" s="8">
        <v>4.8</v>
      </c>
      <c r="G465" s="8">
        <v>13</v>
      </c>
      <c r="H465" s="14">
        <v>153.17</v>
      </c>
      <c r="I465" s="8">
        <v>15.77</v>
      </c>
      <c r="J465" s="8">
        <v>11.78</v>
      </c>
      <c r="K465" s="8">
        <v>1070</v>
      </c>
      <c r="L465" s="11">
        <v>0.065</v>
      </c>
      <c r="M465" s="11">
        <v>0.186</v>
      </c>
      <c r="N465" s="11">
        <v>0.0121</v>
      </c>
      <c r="O465" s="8">
        <v>991</v>
      </c>
      <c r="P465" s="8">
        <v>79</v>
      </c>
      <c r="Q465" s="8">
        <v>2</v>
      </c>
      <c r="R465" s="11">
        <v>0.069</v>
      </c>
      <c r="S465" s="11">
        <v>0.025</v>
      </c>
      <c r="T465" s="11">
        <v>0.162</v>
      </c>
      <c r="U465" s="11">
        <v>1</v>
      </c>
      <c r="V465" s="11">
        <v>0.109</v>
      </c>
      <c r="W465" s="8">
        <v>0</v>
      </c>
      <c r="X465" s="8">
        <v>0</v>
      </c>
      <c r="Y465" s="8">
        <v>0</v>
      </c>
      <c r="Z465" s="8">
        <v>0</v>
      </c>
      <c r="AA465" s="11">
        <v>0</v>
      </c>
      <c r="AB465" s="11">
        <v>0</v>
      </c>
      <c r="AC465" s="11">
        <v>0</v>
      </c>
      <c r="AD465" s="11">
        <v>0</v>
      </c>
    </row>
    <row r="466" customFormat="1" ht="22" customHeight="1" spans="1:30">
      <c r="A466" s="8" t="s">
        <v>31</v>
      </c>
      <c r="B466" s="8" t="str">
        <f>VLOOKUP(E466,[1]Sheet1!$C:$E,2,FALSE)</f>
        <v>徐从众</v>
      </c>
      <c r="C466" s="9" t="str">
        <f>VLOOKUP(E466,[1]Sheet1!$C:$E,3,FALSE)</f>
        <v>A</v>
      </c>
      <c r="D466" s="8" t="s">
        <v>495</v>
      </c>
      <c r="E466" s="10">
        <v>507239119</v>
      </c>
      <c r="F466" s="8">
        <v>4.8</v>
      </c>
      <c r="G466" s="8">
        <v>5</v>
      </c>
      <c r="H466" s="14">
        <v>149.93</v>
      </c>
      <c r="I466" s="8">
        <v>36.88</v>
      </c>
      <c r="J466" s="8">
        <v>29.99</v>
      </c>
      <c r="K466" s="8">
        <v>474</v>
      </c>
      <c r="L466" s="11">
        <v>0.082</v>
      </c>
      <c r="M466" s="11">
        <v>0.128</v>
      </c>
      <c r="N466" s="11">
        <v>0.0105</v>
      </c>
      <c r="O466" s="8">
        <v>417</v>
      </c>
      <c r="P466" s="8">
        <v>57</v>
      </c>
      <c r="Q466" s="8">
        <v>4</v>
      </c>
      <c r="R466" s="11">
        <v>0.07</v>
      </c>
      <c r="S466" s="11">
        <v>0.175</v>
      </c>
      <c r="T466" s="11">
        <v>0.034</v>
      </c>
      <c r="U466" s="11">
        <v>0.4</v>
      </c>
      <c r="V466" s="11">
        <v>0.204</v>
      </c>
      <c r="W466" s="8">
        <v>0</v>
      </c>
      <c r="X466" s="8">
        <v>0</v>
      </c>
      <c r="Y466" s="8">
        <v>0</v>
      </c>
      <c r="Z466" s="8">
        <v>0</v>
      </c>
      <c r="AA466" s="11">
        <v>0</v>
      </c>
      <c r="AB466" s="11">
        <v>0</v>
      </c>
      <c r="AC466" s="11">
        <v>0</v>
      </c>
      <c r="AD466" s="11">
        <v>0</v>
      </c>
    </row>
    <row r="467" customFormat="1" ht="22" customHeight="1" spans="1:30">
      <c r="A467" s="8" t="s">
        <v>31</v>
      </c>
      <c r="B467" s="8" t="str">
        <f>VLOOKUP(E467,[1]Sheet1!$C:$E,2,FALSE)</f>
        <v>刘欢</v>
      </c>
      <c r="C467" s="8" t="str">
        <f>VLOOKUP(E467,[1]Sheet1!$C:$E,3,FALSE)</f>
        <v>C</v>
      </c>
      <c r="D467" s="12" t="s">
        <v>496</v>
      </c>
      <c r="E467" s="13">
        <v>1342015935</v>
      </c>
      <c r="F467" s="12">
        <v>4.5</v>
      </c>
      <c r="G467" s="8">
        <v>10</v>
      </c>
      <c r="H467" s="14">
        <v>148.06</v>
      </c>
      <c r="I467" s="8">
        <v>20.54</v>
      </c>
      <c r="J467" s="8">
        <v>14.81</v>
      </c>
      <c r="K467" s="8">
        <v>2142</v>
      </c>
      <c r="L467" s="11">
        <v>0.04</v>
      </c>
      <c r="M467" s="11">
        <v>0.116</v>
      </c>
      <c r="N467" s="11">
        <v>0.0046</v>
      </c>
      <c r="O467" s="8">
        <v>2061</v>
      </c>
      <c r="P467" s="8">
        <v>81</v>
      </c>
      <c r="Q467" s="8">
        <v>1</v>
      </c>
      <c r="R467" s="11">
        <v>0.039</v>
      </c>
      <c r="S467" s="11">
        <v>0.062</v>
      </c>
      <c r="T467" s="11">
        <v>0.111</v>
      </c>
      <c r="U467" s="11">
        <v>0.2</v>
      </c>
      <c r="V467" s="11">
        <v>0.069</v>
      </c>
      <c r="W467" s="8">
        <v>0</v>
      </c>
      <c r="X467" s="8">
        <v>0</v>
      </c>
      <c r="Y467" s="8">
        <v>0</v>
      </c>
      <c r="Z467" s="8">
        <v>0</v>
      </c>
      <c r="AA467" s="11">
        <v>0</v>
      </c>
      <c r="AB467" s="11">
        <v>0</v>
      </c>
      <c r="AC467" s="11">
        <v>0</v>
      </c>
      <c r="AD467" s="11">
        <v>0</v>
      </c>
    </row>
    <row r="468" customFormat="1" ht="22" customHeight="1" spans="1:30">
      <c r="A468" s="8" t="s">
        <v>31</v>
      </c>
      <c r="B468" s="8" t="e">
        <f>VLOOKUP(E468,[1]Sheet1!$C:$E,2,FALSE)</f>
        <v>#N/A</v>
      </c>
      <c r="C468" s="8" t="e">
        <f>VLOOKUP(E468,[1]Sheet1!$C:$E,3,FALSE)</f>
        <v>#N/A</v>
      </c>
      <c r="D468" s="12" t="s">
        <v>497</v>
      </c>
      <c r="E468" s="13">
        <v>1356042693</v>
      </c>
      <c r="F468" s="12">
        <v>4.4</v>
      </c>
      <c r="G468" s="8">
        <v>9</v>
      </c>
      <c r="H468" s="14">
        <v>147.34</v>
      </c>
      <c r="I468" s="8">
        <v>23.27</v>
      </c>
      <c r="J468" s="8">
        <v>16.37</v>
      </c>
      <c r="K468" s="8">
        <v>818</v>
      </c>
      <c r="L468" s="11">
        <v>0.081</v>
      </c>
      <c r="M468" s="11">
        <v>0.152</v>
      </c>
      <c r="N468" s="11">
        <v>0.0123</v>
      </c>
      <c r="O468" s="8">
        <v>792</v>
      </c>
      <c r="P468" s="8">
        <v>26</v>
      </c>
      <c r="Q468" s="8">
        <v>2</v>
      </c>
      <c r="R468" s="11">
        <v>0.077</v>
      </c>
      <c r="S468" s="11">
        <v>0.192</v>
      </c>
      <c r="T468" s="11">
        <v>0.131</v>
      </c>
      <c r="U468" s="11">
        <v>0.4</v>
      </c>
      <c r="V468" s="11">
        <v>0.24</v>
      </c>
      <c r="W468" s="8">
        <v>0</v>
      </c>
      <c r="X468" s="8">
        <v>0</v>
      </c>
      <c r="Y468" s="8">
        <v>0</v>
      </c>
      <c r="Z468" s="8">
        <v>0</v>
      </c>
      <c r="AA468" s="11">
        <v>0</v>
      </c>
      <c r="AB468" s="11">
        <v>0</v>
      </c>
      <c r="AC468" s="11">
        <v>0</v>
      </c>
      <c r="AD468" s="11">
        <v>0</v>
      </c>
    </row>
    <row r="469" customFormat="1" ht="22" customHeight="1" spans="1:30">
      <c r="A469" s="8" t="s">
        <v>31</v>
      </c>
      <c r="B469" s="8" t="e">
        <f>VLOOKUP(E469,[1]Sheet1!$C:$E,2,FALSE)</f>
        <v>#N/A</v>
      </c>
      <c r="C469" s="8" t="e">
        <f>VLOOKUP(E469,[1]Sheet1!$C:$E,3,FALSE)</f>
        <v>#N/A</v>
      </c>
      <c r="D469" s="8" t="s">
        <v>498</v>
      </c>
      <c r="E469" s="10">
        <v>510328870</v>
      </c>
      <c r="F469" s="8">
        <v>4.9</v>
      </c>
      <c r="G469" s="8">
        <v>6</v>
      </c>
      <c r="H469" s="14">
        <v>146.78</v>
      </c>
      <c r="I469" s="8">
        <v>35.55</v>
      </c>
      <c r="J469" s="8">
        <v>24.46</v>
      </c>
      <c r="K469" s="8">
        <v>237</v>
      </c>
      <c r="L469" s="11">
        <v>0.139</v>
      </c>
      <c r="M469" s="11">
        <v>0.182</v>
      </c>
      <c r="N469" s="11">
        <v>0.0253</v>
      </c>
      <c r="O469" s="8">
        <v>197</v>
      </c>
      <c r="P469" s="8">
        <v>40</v>
      </c>
      <c r="Q469" s="8">
        <v>4</v>
      </c>
      <c r="R469" s="11">
        <v>0.112</v>
      </c>
      <c r="S469" s="11">
        <v>0.275</v>
      </c>
      <c r="T469" s="11">
        <v>0.091</v>
      </c>
      <c r="U469" s="11">
        <v>0.364</v>
      </c>
      <c r="V469" s="11">
        <v>0.2</v>
      </c>
      <c r="W469" s="8">
        <v>1</v>
      </c>
      <c r="X469" s="8">
        <v>1</v>
      </c>
      <c r="Y469" s="8">
        <v>0</v>
      </c>
      <c r="Z469" s="8">
        <v>0</v>
      </c>
      <c r="AA469" s="11">
        <v>0.1667</v>
      </c>
      <c r="AB469" s="11">
        <v>1</v>
      </c>
      <c r="AC469" s="11">
        <v>0</v>
      </c>
      <c r="AD469" s="11">
        <v>0</v>
      </c>
    </row>
    <row r="470" customFormat="1" ht="22" customHeight="1" spans="1:30">
      <c r="A470" s="8" t="s">
        <v>31</v>
      </c>
      <c r="B470" s="8" t="str">
        <f>VLOOKUP(E470,[1]Sheet1!$C:$E,2,FALSE)</f>
        <v>岳贝贝</v>
      </c>
      <c r="C470" s="9" t="str">
        <f>VLOOKUP(E470,[1]Sheet1!$C:$E,3,FALSE)</f>
        <v>A</v>
      </c>
      <c r="D470" s="12" t="s">
        <v>499</v>
      </c>
      <c r="E470" s="13">
        <v>538771849</v>
      </c>
      <c r="F470" s="12">
        <v>4.4</v>
      </c>
      <c r="G470" s="8">
        <v>11</v>
      </c>
      <c r="H470" s="14">
        <v>146.57</v>
      </c>
      <c r="I470" s="8">
        <v>22.13</v>
      </c>
      <c r="J470" s="8">
        <v>13.32</v>
      </c>
      <c r="K470" s="8">
        <v>844</v>
      </c>
      <c r="L470" s="11">
        <v>0.047</v>
      </c>
      <c r="M470" s="11">
        <v>0.275</v>
      </c>
      <c r="N470" s="11">
        <v>0.0129</v>
      </c>
      <c r="O470" s="8">
        <v>713</v>
      </c>
      <c r="P470" s="8">
        <v>131</v>
      </c>
      <c r="Q470" s="8">
        <v>5</v>
      </c>
      <c r="R470" s="11">
        <v>0.038</v>
      </c>
      <c r="S470" s="11">
        <v>0.099</v>
      </c>
      <c r="T470" s="11">
        <v>0.222</v>
      </c>
      <c r="U470" s="11">
        <v>0.385</v>
      </c>
      <c r="V470" s="11">
        <v>0.235</v>
      </c>
      <c r="W470" s="8">
        <v>0</v>
      </c>
      <c r="X470" s="8">
        <v>0</v>
      </c>
      <c r="Y470" s="8">
        <v>0</v>
      </c>
      <c r="Z470" s="8">
        <v>0</v>
      </c>
      <c r="AA470" s="11">
        <v>0</v>
      </c>
      <c r="AB470" s="11">
        <v>0</v>
      </c>
      <c r="AC470" s="11">
        <v>0</v>
      </c>
      <c r="AD470" s="11">
        <v>0</v>
      </c>
    </row>
    <row r="471" customFormat="1" ht="22" customHeight="1" spans="1:30">
      <c r="A471" s="8" t="s">
        <v>31</v>
      </c>
      <c r="B471" s="8" t="str">
        <f>VLOOKUP(E471,[1]Sheet1!$C:$E,2,FALSE)</f>
        <v>王森</v>
      </c>
      <c r="C471" s="8">
        <f>VLOOKUP(E471,[1]Sheet1!$C:$E,3,FALSE)</f>
        <v>0</v>
      </c>
      <c r="D471" s="12" t="s">
        <v>500</v>
      </c>
      <c r="E471" s="13">
        <v>1308625766</v>
      </c>
      <c r="F471" s="12">
        <v>4.6</v>
      </c>
      <c r="G471" s="8">
        <v>17</v>
      </c>
      <c r="H471" s="14">
        <v>145.9</v>
      </c>
      <c r="I471" s="8">
        <v>13.29</v>
      </c>
      <c r="J471" s="8">
        <v>8.58</v>
      </c>
      <c r="K471" s="8">
        <v>934</v>
      </c>
      <c r="L471" s="11">
        <v>0.067</v>
      </c>
      <c r="M471" s="11">
        <v>0.27</v>
      </c>
      <c r="N471" s="11">
        <v>0.0181</v>
      </c>
      <c r="O471" s="8">
        <v>795</v>
      </c>
      <c r="P471" s="8">
        <v>139</v>
      </c>
      <c r="Q471" s="8">
        <v>9</v>
      </c>
      <c r="R471" s="11">
        <v>0.054</v>
      </c>
      <c r="S471" s="11">
        <v>0.144</v>
      </c>
      <c r="T471" s="11">
        <v>0.186</v>
      </c>
      <c r="U471" s="11">
        <v>0.45</v>
      </c>
      <c r="V471" s="11">
        <v>0.198</v>
      </c>
      <c r="W471" s="8">
        <v>1</v>
      </c>
      <c r="X471" s="8">
        <v>0</v>
      </c>
      <c r="Y471" s="8">
        <v>1</v>
      </c>
      <c r="Z471" s="8">
        <v>0</v>
      </c>
      <c r="AA471" s="11">
        <v>0.0588</v>
      </c>
      <c r="AB471" s="11">
        <v>0</v>
      </c>
      <c r="AC471" s="11">
        <v>1</v>
      </c>
      <c r="AD471" s="11">
        <v>0</v>
      </c>
    </row>
    <row r="472" customFormat="1" ht="22" customHeight="1" spans="1:30">
      <c r="A472" s="8" t="s">
        <v>31</v>
      </c>
      <c r="B472" s="8" t="str">
        <f>VLOOKUP(E472,[1]Sheet1!$C:$E,2,FALSE)</f>
        <v>徐从众</v>
      </c>
      <c r="C472" s="8">
        <f>VLOOKUP(E472,[1]Sheet1!$C:$E,3,FALSE)</f>
        <v>0</v>
      </c>
      <c r="D472" s="8" t="s">
        <v>501</v>
      </c>
      <c r="E472" s="10">
        <v>538730735</v>
      </c>
      <c r="F472" s="8">
        <v>4.9</v>
      </c>
      <c r="G472" s="8">
        <v>4</v>
      </c>
      <c r="H472" s="14">
        <v>143.99</v>
      </c>
      <c r="I472" s="8">
        <v>0</v>
      </c>
      <c r="J472" s="8">
        <v>36</v>
      </c>
      <c r="K472" s="8">
        <v>568</v>
      </c>
      <c r="L472" s="11">
        <v>0.155</v>
      </c>
      <c r="M472" s="11">
        <v>0.045</v>
      </c>
      <c r="N472" s="11">
        <v>0.007</v>
      </c>
      <c r="O472" s="8">
        <v>0</v>
      </c>
      <c r="P472" s="8">
        <v>0</v>
      </c>
      <c r="Q472" s="8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0.192</v>
      </c>
      <c r="W472" s="8">
        <v>0</v>
      </c>
      <c r="X472" s="8">
        <v>0</v>
      </c>
      <c r="Y472" s="8">
        <v>0</v>
      </c>
      <c r="Z472" s="8">
        <v>0</v>
      </c>
      <c r="AA472" s="11">
        <v>0</v>
      </c>
      <c r="AB472" s="11">
        <v>0</v>
      </c>
      <c r="AC472" s="11">
        <v>0</v>
      </c>
      <c r="AD472" s="11">
        <v>0</v>
      </c>
    </row>
    <row r="473" customFormat="1" ht="22" customHeight="1" spans="1:30">
      <c r="A473" s="8" t="s">
        <v>31</v>
      </c>
      <c r="B473" s="8" t="str">
        <f>VLOOKUP(E473,[1]Sheet1!$C:$E,2,FALSE)</f>
        <v>刘欢</v>
      </c>
      <c r="C473" s="8" t="str">
        <f>VLOOKUP(E473,[1]Sheet1!$C:$E,3,FALSE)</f>
        <v>B</v>
      </c>
      <c r="D473" s="8" t="s">
        <v>502</v>
      </c>
      <c r="E473" s="10">
        <v>1325548215</v>
      </c>
      <c r="F473" s="8">
        <v>4.8</v>
      </c>
      <c r="G473" s="8">
        <v>9</v>
      </c>
      <c r="H473" s="14">
        <v>138.19</v>
      </c>
      <c r="I473" s="8">
        <v>20.33</v>
      </c>
      <c r="J473" s="8">
        <v>15.35</v>
      </c>
      <c r="K473" s="8">
        <v>1040</v>
      </c>
      <c r="L473" s="11">
        <v>0.081</v>
      </c>
      <c r="M473" s="11">
        <v>0.107</v>
      </c>
      <c r="N473" s="11">
        <v>0.0087</v>
      </c>
      <c r="O473" s="8">
        <v>903</v>
      </c>
      <c r="P473" s="8">
        <v>137</v>
      </c>
      <c r="Q473" s="8">
        <v>4</v>
      </c>
      <c r="R473" s="11">
        <v>0.08</v>
      </c>
      <c r="S473" s="11">
        <v>0.088</v>
      </c>
      <c r="T473" s="11">
        <v>0.069</v>
      </c>
      <c r="U473" s="11">
        <v>0.333</v>
      </c>
      <c r="V473" s="11">
        <v>0.197</v>
      </c>
      <c r="W473" s="8">
        <v>0</v>
      </c>
      <c r="X473" s="8">
        <v>0</v>
      </c>
      <c r="Y473" s="8">
        <v>0</v>
      </c>
      <c r="Z473" s="8">
        <v>0</v>
      </c>
      <c r="AA473" s="11">
        <v>0</v>
      </c>
      <c r="AB473" s="11">
        <v>0</v>
      </c>
      <c r="AC473" s="11">
        <v>0</v>
      </c>
      <c r="AD473" s="11">
        <v>0</v>
      </c>
    </row>
    <row r="474" customFormat="1" ht="22" customHeight="1" spans="1:30">
      <c r="A474" s="8" t="s">
        <v>31</v>
      </c>
      <c r="B474" s="8" t="str">
        <f>VLOOKUP(E474,[1]Sheet1!$C:$E,2,FALSE)</f>
        <v>刘欢</v>
      </c>
      <c r="C474" s="8" t="str">
        <f>VLOOKUP(E474,[1]Sheet1!$C:$E,3,FALSE)</f>
        <v>C</v>
      </c>
      <c r="D474" s="8" t="s">
        <v>503</v>
      </c>
      <c r="E474" s="10">
        <v>544688068</v>
      </c>
      <c r="F474" s="8">
        <v>5</v>
      </c>
      <c r="G474" s="8">
        <v>10</v>
      </c>
      <c r="H474" s="14">
        <v>137.76</v>
      </c>
      <c r="I474" s="8">
        <v>20.5</v>
      </c>
      <c r="J474" s="8">
        <v>13.78</v>
      </c>
      <c r="K474" s="8">
        <v>521</v>
      </c>
      <c r="L474" s="11">
        <v>0.067</v>
      </c>
      <c r="M474" s="11">
        <v>0.286</v>
      </c>
      <c r="N474" s="11">
        <v>0.0192</v>
      </c>
      <c r="O474" s="8">
        <v>491</v>
      </c>
      <c r="P474" s="8">
        <v>30</v>
      </c>
      <c r="Q474" s="8">
        <v>5</v>
      </c>
      <c r="R474" s="11">
        <v>0.053</v>
      </c>
      <c r="S474" s="11">
        <v>0.3</v>
      </c>
      <c r="T474" s="11">
        <v>0.192</v>
      </c>
      <c r="U474" s="11">
        <v>0.556</v>
      </c>
      <c r="V474" s="11">
        <v>0.241</v>
      </c>
      <c r="W474" s="8">
        <v>0</v>
      </c>
      <c r="X474" s="8">
        <v>0</v>
      </c>
      <c r="Y474" s="8">
        <v>0</v>
      </c>
      <c r="Z474" s="8">
        <v>0</v>
      </c>
      <c r="AA474" s="11">
        <v>0</v>
      </c>
      <c r="AB474" s="11">
        <v>0</v>
      </c>
      <c r="AC474" s="11">
        <v>0</v>
      </c>
      <c r="AD474" s="11">
        <v>0</v>
      </c>
    </row>
    <row r="475" customFormat="1" ht="22" customHeight="1" spans="1:30">
      <c r="A475" s="8" t="s">
        <v>31</v>
      </c>
      <c r="B475" s="8" t="str">
        <f>VLOOKUP(E475,[1]Sheet1!$C:$E,2,FALSE)</f>
        <v>刘欢</v>
      </c>
      <c r="C475" s="8">
        <f>VLOOKUP(E475,[1]Sheet1!$C:$E,3,FALSE)</f>
        <v>0</v>
      </c>
      <c r="D475" s="8" t="s">
        <v>504</v>
      </c>
      <c r="E475" s="10">
        <v>1331529938</v>
      </c>
      <c r="F475" s="8">
        <v>4.8</v>
      </c>
      <c r="G475" s="8">
        <v>9</v>
      </c>
      <c r="H475" s="14">
        <v>137.34</v>
      </c>
      <c r="I475" s="8">
        <v>19.2</v>
      </c>
      <c r="J475" s="8">
        <v>15.26</v>
      </c>
      <c r="K475" s="8">
        <v>602</v>
      </c>
      <c r="L475" s="11">
        <v>0.056</v>
      </c>
      <c r="M475" s="11">
        <v>0.235</v>
      </c>
      <c r="N475" s="11">
        <v>0.0132</v>
      </c>
      <c r="O475" s="8">
        <v>555</v>
      </c>
      <c r="P475" s="8">
        <v>47</v>
      </c>
      <c r="Q475" s="8">
        <v>4</v>
      </c>
      <c r="R475" s="11">
        <v>0.043</v>
      </c>
      <c r="S475" s="11">
        <v>0.213</v>
      </c>
      <c r="T475" s="11">
        <v>0.167</v>
      </c>
      <c r="U475" s="11">
        <v>0.4</v>
      </c>
      <c r="V475" s="11">
        <v>0.147</v>
      </c>
      <c r="W475" s="8">
        <v>0</v>
      </c>
      <c r="X475" s="8">
        <v>0</v>
      </c>
      <c r="Y475" s="8">
        <v>0</v>
      </c>
      <c r="Z475" s="8">
        <v>0</v>
      </c>
      <c r="AA475" s="11">
        <v>0</v>
      </c>
      <c r="AB475" s="11">
        <v>0</v>
      </c>
      <c r="AC475" s="11">
        <v>0</v>
      </c>
      <c r="AD475" s="11">
        <v>0</v>
      </c>
    </row>
    <row r="476" customFormat="1" ht="22" customHeight="1" spans="1:30">
      <c r="A476" s="8" t="s">
        <v>31</v>
      </c>
      <c r="B476" s="8" t="str">
        <f>VLOOKUP(E476,[1]Sheet1!$C:$E,2,FALSE)</f>
        <v>徐从众</v>
      </c>
      <c r="C476" s="9" t="str">
        <f>VLOOKUP(E476,[1]Sheet1!$C:$E,3,FALSE)</f>
        <v>S</v>
      </c>
      <c r="D476" s="8" t="s">
        <v>505</v>
      </c>
      <c r="E476" s="10">
        <v>536376567</v>
      </c>
      <c r="F476" s="8">
        <v>5</v>
      </c>
      <c r="G476" s="8">
        <v>4</v>
      </c>
      <c r="H476" s="14">
        <v>135.29</v>
      </c>
      <c r="I476" s="8">
        <v>0</v>
      </c>
      <c r="J476" s="8">
        <v>33.82</v>
      </c>
      <c r="K476" s="8">
        <v>418</v>
      </c>
      <c r="L476" s="11">
        <v>0.096</v>
      </c>
      <c r="M476" s="11">
        <v>0.1</v>
      </c>
      <c r="N476" s="11">
        <v>0.0096</v>
      </c>
      <c r="O476" s="8">
        <v>0</v>
      </c>
      <c r="P476" s="8">
        <v>0</v>
      </c>
      <c r="Q476" s="8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0.171</v>
      </c>
      <c r="W476" s="8">
        <v>0</v>
      </c>
      <c r="X476" s="8">
        <v>0</v>
      </c>
      <c r="Y476" s="8">
        <v>0</v>
      </c>
      <c r="Z476" s="8">
        <v>0</v>
      </c>
      <c r="AA476" s="11">
        <v>0</v>
      </c>
      <c r="AB476" s="11">
        <v>0</v>
      </c>
      <c r="AC476" s="11">
        <v>0</v>
      </c>
      <c r="AD476" s="11">
        <v>0</v>
      </c>
    </row>
    <row r="477" customFormat="1" ht="22" customHeight="1" spans="1:30">
      <c r="A477" s="8" t="s">
        <v>31</v>
      </c>
      <c r="B477" s="8" t="str">
        <f>VLOOKUP(E477,[1]Sheet1!$C:$E,2,FALSE)</f>
        <v>刘欢</v>
      </c>
      <c r="C477" s="8" t="str">
        <f>VLOOKUP(E477,[1]Sheet1!$C:$E,3,FALSE)</f>
        <v>C</v>
      </c>
      <c r="D477" s="8" t="s">
        <v>506</v>
      </c>
      <c r="E477" s="10">
        <v>544361054</v>
      </c>
      <c r="F477" s="8">
        <v>4.8</v>
      </c>
      <c r="G477" s="8">
        <v>8</v>
      </c>
      <c r="H477" s="14">
        <v>134.8</v>
      </c>
      <c r="I477" s="8">
        <v>22.69</v>
      </c>
      <c r="J477" s="8">
        <v>16.85</v>
      </c>
      <c r="K477" s="8">
        <v>487</v>
      </c>
      <c r="L477" s="11">
        <v>0.074</v>
      </c>
      <c r="M477" s="11">
        <v>0.222</v>
      </c>
      <c r="N477" s="11">
        <v>0.0164</v>
      </c>
      <c r="O477" s="8">
        <v>447</v>
      </c>
      <c r="P477" s="8">
        <v>40</v>
      </c>
      <c r="Q477" s="8">
        <v>5</v>
      </c>
      <c r="R477" s="11">
        <v>0.06</v>
      </c>
      <c r="S477" s="11">
        <v>0.225</v>
      </c>
      <c r="T477" s="11">
        <v>0.111</v>
      </c>
      <c r="U477" s="11">
        <v>0.556</v>
      </c>
      <c r="V477" s="11">
        <v>0.281</v>
      </c>
      <c r="W477" s="8">
        <v>0</v>
      </c>
      <c r="X477" s="8">
        <v>0</v>
      </c>
      <c r="Y477" s="8">
        <v>0</v>
      </c>
      <c r="Z477" s="8">
        <v>0</v>
      </c>
      <c r="AA477" s="11">
        <v>0</v>
      </c>
      <c r="AB477" s="11">
        <v>0</v>
      </c>
      <c r="AC477" s="11">
        <v>0</v>
      </c>
      <c r="AD477" s="11">
        <v>0</v>
      </c>
    </row>
    <row r="478" customFormat="1" ht="22" customHeight="1" spans="1:30">
      <c r="A478" s="8" t="s">
        <v>31</v>
      </c>
      <c r="B478" s="8" t="str">
        <f>VLOOKUP(E478,[1]Sheet1!$C:$E,2,FALSE)</f>
        <v>刘欢</v>
      </c>
      <c r="C478" s="8">
        <f>VLOOKUP(E478,[1]Sheet1!$C:$E,3,FALSE)</f>
        <v>0</v>
      </c>
      <c r="D478" s="8" t="s">
        <v>507</v>
      </c>
      <c r="E478" s="10">
        <v>516030923</v>
      </c>
      <c r="F478" s="8">
        <v>4.8</v>
      </c>
      <c r="G478" s="8">
        <v>8</v>
      </c>
      <c r="H478" s="14">
        <v>133.2</v>
      </c>
      <c r="I478" s="8">
        <v>22.97</v>
      </c>
      <c r="J478" s="8">
        <v>16.65</v>
      </c>
      <c r="K478" s="8">
        <v>502</v>
      </c>
      <c r="L478" s="11">
        <v>0.09</v>
      </c>
      <c r="M478" s="11">
        <v>0.178</v>
      </c>
      <c r="N478" s="11">
        <v>0.016</v>
      </c>
      <c r="O478" s="8">
        <v>390</v>
      </c>
      <c r="P478" s="8">
        <v>112</v>
      </c>
      <c r="Q478" s="8">
        <v>5</v>
      </c>
      <c r="R478" s="11">
        <v>0.079</v>
      </c>
      <c r="S478" s="11">
        <v>0.125</v>
      </c>
      <c r="T478" s="11">
        <v>0.097</v>
      </c>
      <c r="U478" s="11">
        <v>0.357</v>
      </c>
      <c r="V478" s="11">
        <v>0.229</v>
      </c>
      <c r="W478" s="8">
        <v>0</v>
      </c>
      <c r="X478" s="8">
        <v>0</v>
      </c>
      <c r="Y478" s="8">
        <v>0</v>
      </c>
      <c r="Z478" s="8">
        <v>0</v>
      </c>
      <c r="AA478" s="11">
        <v>0</v>
      </c>
      <c r="AB478" s="11">
        <v>0</v>
      </c>
      <c r="AC478" s="11">
        <v>0</v>
      </c>
      <c r="AD478" s="11">
        <v>0</v>
      </c>
    </row>
    <row r="479" customFormat="1" ht="22" customHeight="1" spans="1:30">
      <c r="A479" s="8" t="s">
        <v>31</v>
      </c>
      <c r="B479" s="8" t="str">
        <f>VLOOKUP(E479,[1]Sheet1!$C:$E,2,FALSE)</f>
        <v>刘欢</v>
      </c>
      <c r="C479" s="8">
        <f>VLOOKUP(E479,[1]Sheet1!$C:$E,3,FALSE)</f>
        <v>0</v>
      </c>
      <c r="D479" s="8" t="s">
        <v>508</v>
      </c>
      <c r="E479" s="10">
        <v>1319942839</v>
      </c>
      <c r="F479" s="8">
        <v>4.9</v>
      </c>
      <c r="G479" s="8">
        <v>3</v>
      </c>
      <c r="H479" s="14">
        <v>132.81</v>
      </c>
      <c r="I479" s="8">
        <v>52.81</v>
      </c>
      <c r="J479" s="8">
        <v>44.27</v>
      </c>
      <c r="K479" s="8">
        <v>376</v>
      </c>
      <c r="L479" s="11">
        <v>0.077</v>
      </c>
      <c r="M479" s="11">
        <v>0.103</v>
      </c>
      <c r="N479" s="11">
        <v>0.0079</v>
      </c>
      <c r="O479" s="8">
        <v>304</v>
      </c>
      <c r="P479" s="8">
        <v>72</v>
      </c>
      <c r="Q479" s="8">
        <v>1</v>
      </c>
      <c r="R479" s="11">
        <v>0.072</v>
      </c>
      <c r="S479" s="11">
        <v>0.097</v>
      </c>
      <c r="T479" s="11">
        <v>0.091</v>
      </c>
      <c r="U479" s="11">
        <v>0.143</v>
      </c>
      <c r="V479" s="11">
        <v>0.182</v>
      </c>
      <c r="W479" s="8">
        <v>0</v>
      </c>
      <c r="X479" s="8">
        <v>0</v>
      </c>
      <c r="Y479" s="8">
        <v>0</v>
      </c>
      <c r="Z479" s="8">
        <v>0</v>
      </c>
      <c r="AA479" s="11">
        <v>0</v>
      </c>
      <c r="AB479" s="11">
        <v>0</v>
      </c>
      <c r="AC479" s="11">
        <v>0</v>
      </c>
      <c r="AD479" s="11">
        <v>0</v>
      </c>
    </row>
    <row r="480" customFormat="1" ht="22" customHeight="1" spans="1:30">
      <c r="A480" s="8" t="s">
        <v>31</v>
      </c>
      <c r="B480" s="8" t="str">
        <f>VLOOKUP(E480,[1]Sheet1!$C:$E,2,FALSE)</f>
        <v>刘欢</v>
      </c>
      <c r="C480" s="9" t="str">
        <f>VLOOKUP(E480,[1]Sheet1!$C:$E,3,FALSE)</f>
        <v>A</v>
      </c>
      <c r="D480" s="8" t="s">
        <v>509</v>
      </c>
      <c r="E480" s="10">
        <v>543707119</v>
      </c>
      <c r="F480" s="8">
        <v>4.9</v>
      </c>
      <c r="G480" s="8">
        <v>4</v>
      </c>
      <c r="H480" s="14">
        <v>132.29</v>
      </c>
      <c r="I480" s="8">
        <v>0</v>
      </c>
      <c r="J480" s="8">
        <v>33.07</v>
      </c>
      <c r="K480" s="8">
        <v>1025</v>
      </c>
      <c r="L480" s="11">
        <v>0.045</v>
      </c>
      <c r="M480" s="11">
        <v>0.087</v>
      </c>
      <c r="N480" s="11">
        <v>0.0039</v>
      </c>
      <c r="O480" s="8">
        <v>0</v>
      </c>
      <c r="P480" s="8">
        <v>0</v>
      </c>
      <c r="Q480" s="8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0.094</v>
      </c>
      <c r="W480" s="8">
        <v>0</v>
      </c>
      <c r="X480" s="8">
        <v>0</v>
      </c>
      <c r="Y480" s="8">
        <v>0</v>
      </c>
      <c r="Z480" s="8">
        <v>0</v>
      </c>
      <c r="AA480" s="11">
        <v>0</v>
      </c>
      <c r="AB480" s="11">
        <v>0</v>
      </c>
      <c r="AC480" s="11">
        <v>0</v>
      </c>
      <c r="AD480" s="11">
        <v>0</v>
      </c>
    </row>
    <row r="481" customFormat="1" ht="22" customHeight="1" spans="1:30">
      <c r="A481" s="8" t="s">
        <v>31</v>
      </c>
      <c r="B481" s="8" t="e">
        <f>VLOOKUP(E481,[1]Sheet1!$C:$E,2,FALSE)</f>
        <v>#N/A</v>
      </c>
      <c r="C481" s="8" t="e">
        <f>VLOOKUP(E481,[1]Sheet1!$C:$E,3,FALSE)</f>
        <v>#N/A</v>
      </c>
      <c r="D481" s="12" t="s">
        <v>510</v>
      </c>
      <c r="E481" s="13">
        <v>1340967711</v>
      </c>
      <c r="F481" s="12">
        <v>4.6</v>
      </c>
      <c r="G481" s="8">
        <v>4</v>
      </c>
      <c r="H481" s="14">
        <v>130.94</v>
      </c>
      <c r="I481" s="8">
        <v>41.96</v>
      </c>
      <c r="J481" s="8">
        <v>32.74</v>
      </c>
      <c r="K481" s="8">
        <v>443</v>
      </c>
      <c r="L481" s="11">
        <v>0.079</v>
      </c>
      <c r="M481" s="11">
        <v>0.114</v>
      </c>
      <c r="N481" s="11">
        <v>0.009</v>
      </c>
      <c r="O481" s="8">
        <v>424</v>
      </c>
      <c r="P481" s="8">
        <v>19</v>
      </c>
      <c r="Q481" s="8">
        <v>3</v>
      </c>
      <c r="R481" s="11">
        <v>0.068</v>
      </c>
      <c r="S481" s="11">
        <v>0.316</v>
      </c>
      <c r="T481" s="11">
        <v>0.034</v>
      </c>
      <c r="U481" s="11">
        <v>0.5</v>
      </c>
      <c r="V481" s="11">
        <v>0.138</v>
      </c>
      <c r="W481" s="8">
        <v>0</v>
      </c>
      <c r="X481" s="8">
        <v>0</v>
      </c>
      <c r="Y481" s="8">
        <v>0</v>
      </c>
      <c r="Z481" s="8">
        <v>0</v>
      </c>
      <c r="AA481" s="11">
        <v>0</v>
      </c>
      <c r="AB481" s="11">
        <v>0</v>
      </c>
      <c r="AC481" s="11">
        <v>0</v>
      </c>
      <c r="AD481" s="11">
        <v>0</v>
      </c>
    </row>
    <row r="482" customFormat="1" ht="22" customHeight="1" spans="1:30">
      <c r="A482" s="8" t="s">
        <v>31</v>
      </c>
      <c r="B482" s="8" t="e">
        <f>VLOOKUP(E482,[1]Sheet1!$C:$E,2,FALSE)</f>
        <v>#N/A</v>
      </c>
      <c r="C482" s="8" t="e">
        <f>VLOOKUP(E482,[1]Sheet1!$C:$E,3,FALSE)</f>
        <v>#N/A</v>
      </c>
      <c r="D482" s="12" t="s">
        <v>511</v>
      </c>
      <c r="E482" s="13">
        <v>2035602789</v>
      </c>
      <c r="F482" s="12">
        <v>4.6</v>
      </c>
      <c r="G482" s="8">
        <v>7</v>
      </c>
      <c r="H482" s="14">
        <v>127.73</v>
      </c>
      <c r="I482" s="8">
        <v>22.8</v>
      </c>
      <c r="J482" s="8">
        <v>18.25</v>
      </c>
      <c r="K482" s="8">
        <v>1113</v>
      </c>
      <c r="L482" s="11">
        <v>0.053</v>
      </c>
      <c r="M482" s="11">
        <v>0.119</v>
      </c>
      <c r="N482" s="11">
        <v>0.0063</v>
      </c>
      <c r="O482" s="8">
        <v>1021</v>
      </c>
      <c r="P482" s="8">
        <v>92</v>
      </c>
      <c r="Q482" s="8">
        <v>6</v>
      </c>
      <c r="R482" s="11">
        <v>0.04</v>
      </c>
      <c r="S482" s="11">
        <v>0.196</v>
      </c>
      <c r="T482" s="11">
        <v>0.024</v>
      </c>
      <c r="U482" s="11">
        <v>0.333</v>
      </c>
      <c r="V482" s="11">
        <v>0.203</v>
      </c>
      <c r="W482" s="8">
        <v>1</v>
      </c>
      <c r="X482" s="8">
        <v>1</v>
      </c>
      <c r="Y482" s="8">
        <v>0</v>
      </c>
      <c r="Z482" s="8">
        <v>0</v>
      </c>
      <c r="AA482" s="11">
        <v>0.1429</v>
      </c>
      <c r="AB482" s="11">
        <v>1</v>
      </c>
      <c r="AC482" s="11">
        <v>0</v>
      </c>
      <c r="AD482" s="11">
        <v>0</v>
      </c>
    </row>
    <row r="483" customFormat="1" ht="22" customHeight="1" spans="1:30">
      <c r="A483" s="8" t="s">
        <v>31</v>
      </c>
      <c r="B483" s="8" t="str">
        <f>VLOOKUP(E483,[1]Sheet1!$C:$E,2,FALSE)</f>
        <v>王森</v>
      </c>
      <c r="C483" s="8">
        <f>VLOOKUP(E483,[1]Sheet1!$C:$E,3,FALSE)</f>
        <v>0</v>
      </c>
      <c r="D483" s="12" t="s">
        <v>512</v>
      </c>
      <c r="E483" s="13">
        <v>1354093432</v>
      </c>
      <c r="F483" s="12">
        <v>4.6</v>
      </c>
      <c r="G483" s="8">
        <v>9</v>
      </c>
      <c r="H483" s="14">
        <v>127.44</v>
      </c>
      <c r="I483" s="8">
        <v>17.84</v>
      </c>
      <c r="J483" s="8">
        <v>14.16</v>
      </c>
      <c r="K483" s="8">
        <v>450</v>
      </c>
      <c r="L483" s="11">
        <v>0.078</v>
      </c>
      <c r="M483" s="11">
        <v>0.229</v>
      </c>
      <c r="N483" s="11">
        <v>0.0179</v>
      </c>
      <c r="O483" s="8">
        <v>426</v>
      </c>
      <c r="P483" s="8">
        <v>24</v>
      </c>
      <c r="Q483" s="8">
        <v>4</v>
      </c>
      <c r="R483" s="11">
        <v>0.061</v>
      </c>
      <c r="S483" s="11">
        <v>0.375</v>
      </c>
      <c r="T483" s="11">
        <v>0.154</v>
      </c>
      <c r="U483" s="11">
        <v>0.444</v>
      </c>
      <c r="V483" s="11">
        <v>0.11</v>
      </c>
      <c r="W483" s="8">
        <v>0</v>
      </c>
      <c r="X483" s="8">
        <v>0</v>
      </c>
      <c r="Y483" s="8">
        <v>0</v>
      </c>
      <c r="Z483" s="8">
        <v>0</v>
      </c>
      <c r="AA483" s="11">
        <v>0</v>
      </c>
      <c r="AB483" s="11">
        <v>0</v>
      </c>
      <c r="AC483" s="11">
        <v>0</v>
      </c>
      <c r="AD483" s="11">
        <v>0</v>
      </c>
    </row>
    <row r="484" customFormat="1" ht="22" customHeight="1" spans="1:30">
      <c r="A484" s="8" t="s">
        <v>31</v>
      </c>
      <c r="B484" s="8" t="str">
        <f>VLOOKUP(E484,[1]Sheet1!$C:$E,2,FALSE)</f>
        <v>刘欢</v>
      </c>
      <c r="C484" s="8">
        <f>VLOOKUP(E484,[1]Sheet1!$C:$E,3,FALSE)</f>
        <v>0</v>
      </c>
      <c r="D484" s="12" t="s">
        <v>513</v>
      </c>
      <c r="E484" s="13">
        <v>537231169</v>
      </c>
      <c r="F484" s="12">
        <v>4.5</v>
      </c>
      <c r="G484" s="8">
        <v>7</v>
      </c>
      <c r="H484" s="14">
        <v>126.8</v>
      </c>
      <c r="I484" s="8">
        <v>21.93</v>
      </c>
      <c r="J484" s="8">
        <v>18.11</v>
      </c>
      <c r="K484" s="8">
        <v>1533</v>
      </c>
      <c r="L484" s="11">
        <v>0.027</v>
      </c>
      <c r="M484" s="11">
        <v>0.171</v>
      </c>
      <c r="N484" s="11">
        <v>0.0046</v>
      </c>
      <c r="O484" s="8">
        <v>1484</v>
      </c>
      <c r="P484" s="8">
        <v>49</v>
      </c>
      <c r="Q484" s="8">
        <v>3</v>
      </c>
      <c r="R484" s="11">
        <v>0.023</v>
      </c>
      <c r="S484" s="11">
        <v>0.143</v>
      </c>
      <c r="T484" s="11">
        <v>0.118</v>
      </c>
      <c r="U484" s="11">
        <v>0.429</v>
      </c>
      <c r="V484" s="11">
        <v>0.095</v>
      </c>
      <c r="W484" s="8">
        <v>0</v>
      </c>
      <c r="X484" s="8">
        <v>0</v>
      </c>
      <c r="Y484" s="8">
        <v>0</v>
      </c>
      <c r="Z484" s="8">
        <v>0</v>
      </c>
      <c r="AA484" s="11">
        <v>0</v>
      </c>
      <c r="AB484" s="11">
        <v>0</v>
      </c>
      <c r="AC484" s="11">
        <v>0</v>
      </c>
      <c r="AD484" s="11">
        <v>0</v>
      </c>
    </row>
    <row r="485" customFormat="1" ht="22" customHeight="1" spans="1:30">
      <c r="A485" s="8" t="s">
        <v>31</v>
      </c>
      <c r="B485" s="8" t="str">
        <f>VLOOKUP(E485,[1]Sheet1!$C:$E,2,FALSE)</f>
        <v>徐从众</v>
      </c>
      <c r="C485" s="8">
        <f>VLOOKUP(E485,[1]Sheet1!$C:$E,3,FALSE)</f>
        <v>0</v>
      </c>
      <c r="D485" s="8" t="s">
        <v>514</v>
      </c>
      <c r="E485" s="10">
        <v>1109718462</v>
      </c>
      <c r="F485" s="8">
        <v>4.9</v>
      </c>
      <c r="G485" s="8">
        <v>1</v>
      </c>
      <c r="H485" s="14">
        <v>124.46</v>
      </c>
      <c r="I485" s="8">
        <v>139.6</v>
      </c>
      <c r="J485" s="8">
        <v>124.46</v>
      </c>
      <c r="K485" s="8">
        <v>119</v>
      </c>
      <c r="L485" s="11">
        <v>0.042</v>
      </c>
      <c r="M485" s="11">
        <v>0.2</v>
      </c>
      <c r="N485" s="11">
        <v>0.0084</v>
      </c>
      <c r="O485" s="8">
        <v>110</v>
      </c>
      <c r="P485" s="8">
        <v>9</v>
      </c>
      <c r="Q485" s="8">
        <v>0</v>
      </c>
      <c r="R485" s="11">
        <v>0.045</v>
      </c>
      <c r="S485" s="11">
        <v>0</v>
      </c>
      <c r="T485" s="11">
        <v>0.2</v>
      </c>
      <c r="U485" s="11">
        <v>0</v>
      </c>
      <c r="V485" s="11">
        <v>0.219</v>
      </c>
      <c r="W485" s="8">
        <v>0</v>
      </c>
      <c r="X485" s="8">
        <v>0</v>
      </c>
      <c r="Y485" s="8">
        <v>0</v>
      </c>
      <c r="Z485" s="8">
        <v>0</v>
      </c>
      <c r="AA485" s="11">
        <v>0</v>
      </c>
      <c r="AB485" s="11">
        <v>0</v>
      </c>
      <c r="AC485" s="11">
        <v>0</v>
      </c>
      <c r="AD485" s="11">
        <v>0</v>
      </c>
    </row>
    <row r="486" customFormat="1" ht="22" customHeight="1" spans="1:30">
      <c r="A486" s="8" t="s">
        <v>31</v>
      </c>
      <c r="B486" s="8" t="e">
        <f>VLOOKUP(E486,[1]Sheet1!$C:$E,2,FALSE)</f>
        <v>#N/A</v>
      </c>
      <c r="C486" s="8" t="e">
        <f>VLOOKUP(E486,[1]Sheet1!$C:$E,3,FALSE)</f>
        <v>#N/A</v>
      </c>
      <c r="D486" s="12" t="s">
        <v>515</v>
      </c>
      <c r="E486" s="13">
        <v>540520008</v>
      </c>
      <c r="F486" s="12">
        <v>4.6</v>
      </c>
      <c r="G486" s="8">
        <v>5</v>
      </c>
      <c r="H486" s="14">
        <v>124.3</v>
      </c>
      <c r="I486" s="8">
        <v>0</v>
      </c>
      <c r="J486" s="8">
        <v>24.86</v>
      </c>
      <c r="K486" s="8">
        <v>596</v>
      </c>
      <c r="L486" s="11">
        <v>0.067</v>
      </c>
      <c r="M486" s="11">
        <v>0.125</v>
      </c>
      <c r="N486" s="11">
        <v>0.0084</v>
      </c>
      <c r="O486" s="8">
        <v>0</v>
      </c>
      <c r="P486" s="8">
        <v>0</v>
      </c>
      <c r="Q486" s="8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0.118</v>
      </c>
      <c r="W486" s="8">
        <v>1</v>
      </c>
      <c r="X486" s="8">
        <v>1</v>
      </c>
      <c r="Y486" s="8">
        <v>0</v>
      </c>
      <c r="Z486" s="8">
        <v>0</v>
      </c>
      <c r="AA486" s="11">
        <v>0.2</v>
      </c>
      <c r="AB486" s="11">
        <v>1</v>
      </c>
      <c r="AC486" s="11">
        <v>0</v>
      </c>
      <c r="AD486" s="11">
        <v>0</v>
      </c>
    </row>
    <row r="487" customFormat="1" ht="22" customHeight="1" spans="1:30">
      <c r="A487" s="8" t="s">
        <v>31</v>
      </c>
      <c r="B487" s="8" t="str">
        <f>VLOOKUP(E487,[1]Sheet1!$C:$E,2,FALSE)</f>
        <v>岳贝贝</v>
      </c>
      <c r="C487" s="9" t="str">
        <f>VLOOKUP(E487,[1]Sheet1!$C:$E,3,FALSE)</f>
        <v>A</v>
      </c>
      <c r="D487" s="12" t="s">
        <v>516</v>
      </c>
      <c r="E487" s="13">
        <v>534324274</v>
      </c>
      <c r="F487" s="12">
        <v>4.7</v>
      </c>
      <c r="G487" s="8">
        <v>11</v>
      </c>
      <c r="H487" s="14">
        <v>123.25</v>
      </c>
      <c r="I487" s="8">
        <v>14.33</v>
      </c>
      <c r="J487" s="8">
        <v>11.2</v>
      </c>
      <c r="K487" s="8">
        <v>866</v>
      </c>
      <c r="L487" s="11">
        <v>0.07</v>
      </c>
      <c r="M487" s="11">
        <v>0.18</v>
      </c>
      <c r="N487" s="11">
        <v>0.0126</v>
      </c>
      <c r="O487" s="8">
        <v>714</v>
      </c>
      <c r="P487" s="8">
        <v>152</v>
      </c>
      <c r="Q487" s="8">
        <v>5</v>
      </c>
      <c r="R487" s="11">
        <v>0.063</v>
      </c>
      <c r="S487" s="11">
        <v>0.105</v>
      </c>
      <c r="T487" s="11">
        <v>0.133</v>
      </c>
      <c r="U487" s="11">
        <v>0.313</v>
      </c>
      <c r="V487" s="11">
        <v>0.212</v>
      </c>
      <c r="W487" s="8">
        <v>0</v>
      </c>
      <c r="X487" s="8">
        <v>0</v>
      </c>
      <c r="Y487" s="8">
        <v>0</v>
      </c>
      <c r="Z487" s="8">
        <v>0</v>
      </c>
      <c r="AA487" s="11">
        <v>0</v>
      </c>
      <c r="AB487" s="11">
        <v>0</v>
      </c>
      <c r="AC487" s="11">
        <v>0</v>
      </c>
      <c r="AD487" s="11">
        <v>0</v>
      </c>
    </row>
    <row r="488" customFormat="1" ht="22" customHeight="1" spans="1:30">
      <c r="A488" s="8" t="s">
        <v>31</v>
      </c>
      <c r="B488" s="8" t="e">
        <f>VLOOKUP(E488,[1]Sheet1!$C:$E,2,FALSE)</f>
        <v>#N/A</v>
      </c>
      <c r="C488" s="8" t="e">
        <f>VLOOKUP(E488,[1]Sheet1!$C:$E,3,FALSE)</f>
        <v>#N/A</v>
      </c>
      <c r="D488" s="8" t="s">
        <v>517</v>
      </c>
      <c r="E488" s="10">
        <v>543253916</v>
      </c>
      <c r="F488" s="8">
        <v>4.9</v>
      </c>
      <c r="G488" s="8">
        <v>12</v>
      </c>
      <c r="H488" s="14">
        <v>122.95</v>
      </c>
      <c r="I488" s="8">
        <v>22.44</v>
      </c>
      <c r="J488" s="8">
        <v>10.25</v>
      </c>
      <c r="K488" s="8">
        <v>618</v>
      </c>
      <c r="L488" s="11">
        <v>0.066</v>
      </c>
      <c r="M488" s="11">
        <v>0.293</v>
      </c>
      <c r="N488" s="11">
        <v>0.0193</v>
      </c>
      <c r="O488" s="8">
        <v>615</v>
      </c>
      <c r="P488" s="8">
        <v>3</v>
      </c>
      <c r="Q488" s="8">
        <v>0</v>
      </c>
      <c r="R488" s="11">
        <v>0.065</v>
      </c>
      <c r="S488" s="11">
        <v>0.333</v>
      </c>
      <c r="T488" s="11">
        <v>0.3</v>
      </c>
      <c r="U488" s="11">
        <v>0</v>
      </c>
      <c r="V488" s="11">
        <v>0.053</v>
      </c>
      <c r="W488" s="8">
        <v>1</v>
      </c>
      <c r="X488" s="8">
        <v>1</v>
      </c>
      <c r="Y488" s="8">
        <v>0</v>
      </c>
      <c r="Z488" s="8">
        <v>0</v>
      </c>
      <c r="AA488" s="11">
        <v>0.0833</v>
      </c>
      <c r="AB488" s="11">
        <v>1</v>
      </c>
      <c r="AC488" s="11">
        <v>0</v>
      </c>
      <c r="AD488" s="11">
        <v>0</v>
      </c>
    </row>
    <row r="489" customFormat="1" ht="22" customHeight="1" spans="1:30">
      <c r="A489" s="8" t="s">
        <v>31</v>
      </c>
      <c r="B489" s="8" t="e">
        <f>VLOOKUP(E489,[1]Sheet1!$C:$E,2,FALSE)</f>
        <v>#N/A</v>
      </c>
      <c r="C489" s="8" t="e">
        <f>VLOOKUP(E489,[1]Sheet1!$C:$E,3,FALSE)</f>
        <v>#N/A</v>
      </c>
      <c r="D489" s="8" t="s">
        <v>518</v>
      </c>
      <c r="E489" s="10">
        <v>545485032</v>
      </c>
      <c r="F489" s="8">
        <v>4.8</v>
      </c>
      <c r="G489" s="8">
        <v>9</v>
      </c>
      <c r="H489" s="14">
        <v>121.77</v>
      </c>
      <c r="I489" s="8">
        <v>20.06</v>
      </c>
      <c r="J489" s="8">
        <v>13.53</v>
      </c>
      <c r="K489" s="8">
        <v>1141</v>
      </c>
      <c r="L489" s="11">
        <v>0.055</v>
      </c>
      <c r="M489" s="11">
        <v>0.143</v>
      </c>
      <c r="N489" s="11">
        <v>0.0079</v>
      </c>
      <c r="O489" s="8">
        <v>1126</v>
      </c>
      <c r="P489" s="8">
        <v>15</v>
      </c>
      <c r="Q489" s="8">
        <v>1</v>
      </c>
      <c r="R489" s="11">
        <v>0.053</v>
      </c>
      <c r="S489" s="11">
        <v>0.2</v>
      </c>
      <c r="T489" s="11">
        <v>0.133</v>
      </c>
      <c r="U489" s="11">
        <v>0.333</v>
      </c>
      <c r="V489" s="11">
        <v>0.04</v>
      </c>
      <c r="W489" s="8">
        <v>0</v>
      </c>
      <c r="X489" s="8">
        <v>0</v>
      </c>
      <c r="Y489" s="8">
        <v>0</v>
      </c>
      <c r="Z489" s="8">
        <v>0</v>
      </c>
      <c r="AA489" s="11">
        <v>0</v>
      </c>
      <c r="AB489" s="11">
        <v>0</v>
      </c>
      <c r="AC489" s="11">
        <v>0</v>
      </c>
      <c r="AD489" s="11">
        <v>0</v>
      </c>
    </row>
    <row r="490" customFormat="1" ht="22" customHeight="1" spans="1:30">
      <c r="A490" s="8" t="s">
        <v>31</v>
      </c>
      <c r="B490" s="8" t="str">
        <f>VLOOKUP(E490,[1]Sheet1!$C:$E,2,FALSE)</f>
        <v>刘欢</v>
      </c>
      <c r="C490" s="8">
        <f>VLOOKUP(E490,[1]Sheet1!$C:$E,3,FALSE)</f>
        <v>0</v>
      </c>
      <c r="D490" s="12" t="s">
        <v>519</v>
      </c>
      <c r="E490" s="13">
        <v>543721478</v>
      </c>
      <c r="F490" s="12">
        <v>4.4</v>
      </c>
      <c r="G490" s="8">
        <v>8</v>
      </c>
      <c r="H490" s="14">
        <v>116.87</v>
      </c>
      <c r="I490" s="8">
        <v>20.04</v>
      </c>
      <c r="J490" s="8">
        <v>14.61</v>
      </c>
      <c r="K490" s="8">
        <v>551</v>
      </c>
      <c r="L490" s="11">
        <v>0.065</v>
      </c>
      <c r="M490" s="11">
        <v>0.222</v>
      </c>
      <c r="N490" s="11">
        <v>0.0144</v>
      </c>
      <c r="O490" s="8">
        <v>513</v>
      </c>
      <c r="P490" s="8">
        <v>38</v>
      </c>
      <c r="Q490" s="8">
        <v>1</v>
      </c>
      <c r="R490" s="11">
        <v>0.062</v>
      </c>
      <c r="S490" s="11">
        <v>0.105</v>
      </c>
      <c r="T490" s="11">
        <v>0.219</v>
      </c>
      <c r="U490" s="11">
        <v>0.25</v>
      </c>
      <c r="V490" s="11">
        <v>0.086</v>
      </c>
      <c r="W490" s="8">
        <v>1</v>
      </c>
      <c r="X490" s="8">
        <v>1</v>
      </c>
      <c r="Y490" s="8">
        <v>0</v>
      </c>
      <c r="Z490" s="8">
        <v>0</v>
      </c>
      <c r="AA490" s="11">
        <v>0.125</v>
      </c>
      <c r="AB490" s="11">
        <v>1</v>
      </c>
      <c r="AC490" s="11">
        <v>0</v>
      </c>
      <c r="AD490" s="11">
        <v>0</v>
      </c>
    </row>
    <row r="491" customFormat="1" ht="22" customHeight="1" spans="1:30">
      <c r="A491" s="8" t="s">
        <v>31</v>
      </c>
      <c r="B491" s="8" t="str">
        <f>VLOOKUP(E491,[1]Sheet1!$C:$E,2,FALSE)</f>
        <v>王森</v>
      </c>
      <c r="C491" s="9" t="str">
        <f>VLOOKUP(E491,[1]Sheet1!$C:$E,3,FALSE)</f>
        <v>A</v>
      </c>
      <c r="D491" s="8" t="s">
        <v>520</v>
      </c>
      <c r="E491" s="10">
        <v>1338061227</v>
      </c>
      <c r="F491" s="8">
        <v>4.8</v>
      </c>
      <c r="G491" s="8">
        <v>3</v>
      </c>
      <c r="H491" s="14">
        <v>116.4</v>
      </c>
      <c r="I491" s="8">
        <v>61.32</v>
      </c>
      <c r="J491" s="8">
        <v>38.8</v>
      </c>
      <c r="K491" s="8">
        <v>422</v>
      </c>
      <c r="L491" s="11">
        <v>0.076</v>
      </c>
      <c r="M491" s="11">
        <v>0.094</v>
      </c>
      <c r="N491" s="11">
        <v>0.0071</v>
      </c>
      <c r="O491" s="8">
        <v>355</v>
      </c>
      <c r="P491" s="8">
        <v>67</v>
      </c>
      <c r="Q491" s="8">
        <v>0</v>
      </c>
      <c r="R491" s="11">
        <v>0.079</v>
      </c>
      <c r="S491" s="11">
        <v>0.06</v>
      </c>
      <c r="T491" s="11">
        <v>0.107</v>
      </c>
      <c r="U491" s="11">
        <v>0</v>
      </c>
      <c r="V491" s="11">
        <v>0.154</v>
      </c>
      <c r="W491" s="8">
        <v>0</v>
      </c>
      <c r="X491" s="8">
        <v>0</v>
      </c>
      <c r="Y491" s="8">
        <v>0</v>
      </c>
      <c r="Z491" s="8">
        <v>0</v>
      </c>
      <c r="AA491" s="11">
        <v>0</v>
      </c>
      <c r="AB491" s="11">
        <v>0</v>
      </c>
      <c r="AC491" s="11">
        <v>0</v>
      </c>
      <c r="AD491" s="11">
        <v>0</v>
      </c>
    </row>
    <row r="492" customFormat="1" ht="22" customHeight="1" spans="1:30">
      <c r="A492" s="8" t="s">
        <v>31</v>
      </c>
      <c r="B492" s="8" t="str">
        <f>VLOOKUP(E492,[1]Sheet1!$C:$E,2,FALSE)</f>
        <v>刘欢</v>
      </c>
      <c r="C492" s="8" t="str">
        <f>VLOOKUP(E492,[1]Sheet1!$C:$E,3,FALSE)</f>
        <v>C</v>
      </c>
      <c r="D492" s="8" t="s">
        <v>521</v>
      </c>
      <c r="E492" s="10">
        <v>536892026</v>
      </c>
      <c r="F492" s="8">
        <v>4.8</v>
      </c>
      <c r="G492" s="8">
        <v>4</v>
      </c>
      <c r="H492" s="14">
        <v>116.13</v>
      </c>
      <c r="I492" s="8">
        <v>39.63</v>
      </c>
      <c r="J492" s="8">
        <v>29.03</v>
      </c>
      <c r="K492" s="8">
        <v>366</v>
      </c>
      <c r="L492" s="11">
        <v>0.087</v>
      </c>
      <c r="M492" s="11">
        <v>0.094</v>
      </c>
      <c r="N492" s="11">
        <v>0.0082</v>
      </c>
      <c r="O492" s="8">
        <v>319</v>
      </c>
      <c r="P492" s="8">
        <v>47</v>
      </c>
      <c r="Q492" s="8">
        <v>1</v>
      </c>
      <c r="R492" s="11">
        <v>0.066</v>
      </c>
      <c r="S492" s="11">
        <v>0.234</v>
      </c>
      <c r="T492" s="11">
        <v>0.095</v>
      </c>
      <c r="U492" s="11">
        <v>0.091</v>
      </c>
      <c r="V492" s="11">
        <v>0.216</v>
      </c>
      <c r="W492" s="8">
        <v>0</v>
      </c>
      <c r="X492" s="8">
        <v>0</v>
      </c>
      <c r="Y492" s="8">
        <v>0</v>
      </c>
      <c r="Z492" s="8">
        <v>0</v>
      </c>
      <c r="AA492" s="11">
        <v>0</v>
      </c>
      <c r="AB492" s="11">
        <v>0</v>
      </c>
      <c r="AC492" s="11">
        <v>0</v>
      </c>
      <c r="AD492" s="11">
        <v>0</v>
      </c>
    </row>
    <row r="493" customFormat="1" ht="22" customHeight="1" spans="1:30">
      <c r="A493" s="8" t="s">
        <v>31</v>
      </c>
      <c r="B493" s="8" t="e">
        <f>VLOOKUP(E493,[1]Sheet1!$C:$E,2,FALSE)</f>
        <v>#N/A</v>
      </c>
      <c r="C493" s="8" t="e">
        <f>VLOOKUP(E493,[1]Sheet1!$C:$E,3,FALSE)</f>
        <v>#N/A</v>
      </c>
      <c r="D493" s="8" t="s">
        <v>522</v>
      </c>
      <c r="E493" s="10">
        <v>524670185</v>
      </c>
      <c r="F493" s="8">
        <v>4.9</v>
      </c>
      <c r="G493" s="8">
        <v>5</v>
      </c>
      <c r="H493" s="14">
        <v>115.74</v>
      </c>
      <c r="I493" s="8">
        <v>0</v>
      </c>
      <c r="J493" s="8">
        <v>23.15</v>
      </c>
      <c r="K493" s="8">
        <v>300</v>
      </c>
      <c r="L493" s="11">
        <v>0.093</v>
      </c>
      <c r="M493" s="11">
        <v>0.179</v>
      </c>
      <c r="N493" s="11">
        <v>0.0166</v>
      </c>
      <c r="O493" s="8">
        <v>0</v>
      </c>
      <c r="P493" s="8">
        <v>0</v>
      </c>
      <c r="Q493" s="8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0.293</v>
      </c>
      <c r="W493" s="8">
        <v>0</v>
      </c>
      <c r="X493" s="8">
        <v>0</v>
      </c>
      <c r="Y493" s="8">
        <v>0</v>
      </c>
      <c r="Z493" s="8">
        <v>0</v>
      </c>
      <c r="AA493" s="11">
        <v>0</v>
      </c>
      <c r="AB493" s="11">
        <v>0</v>
      </c>
      <c r="AC493" s="11">
        <v>0</v>
      </c>
      <c r="AD493" s="11">
        <v>0</v>
      </c>
    </row>
    <row r="494" customFormat="1" ht="22" customHeight="1" spans="1:30">
      <c r="A494" s="8" t="s">
        <v>31</v>
      </c>
      <c r="B494" s="8" t="e">
        <f>VLOOKUP(E494,[1]Sheet1!$C:$E,2,FALSE)</f>
        <v>#N/A</v>
      </c>
      <c r="C494" s="8" t="e">
        <f>VLOOKUP(E494,[1]Sheet1!$C:$E,3,FALSE)</f>
        <v>#N/A</v>
      </c>
      <c r="D494" s="8" t="s">
        <v>523</v>
      </c>
      <c r="E494" s="10">
        <v>515341767</v>
      </c>
      <c r="F494" s="8">
        <v>4.8</v>
      </c>
      <c r="G494" s="8">
        <v>6</v>
      </c>
      <c r="H494" s="14">
        <v>115.16</v>
      </c>
      <c r="I494" s="8">
        <v>0</v>
      </c>
      <c r="J494" s="8">
        <v>19.19</v>
      </c>
      <c r="K494" s="8">
        <v>532</v>
      </c>
      <c r="L494" s="11">
        <v>0.071</v>
      </c>
      <c r="M494" s="11">
        <v>0.158</v>
      </c>
      <c r="N494" s="11">
        <v>0.0112</v>
      </c>
      <c r="O494" s="8">
        <v>0</v>
      </c>
      <c r="P494" s="8">
        <v>0</v>
      </c>
      <c r="Q494" s="8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0.134</v>
      </c>
      <c r="W494" s="8">
        <v>0</v>
      </c>
      <c r="X494" s="8">
        <v>0</v>
      </c>
      <c r="Y494" s="8">
        <v>0</v>
      </c>
      <c r="Z494" s="8">
        <v>0</v>
      </c>
      <c r="AA494" s="11">
        <v>0</v>
      </c>
      <c r="AB494" s="11">
        <v>0</v>
      </c>
      <c r="AC494" s="11">
        <v>0</v>
      </c>
      <c r="AD494" s="11">
        <v>0</v>
      </c>
    </row>
    <row r="495" customFormat="1" ht="22" customHeight="1" spans="1:30">
      <c r="A495" s="8" t="s">
        <v>31</v>
      </c>
      <c r="B495" s="8" t="e">
        <f>VLOOKUP(E495,[1]Sheet1!$C:$E,2,FALSE)</f>
        <v>#N/A</v>
      </c>
      <c r="C495" s="8" t="e">
        <f>VLOOKUP(E495,[1]Sheet1!$C:$E,3,FALSE)</f>
        <v>#N/A</v>
      </c>
      <c r="D495" s="12" t="s">
        <v>524</v>
      </c>
      <c r="E495" s="13">
        <v>1184985211</v>
      </c>
      <c r="F495" s="12">
        <v>4.5</v>
      </c>
      <c r="G495" s="8">
        <v>9</v>
      </c>
      <c r="H495" s="14">
        <v>115.11</v>
      </c>
      <c r="I495" s="8">
        <v>18.64</v>
      </c>
      <c r="J495" s="8">
        <v>12.79</v>
      </c>
      <c r="K495" s="8">
        <v>721</v>
      </c>
      <c r="L495" s="11">
        <v>0.068</v>
      </c>
      <c r="M495" s="11">
        <v>0.184</v>
      </c>
      <c r="N495" s="11">
        <v>0.0125</v>
      </c>
      <c r="O495" s="8">
        <v>645</v>
      </c>
      <c r="P495" s="8">
        <v>76</v>
      </c>
      <c r="Q495" s="8">
        <v>4</v>
      </c>
      <c r="R495" s="11">
        <v>0.065</v>
      </c>
      <c r="S495" s="11">
        <v>0.092</v>
      </c>
      <c r="T495" s="11">
        <v>0.119</v>
      </c>
      <c r="U495" s="11">
        <v>0.571</v>
      </c>
      <c r="V495" s="11">
        <v>0.219</v>
      </c>
      <c r="W495" s="8">
        <v>0</v>
      </c>
      <c r="X495" s="8">
        <v>0</v>
      </c>
      <c r="Y495" s="8">
        <v>0</v>
      </c>
      <c r="Z495" s="8">
        <v>0</v>
      </c>
      <c r="AA495" s="11">
        <v>0</v>
      </c>
      <c r="AB495" s="11">
        <v>0</v>
      </c>
      <c r="AC495" s="11">
        <v>0</v>
      </c>
      <c r="AD495" s="11">
        <v>0</v>
      </c>
    </row>
    <row r="496" customFormat="1" ht="22" customHeight="1" spans="1:30">
      <c r="A496" s="8" t="s">
        <v>31</v>
      </c>
      <c r="B496" s="8" t="str">
        <f>VLOOKUP(E496,[1]Sheet1!$C:$E,2,FALSE)</f>
        <v>刘欢</v>
      </c>
      <c r="C496" s="8">
        <f>VLOOKUP(E496,[1]Sheet1!$C:$E,3,FALSE)</f>
        <v>0</v>
      </c>
      <c r="D496" s="12" t="s">
        <v>525</v>
      </c>
      <c r="E496" s="13">
        <v>531318362</v>
      </c>
      <c r="F496" s="12">
        <v>4.5</v>
      </c>
      <c r="G496" s="8">
        <v>7</v>
      </c>
      <c r="H496" s="14">
        <v>114.3</v>
      </c>
      <c r="I496" s="8">
        <v>17.6</v>
      </c>
      <c r="J496" s="8">
        <v>16.33</v>
      </c>
      <c r="K496" s="8">
        <v>509</v>
      </c>
      <c r="L496" s="11">
        <v>0.061</v>
      </c>
      <c r="M496" s="11">
        <v>0.226</v>
      </c>
      <c r="N496" s="11">
        <v>0.0138</v>
      </c>
      <c r="O496" s="8">
        <v>472</v>
      </c>
      <c r="P496" s="8">
        <v>37</v>
      </c>
      <c r="Q496" s="8">
        <v>3</v>
      </c>
      <c r="R496" s="11">
        <v>0.055</v>
      </c>
      <c r="S496" s="11">
        <v>0.135</v>
      </c>
      <c r="T496" s="11">
        <v>0.154</v>
      </c>
      <c r="U496" s="11">
        <v>0.6</v>
      </c>
      <c r="V496" s="11">
        <v>0.142</v>
      </c>
      <c r="W496" s="8">
        <v>0</v>
      </c>
      <c r="X496" s="8">
        <v>0</v>
      </c>
      <c r="Y496" s="8">
        <v>0</v>
      </c>
      <c r="Z496" s="8">
        <v>0</v>
      </c>
      <c r="AA496" s="11">
        <v>0</v>
      </c>
      <c r="AB496" s="11">
        <v>0</v>
      </c>
      <c r="AC496" s="11">
        <v>0</v>
      </c>
      <c r="AD496" s="11">
        <v>0</v>
      </c>
    </row>
    <row r="497" customFormat="1" ht="22" customHeight="1" spans="1:30">
      <c r="A497" s="8" t="s">
        <v>31</v>
      </c>
      <c r="B497" s="8" t="str">
        <f>VLOOKUP(E497,[1]Sheet1!$C:$E,2,FALSE)</f>
        <v>岳贝贝</v>
      </c>
      <c r="C497" s="8" t="str">
        <f>VLOOKUP(E497,[1]Sheet1!$C:$E,3,FALSE)</f>
        <v>B</v>
      </c>
      <c r="D497" s="12" t="s">
        <v>526</v>
      </c>
      <c r="E497" s="13">
        <v>1351585340</v>
      </c>
      <c r="F497" s="12">
        <v>4.7</v>
      </c>
      <c r="G497" s="8">
        <v>13</v>
      </c>
      <c r="H497" s="14">
        <v>114.25</v>
      </c>
      <c r="I497" s="8">
        <v>14.62</v>
      </c>
      <c r="J497" s="8">
        <v>8.79</v>
      </c>
      <c r="K497" s="8">
        <v>1045</v>
      </c>
      <c r="L497" s="11">
        <v>0.051</v>
      </c>
      <c r="M497" s="11">
        <v>0.245</v>
      </c>
      <c r="N497" s="11">
        <v>0.0125</v>
      </c>
      <c r="O497" s="8">
        <v>943</v>
      </c>
      <c r="P497" s="8">
        <v>102</v>
      </c>
      <c r="Q497" s="8">
        <v>3</v>
      </c>
      <c r="R497" s="11">
        <v>0.051</v>
      </c>
      <c r="S497" s="11">
        <v>0.049</v>
      </c>
      <c r="T497" s="11">
        <v>0.208</v>
      </c>
      <c r="U497" s="11">
        <v>0.6</v>
      </c>
      <c r="V497" s="11">
        <v>0.18</v>
      </c>
      <c r="W497" s="8">
        <v>1</v>
      </c>
      <c r="X497" s="8">
        <v>1</v>
      </c>
      <c r="Y497" s="8">
        <v>0</v>
      </c>
      <c r="Z497" s="8">
        <v>0</v>
      </c>
      <c r="AA497" s="11">
        <v>0.0769</v>
      </c>
      <c r="AB497" s="11">
        <v>1</v>
      </c>
      <c r="AC497" s="11">
        <v>0</v>
      </c>
      <c r="AD497" s="11">
        <v>0</v>
      </c>
    </row>
    <row r="498" customFormat="1" ht="22" customHeight="1" spans="1:30">
      <c r="A498" s="8" t="s">
        <v>31</v>
      </c>
      <c r="B498" s="8" t="e">
        <f>VLOOKUP(E498,[1]Sheet1!$C:$E,2,FALSE)</f>
        <v>#N/A</v>
      </c>
      <c r="C498" s="8" t="e">
        <f>VLOOKUP(E498,[1]Sheet1!$C:$E,3,FALSE)</f>
        <v>#N/A</v>
      </c>
      <c r="D498" s="8" t="s">
        <v>527</v>
      </c>
      <c r="E498" s="10">
        <v>1348257007</v>
      </c>
      <c r="F498" s="8">
        <v>4.9</v>
      </c>
      <c r="G498" s="8">
        <v>10</v>
      </c>
      <c r="H498" s="14">
        <v>113.7</v>
      </c>
      <c r="I498" s="8">
        <v>16.04</v>
      </c>
      <c r="J498" s="8">
        <v>11.37</v>
      </c>
      <c r="K498" s="8">
        <v>688</v>
      </c>
      <c r="L498" s="11">
        <v>0.071</v>
      </c>
      <c r="M498" s="11">
        <v>0.204</v>
      </c>
      <c r="N498" s="11">
        <v>0.0145</v>
      </c>
      <c r="O498" s="8">
        <v>628</v>
      </c>
      <c r="P498" s="8">
        <v>60</v>
      </c>
      <c r="Q498" s="8">
        <v>6</v>
      </c>
      <c r="R498" s="11">
        <v>0.065</v>
      </c>
      <c r="S498" s="11">
        <v>0.133</v>
      </c>
      <c r="T498" s="11">
        <v>0.098</v>
      </c>
      <c r="U498" s="11">
        <v>0.75</v>
      </c>
      <c r="V498" s="11">
        <v>0.13</v>
      </c>
      <c r="W498" s="8">
        <v>0</v>
      </c>
      <c r="X498" s="8">
        <v>0</v>
      </c>
      <c r="Y498" s="8">
        <v>0</v>
      </c>
      <c r="Z498" s="8">
        <v>0</v>
      </c>
      <c r="AA498" s="11">
        <v>0</v>
      </c>
      <c r="AB498" s="11">
        <v>0</v>
      </c>
      <c r="AC498" s="11">
        <v>0</v>
      </c>
      <c r="AD498" s="11">
        <v>0</v>
      </c>
    </row>
    <row r="499" customFormat="1" ht="22" customHeight="1" spans="1:30">
      <c r="A499" s="8" t="s">
        <v>31</v>
      </c>
      <c r="B499" s="8" t="str">
        <f>VLOOKUP(E499,[1]Sheet1!$C:$E,2,FALSE)</f>
        <v>刘欢</v>
      </c>
      <c r="C499" s="8" t="str">
        <f>VLOOKUP(E499,[1]Sheet1!$C:$E,3,FALSE)</f>
        <v>C</v>
      </c>
      <c r="D499" s="8" t="s">
        <v>528</v>
      </c>
      <c r="E499" s="10">
        <v>544968962</v>
      </c>
      <c r="F499" s="8">
        <v>4.8</v>
      </c>
      <c r="G499" s="8">
        <v>8</v>
      </c>
      <c r="H499" s="14">
        <v>113.06</v>
      </c>
      <c r="I499" s="8">
        <v>22.9</v>
      </c>
      <c r="J499" s="8">
        <v>14.13</v>
      </c>
      <c r="K499" s="8">
        <v>1156</v>
      </c>
      <c r="L499" s="11">
        <v>0.044</v>
      </c>
      <c r="M499" s="11">
        <v>0.157</v>
      </c>
      <c r="N499" s="11">
        <v>0.0069</v>
      </c>
      <c r="O499" s="8">
        <v>1108</v>
      </c>
      <c r="P499" s="8">
        <v>48</v>
      </c>
      <c r="Q499" s="8">
        <v>4</v>
      </c>
      <c r="R499" s="11">
        <v>0.04</v>
      </c>
      <c r="S499" s="11">
        <v>0.146</v>
      </c>
      <c r="T499" s="11">
        <v>0.091</v>
      </c>
      <c r="U499" s="11">
        <v>0.571</v>
      </c>
      <c r="V499" s="11">
        <v>0.158</v>
      </c>
      <c r="W499" s="8">
        <v>0</v>
      </c>
      <c r="X499" s="8">
        <v>0</v>
      </c>
      <c r="Y499" s="8">
        <v>0</v>
      </c>
      <c r="Z499" s="8">
        <v>0</v>
      </c>
      <c r="AA499" s="11">
        <v>0</v>
      </c>
      <c r="AB499" s="11">
        <v>0</v>
      </c>
      <c r="AC499" s="11">
        <v>0</v>
      </c>
      <c r="AD499" s="11">
        <v>0</v>
      </c>
    </row>
    <row r="500" customFormat="1" ht="22" customHeight="1" spans="1:30">
      <c r="A500" s="8" t="s">
        <v>31</v>
      </c>
      <c r="B500" s="8" t="str">
        <f>VLOOKUP(E500,[1]Sheet1!$C:$E,2,FALSE)</f>
        <v>刘欢</v>
      </c>
      <c r="C500" s="8" t="str">
        <f>VLOOKUP(E500,[1]Sheet1!$C:$E,3,FALSE)</f>
        <v>C</v>
      </c>
      <c r="D500" s="8" t="s">
        <v>529</v>
      </c>
      <c r="E500" s="10">
        <v>1351707985</v>
      </c>
      <c r="F500" s="8">
        <v>4.8</v>
      </c>
      <c r="G500" s="8">
        <v>4</v>
      </c>
      <c r="H500" s="14">
        <v>109.99</v>
      </c>
      <c r="I500" s="8">
        <v>33.65</v>
      </c>
      <c r="J500" s="8">
        <v>27.5</v>
      </c>
      <c r="K500" s="8">
        <v>1551</v>
      </c>
      <c r="L500" s="11">
        <v>0.047</v>
      </c>
      <c r="M500" s="11">
        <v>0.055</v>
      </c>
      <c r="N500" s="11">
        <v>0.0026</v>
      </c>
      <c r="O500" s="8">
        <v>1516</v>
      </c>
      <c r="P500" s="8">
        <v>35</v>
      </c>
      <c r="Q500" s="8">
        <v>0</v>
      </c>
      <c r="R500" s="11">
        <v>0.047</v>
      </c>
      <c r="S500" s="11">
        <v>0.057</v>
      </c>
      <c r="T500" s="11">
        <v>0.056</v>
      </c>
      <c r="U500" s="11">
        <v>0</v>
      </c>
      <c r="V500" s="11">
        <v>0.176</v>
      </c>
      <c r="W500" s="8">
        <v>0</v>
      </c>
      <c r="X500" s="8">
        <v>0</v>
      </c>
      <c r="Y500" s="8">
        <v>0</v>
      </c>
      <c r="Z500" s="8">
        <v>0</v>
      </c>
      <c r="AA500" s="11">
        <v>0</v>
      </c>
      <c r="AB500" s="11">
        <v>0</v>
      </c>
      <c r="AC500" s="11">
        <v>0</v>
      </c>
      <c r="AD500" s="11">
        <v>0</v>
      </c>
    </row>
    <row r="501" customFormat="1" ht="22" customHeight="1" spans="1:30">
      <c r="A501" s="8" t="s">
        <v>31</v>
      </c>
      <c r="B501" s="8" t="e">
        <f>VLOOKUP(E501,[1]Sheet1!$C:$E,2,FALSE)</f>
        <v>#N/A</v>
      </c>
      <c r="C501" s="8" t="e">
        <f>VLOOKUP(E501,[1]Sheet1!$C:$E,3,FALSE)</f>
        <v>#N/A</v>
      </c>
      <c r="D501" s="12" t="s">
        <v>530</v>
      </c>
      <c r="E501" s="13">
        <v>1306245569</v>
      </c>
      <c r="F501" s="12">
        <v>4.3</v>
      </c>
      <c r="G501" s="8">
        <v>11</v>
      </c>
      <c r="H501" s="14">
        <v>108.21</v>
      </c>
      <c r="I501" s="8">
        <v>0</v>
      </c>
      <c r="J501" s="8">
        <v>9.84</v>
      </c>
      <c r="K501" s="8">
        <v>373</v>
      </c>
      <c r="L501" s="11">
        <v>0.067</v>
      </c>
      <c r="M501" s="11">
        <v>0.4</v>
      </c>
      <c r="N501" s="11">
        <v>0.0268</v>
      </c>
      <c r="O501" s="8">
        <v>0</v>
      </c>
      <c r="P501" s="8">
        <v>0</v>
      </c>
      <c r="Q501" s="8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0.122</v>
      </c>
      <c r="W501" s="8">
        <v>1</v>
      </c>
      <c r="X501" s="8">
        <v>1</v>
      </c>
      <c r="Y501" s="8">
        <v>0</v>
      </c>
      <c r="Z501" s="8">
        <v>0</v>
      </c>
      <c r="AA501" s="11">
        <v>0.0909</v>
      </c>
      <c r="AB501" s="11">
        <v>1</v>
      </c>
      <c r="AC501" s="11">
        <v>0</v>
      </c>
      <c r="AD501" s="11">
        <v>0</v>
      </c>
    </row>
    <row r="502" customFormat="1" ht="22" customHeight="1" spans="1:30">
      <c r="A502" s="8" t="s">
        <v>31</v>
      </c>
      <c r="B502" s="8" t="e">
        <f>VLOOKUP(E502,[1]Sheet1!$C:$E,2,FALSE)</f>
        <v>#N/A</v>
      </c>
      <c r="C502" s="8" t="e">
        <f>VLOOKUP(E502,[1]Sheet1!$C:$E,3,FALSE)</f>
        <v>#N/A</v>
      </c>
      <c r="D502" s="8" t="s">
        <v>531</v>
      </c>
      <c r="E502" s="10">
        <v>545423115</v>
      </c>
      <c r="F502" s="8">
        <v>4.9</v>
      </c>
      <c r="G502" s="8">
        <v>8</v>
      </c>
      <c r="H502" s="14">
        <v>107.65</v>
      </c>
      <c r="I502" s="8">
        <v>15.98</v>
      </c>
      <c r="J502" s="8">
        <v>13.46</v>
      </c>
      <c r="K502" s="8">
        <v>790</v>
      </c>
      <c r="L502" s="11">
        <v>0.046</v>
      </c>
      <c r="M502" s="11">
        <v>0.222</v>
      </c>
      <c r="N502" s="11">
        <v>0.0102</v>
      </c>
      <c r="O502" s="8">
        <v>775</v>
      </c>
      <c r="P502" s="8">
        <v>15</v>
      </c>
      <c r="Q502" s="8">
        <v>2</v>
      </c>
      <c r="R502" s="11">
        <v>0.043</v>
      </c>
      <c r="S502" s="11">
        <v>0.2</v>
      </c>
      <c r="T502" s="11">
        <v>0.182</v>
      </c>
      <c r="U502" s="11">
        <v>0.667</v>
      </c>
      <c r="V502" s="11">
        <v>0.094</v>
      </c>
      <c r="W502" s="8">
        <v>5</v>
      </c>
      <c r="X502" s="8">
        <v>5</v>
      </c>
      <c r="Y502" s="8">
        <v>0</v>
      </c>
      <c r="Z502" s="8">
        <v>0</v>
      </c>
      <c r="AA502" s="11">
        <v>0.625</v>
      </c>
      <c r="AB502" s="11">
        <v>1</v>
      </c>
      <c r="AC502" s="11">
        <v>0</v>
      </c>
      <c r="AD502" s="11">
        <v>0</v>
      </c>
    </row>
    <row r="503" customFormat="1" ht="22" customHeight="1" spans="1:30">
      <c r="A503" s="8" t="s">
        <v>31</v>
      </c>
      <c r="B503" s="8" t="str">
        <f>VLOOKUP(E503,[1]Sheet1!$C:$E,2,FALSE)</f>
        <v>刘欢</v>
      </c>
      <c r="C503" s="8" t="str">
        <f>VLOOKUP(E503,[1]Sheet1!$C:$E,3,FALSE)</f>
        <v>B</v>
      </c>
      <c r="D503" s="8" t="s">
        <v>532</v>
      </c>
      <c r="E503" s="10">
        <v>1155428402</v>
      </c>
      <c r="F503" s="8">
        <v>4.8</v>
      </c>
      <c r="G503" s="8">
        <v>10</v>
      </c>
      <c r="H503" s="14">
        <v>106.68</v>
      </c>
      <c r="I503" s="8">
        <v>18.58</v>
      </c>
      <c r="J503" s="8">
        <v>10.67</v>
      </c>
      <c r="K503" s="8">
        <v>697</v>
      </c>
      <c r="L503" s="11">
        <v>0.042</v>
      </c>
      <c r="M503" s="11">
        <v>0.276</v>
      </c>
      <c r="N503" s="11">
        <v>0.0116</v>
      </c>
      <c r="O503" s="8">
        <v>598</v>
      </c>
      <c r="P503" s="8">
        <v>99</v>
      </c>
      <c r="Q503" s="8">
        <v>2</v>
      </c>
      <c r="R503" s="11">
        <v>0.04</v>
      </c>
      <c r="S503" s="11">
        <v>0.051</v>
      </c>
      <c r="T503" s="11">
        <v>0.25</v>
      </c>
      <c r="U503" s="11">
        <v>0.4</v>
      </c>
      <c r="V503" s="11">
        <v>0.128</v>
      </c>
      <c r="W503" s="8">
        <v>0</v>
      </c>
      <c r="X503" s="8">
        <v>0</v>
      </c>
      <c r="Y503" s="8">
        <v>0</v>
      </c>
      <c r="Z503" s="8">
        <v>0</v>
      </c>
      <c r="AA503" s="11">
        <v>0</v>
      </c>
      <c r="AB503" s="11">
        <v>0</v>
      </c>
      <c r="AC503" s="11">
        <v>0</v>
      </c>
      <c r="AD503" s="11">
        <v>0</v>
      </c>
    </row>
    <row r="504" customFormat="1" ht="22" customHeight="1" spans="1:30">
      <c r="A504" s="8" t="s">
        <v>31</v>
      </c>
      <c r="B504" s="8" t="str">
        <f>VLOOKUP(E504,[1]Sheet1!$C:$E,2,FALSE)</f>
        <v>刘欢</v>
      </c>
      <c r="C504" s="8">
        <f>VLOOKUP(E504,[1]Sheet1!$C:$E,3,FALSE)</f>
        <v>0</v>
      </c>
      <c r="D504" s="12" t="s">
        <v>533</v>
      </c>
      <c r="E504" s="13">
        <v>544035963</v>
      </c>
      <c r="F504" s="12">
        <v>4.4</v>
      </c>
      <c r="G504" s="8">
        <v>7</v>
      </c>
      <c r="H504" s="14">
        <v>106.61</v>
      </c>
      <c r="I504" s="8">
        <v>22.19</v>
      </c>
      <c r="J504" s="8">
        <v>15.23</v>
      </c>
      <c r="K504" s="8">
        <v>1975</v>
      </c>
      <c r="L504" s="11">
        <v>0.021</v>
      </c>
      <c r="M504" s="11">
        <v>0.171</v>
      </c>
      <c r="N504" s="11">
        <v>0.0036</v>
      </c>
      <c r="O504" s="8">
        <v>1921</v>
      </c>
      <c r="P504" s="8">
        <v>54</v>
      </c>
      <c r="Q504" s="8">
        <v>3</v>
      </c>
      <c r="R504" s="11">
        <v>0.021</v>
      </c>
      <c r="S504" s="11">
        <v>0.019</v>
      </c>
      <c r="T504" s="11">
        <v>0.1</v>
      </c>
      <c r="U504" s="11">
        <v>3</v>
      </c>
      <c r="V504" s="11">
        <v>0.095</v>
      </c>
      <c r="W504" s="8">
        <v>0</v>
      </c>
      <c r="X504" s="8">
        <v>0</v>
      </c>
      <c r="Y504" s="8">
        <v>0</v>
      </c>
      <c r="Z504" s="8">
        <v>0</v>
      </c>
      <c r="AA504" s="11">
        <v>0</v>
      </c>
      <c r="AB504" s="11">
        <v>0</v>
      </c>
      <c r="AC504" s="11">
        <v>0</v>
      </c>
      <c r="AD504" s="11">
        <v>0</v>
      </c>
    </row>
    <row r="505" customFormat="1" ht="22" customHeight="1" spans="1:30">
      <c r="A505" s="8" t="s">
        <v>31</v>
      </c>
      <c r="B505" s="8" t="str">
        <f>VLOOKUP(E505,[1]Sheet1!$C:$E,2,FALSE)</f>
        <v>王森</v>
      </c>
      <c r="C505" s="9" t="str">
        <f>VLOOKUP(E505,[1]Sheet1!$C:$E,3,FALSE)</f>
        <v>S</v>
      </c>
      <c r="D505" s="8" t="s">
        <v>534</v>
      </c>
      <c r="E505" s="10">
        <v>543737196</v>
      </c>
      <c r="F505" s="8">
        <v>4.8</v>
      </c>
      <c r="G505" s="8">
        <v>6</v>
      </c>
      <c r="H505" s="14">
        <v>104</v>
      </c>
      <c r="I505" s="8">
        <v>0</v>
      </c>
      <c r="J505" s="8">
        <v>17.33</v>
      </c>
      <c r="K505" s="8">
        <v>463</v>
      </c>
      <c r="L505" s="11">
        <v>0.08</v>
      </c>
      <c r="M505" s="11">
        <v>0.162</v>
      </c>
      <c r="N505" s="11">
        <v>0.013</v>
      </c>
      <c r="O505" s="8">
        <v>0</v>
      </c>
      <c r="P505" s="8">
        <v>0</v>
      </c>
      <c r="Q505" s="8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0.158</v>
      </c>
      <c r="W505" s="8">
        <v>0</v>
      </c>
      <c r="X505" s="8">
        <v>0</v>
      </c>
      <c r="Y505" s="8">
        <v>0</v>
      </c>
      <c r="Z505" s="8">
        <v>0</v>
      </c>
      <c r="AA505" s="11">
        <v>0</v>
      </c>
      <c r="AB505" s="11">
        <v>0</v>
      </c>
      <c r="AC505" s="11">
        <v>0</v>
      </c>
      <c r="AD505" s="11">
        <v>0</v>
      </c>
    </row>
    <row r="506" customFormat="1" ht="22" customHeight="1" spans="1:30">
      <c r="A506" s="8" t="s">
        <v>31</v>
      </c>
      <c r="B506" s="8" t="str">
        <f>VLOOKUP(E506,[1]Sheet1!$C:$E,2,FALSE)</f>
        <v>岳贝贝</v>
      </c>
      <c r="C506" s="8" t="str">
        <f>VLOOKUP(E506,[1]Sheet1!$C:$E,3,FALSE)</f>
        <v>B</v>
      </c>
      <c r="D506" s="8" t="s">
        <v>535</v>
      </c>
      <c r="E506" s="10">
        <v>1347193412</v>
      </c>
      <c r="F506" s="8">
        <v>4.8</v>
      </c>
      <c r="G506" s="8">
        <v>4</v>
      </c>
      <c r="H506" s="14">
        <v>103</v>
      </c>
      <c r="I506" s="8">
        <v>0</v>
      </c>
      <c r="J506" s="8">
        <v>25.75</v>
      </c>
      <c r="K506" s="8">
        <v>258</v>
      </c>
      <c r="L506" s="11">
        <v>0.109</v>
      </c>
      <c r="M506" s="11">
        <v>0.143</v>
      </c>
      <c r="N506" s="11">
        <v>0.0156</v>
      </c>
      <c r="O506" s="8">
        <v>0</v>
      </c>
      <c r="P506" s="8">
        <v>0</v>
      </c>
      <c r="Q506" s="8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0.127</v>
      </c>
      <c r="W506" s="8">
        <v>0</v>
      </c>
      <c r="X506" s="8">
        <v>0</v>
      </c>
      <c r="Y506" s="8">
        <v>0</v>
      </c>
      <c r="Z506" s="8">
        <v>0</v>
      </c>
      <c r="AA506" s="11">
        <v>0</v>
      </c>
      <c r="AB506" s="11">
        <v>0</v>
      </c>
      <c r="AC506" s="11">
        <v>0</v>
      </c>
      <c r="AD506" s="11">
        <v>0</v>
      </c>
    </row>
    <row r="507" customFormat="1" ht="22" customHeight="1" spans="1:30">
      <c r="A507" s="8" t="s">
        <v>31</v>
      </c>
      <c r="B507" s="8" t="str">
        <f>VLOOKUP(E507,[1]Sheet1!$C:$E,2,FALSE)</f>
        <v>王森</v>
      </c>
      <c r="C507" s="8">
        <f>VLOOKUP(E507,[1]Sheet1!$C:$E,3,FALSE)</f>
        <v>0</v>
      </c>
      <c r="D507" s="8" t="s">
        <v>536</v>
      </c>
      <c r="E507" s="10">
        <v>1246750176</v>
      </c>
      <c r="F507" s="8">
        <v>4.8</v>
      </c>
      <c r="G507" s="8">
        <v>10</v>
      </c>
      <c r="H507" s="14">
        <v>101.28</v>
      </c>
      <c r="I507" s="8">
        <v>12.88</v>
      </c>
      <c r="J507" s="8">
        <v>10.13</v>
      </c>
      <c r="K507" s="8">
        <v>605</v>
      </c>
      <c r="L507" s="11">
        <v>0.053</v>
      </c>
      <c r="M507" s="11">
        <v>0.25</v>
      </c>
      <c r="N507" s="11">
        <v>0.0133</v>
      </c>
      <c r="O507" s="8">
        <v>534</v>
      </c>
      <c r="P507" s="8">
        <v>71</v>
      </c>
      <c r="Q507" s="8">
        <v>6</v>
      </c>
      <c r="R507" s="11">
        <v>0.041</v>
      </c>
      <c r="S507" s="11">
        <v>0.141</v>
      </c>
      <c r="T507" s="11">
        <v>0.091</v>
      </c>
      <c r="U507" s="11">
        <v>0.6</v>
      </c>
      <c r="V507" s="11">
        <v>0.205</v>
      </c>
      <c r="W507" s="8">
        <v>0</v>
      </c>
      <c r="X507" s="8">
        <v>0</v>
      </c>
      <c r="Y507" s="8">
        <v>0</v>
      </c>
      <c r="Z507" s="8">
        <v>0</v>
      </c>
      <c r="AA507" s="11">
        <v>0</v>
      </c>
      <c r="AB507" s="11">
        <v>0</v>
      </c>
      <c r="AC507" s="11">
        <v>0</v>
      </c>
      <c r="AD507" s="11">
        <v>0</v>
      </c>
    </row>
    <row r="508" customFormat="1" ht="22" customHeight="1" spans="1:30">
      <c r="A508" s="8" t="s">
        <v>31</v>
      </c>
      <c r="B508" s="8" t="str">
        <f>VLOOKUP(E508,[1]Sheet1!$C:$E,2,FALSE)</f>
        <v>刘欢</v>
      </c>
      <c r="C508" s="8" t="str">
        <f>VLOOKUP(E508,[1]Sheet1!$C:$E,3,FALSE)</f>
        <v>C</v>
      </c>
      <c r="D508" s="12" t="s">
        <v>537</v>
      </c>
      <c r="E508" s="13">
        <v>530007067</v>
      </c>
      <c r="F508" s="12">
        <v>4.5</v>
      </c>
      <c r="G508" s="8">
        <v>8</v>
      </c>
      <c r="H508" s="14">
        <v>100.5</v>
      </c>
      <c r="I508" s="8">
        <v>22.66</v>
      </c>
      <c r="J508" s="8">
        <v>12.56</v>
      </c>
      <c r="K508" s="8">
        <v>1480</v>
      </c>
      <c r="L508" s="11">
        <v>0.039</v>
      </c>
      <c r="M508" s="11">
        <v>0.14</v>
      </c>
      <c r="N508" s="11">
        <v>0.0055</v>
      </c>
      <c r="O508" s="8">
        <v>1411</v>
      </c>
      <c r="P508" s="8">
        <v>69</v>
      </c>
      <c r="Q508" s="8">
        <v>3</v>
      </c>
      <c r="R508" s="11">
        <v>0.034</v>
      </c>
      <c r="S508" s="11">
        <v>0.13</v>
      </c>
      <c r="T508" s="11">
        <v>0.104</v>
      </c>
      <c r="U508" s="11">
        <v>0.333</v>
      </c>
      <c r="V508" s="11">
        <v>0.18</v>
      </c>
      <c r="W508" s="8">
        <v>0</v>
      </c>
      <c r="X508" s="8">
        <v>0</v>
      </c>
      <c r="Y508" s="8">
        <v>0</v>
      </c>
      <c r="Z508" s="8">
        <v>0</v>
      </c>
      <c r="AA508" s="11">
        <v>0</v>
      </c>
      <c r="AB508" s="11">
        <v>0</v>
      </c>
      <c r="AC508" s="11">
        <v>0</v>
      </c>
      <c r="AD508" s="11">
        <v>0</v>
      </c>
    </row>
    <row r="509" customFormat="1" ht="22" customHeight="1" spans="1:30">
      <c r="A509" s="8" t="s">
        <v>31</v>
      </c>
      <c r="B509" s="8" t="str">
        <f>VLOOKUP(E509,[1]Sheet1!$C:$E,2,FALSE)</f>
        <v>岳贝贝</v>
      </c>
      <c r="C509" s="8" t="str">
        <f>VLOOKUP(E509,[1]Sheet1!$C:$E,3,FALSE)</f>
        <v>B</v>
      </c>
      <c r="D509" s="12" t="s">
        <v>538</v>
      </c>
      <c r="E509" s="13">
        <v>1346859243</v>
      </c>
      <c r="F509" s="12">
        <v>4.4</v>
      </c>
      <c r="G509" s="8">
        <v>5</v>
      </c>
      <c r="H509" s="14">
        <v>100.48</v>
      </c>
      <c r="I509" s="8">
        <v>0</v>
      </c>
      <c r="J509" s="8">
        <v>20.1</v>
      </c>
      <c r="K509" s="8">
        <v>404</v>
      </c>
      <c r="L509" s="11">
        <v>0.074</v>
      </c>
      <c r="M509" s="11">
        <v>0.167</v>
      </c>
      <c r="N509" s="11">
        <v>0.0124</v>
      </c>
      <c r="O509" s="8">
        <v>0</v>
      </c>
      <c r="P509" s="8">
        <v>0</v>
      </c>
      <c r="Q509" s="8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0.096</v>
      </c>
      <c r="W509" s="8">
        <v>0</v>
      </c>
      <c r="X509" s="8">
        <v>0</v>
      </c>
      <c r="Y509" s="8">
        <v>0</v>
      </c>
      <c r="Z509" s="8">
        <v>0</v>
      </c>
      <c r="AA509" s="11">
        <v>0</v>
      </c>
      <c r="AB509" s="11">
        <v>0</v>
      </c>
      <c r="AC509" s="11">
        <v>0</v>
      </c>
      <c r="AD509" s="11">
        <v>0</v>
      </c>
    </row>
    <row r="510" customFormat="1" ht="22" customHeight="1" spans="1:30">
      <c r="A510" s="8" t="s">
        <v>31</v>
      </c>
      <c r="B510" s="8" t="e">
        <f>VLOOKUP(E510,[1]Sheet1!$C:$E,2,FALSE)</f>
        <v>#N/A</v>
      </c>
      <c r="C510" s="8" t="e">
        <f>VLOOKUP(E510,[1]Sheet1!$C:$E,3,FALSE)</f>
        <v>#N/A</v>
      </c>
      <c r="D510" s="12" t="s">
        <v>539</v>
      </c>
      <c r="E510" s="13">
        <v>543192568</v>
      </c>
      <c r="F510" s="12">
        <v>4.4</v>
      </c>
      <c r="G510" s="8">
        <v>7</v>
      </c>
      <c r="H510" s="14">
        <v>100.09</v>
      </c>
      <c r="I510" s="8">
        <v>17.19</v>
      </c>
      <c r="J510" s="8">
        <v>14.3</v>
      </c>
      <c r="K510" s="8">
        <v>1028</v>
      </c>
      <c r="L510" s="11">
        <v>0.04</v>
      </c>
      <c r="M510" s="11">
        <v>0.171</v>
      </c>
      <c r="N510" s="11">
        <v>0.0068</v>
      </c>
      <c r="O510" s="8">
        <v>974</v>
      </c>
      <c r="P510" s="8">
        <v>54</v>
      </c>
      <c r="Q510" s="8">
        <v>3</v>
      </c>
      <c r="R510" s="11">
        <v>0.035</v>
      </c>
      <c r="S510" s="11">
        <v>0.13</v>
      </c>
      <c r="T510" s="11">
        <v>0.118</v>
      </c>
      <c r="U510" s="11">
        <v>0.429</v>
      </c>
      <c r="V510" s="11">
        <v>0.12</v>
      </c>
      <c r="W510" s="8">
        <v>0</v>
      </c>
      <c r="X510" s="8">
        <v>0</v>
      </c>
      <c r="Y510" s="8">
        <v>0</v>
      </c>
      <c r="Z510" s="8">
        <v>0</v>
      </c>
      <c r="AA510" s="11">
        <v>0</v>
      </c>
      <c r="AB510" s="11">
        <v>0</v>
      </c>
      <c r="AC510" s="11">
        <v>0</v>
      </c>
      <c r="AD510" s="11">
        <v>0</v>
      </c>
    </row>
    <row r="511" customFormat="1" ht="22" customHeight="1" spans="1:30">
      <c r="A511" s="8" t="s">
        <v>31</v>
      </c>
      <c r="B511" s="8" t="e">
        <f>VLOOKUP(E511,[1]Sheet1!$C:$E,2,FALSE)</f>
        <v>#N/A</v>
      </c>
      <c r="C511" s="8" t="e">
        <f>VLOOKUP(E511,[1]Sheet1!$C:$E,3,FALSE)</f>
        <v>#N/A</v>
      </c>
      <c r="D511" s="12" t="s">
        <v>540</v>
      </c>
      <c r="E511" s="13">
        <v>544360330</v>
      </c>
      <c r="F511" s="12">
        <v>4.5</v>
      </c>
      <c r="G511" s="8">
        <v>5</v>
      </c>
      <c r="H511" s="14">
        <v>99.36</v>
      </c>
      <c r="I511" s="8">
        <v>27.54</v>
      </c>
      <c r="J511" s="8">
        <v>19.87</v>
      </c>
      <c r="K511" s="8">
        <v>752</v>
      </c>
      <c r="L511" s="11">
        <v>0.073</v>
      </c>
      <c r="M511" s="11">
        <v>0.091</v>
      </c>
      <c r="N511" s="11">
        <v>0.0066</v>
      </c>
      <c r="O511" s="8">
        <v>727</v>
      </c>
      <c r="P511" s="8">
        <v>25</v>
      </c>
      <c r="Q511" s="8">
        <v>0</v>
      </c>
      <c r="R511" s="11">
        <v>0.076</v>
      </c>
      <c r="S511" s="11">
        <v>0</v>
      </c>
      <c r="T511" s="11">
        <v>0.091</v>
      </c>
      <c r="U511" s="11">
        <v>0</v>
      </c>
      <c r="V511" s="11">
        <v>0.07</v>
      </c>
      <c r="W511" s="8">
        <v>0</v>
      </c>
      <c r="X511" s="8">
        <v>0</v>
      </c>
      <c r="Y511" s="8">
        <v>0</v>
      </c>
      <c r="Z511" s="8">
        <v>0</v>
      </c>
      <c r="AA511" s="11">
        <v>0</v>
      </c>
      <c r="AB511" s="11">
        <v>0</v>
      </c>
      <c r="AC511" s="11">
        <v>0</v>
      </c>
      <c r="AD511" s="11">
        <v>0</v>
      </c>
    </row>
    <row r="512" customFormat="1" ht="22" customHeight="1" spans="1:30">
      <c r="A512" s="8" t="s">
        <v>31</v>
      </c>
      <c r="B512" s="8" t="e">
        <f>VLOOKUP(E512,[1]Sheet1!$C:$E,2,FALSE)</f>
        <v>#N/A</v>
      </c>
      <c r="C512" s="8" t="e">
        <f>VLOOKUP(E512,[1]Sheet1!$C:$E,3,FALSE)</f>
        <v>#N/A</v>
      </c>
      <c r="D512" s="8" t="s">
        <v>541</v>
      </c>
      <c r="E512" s="10">
        <v>1333525389</v>
      </c>
      <c r="F512" s="8">
        <v>4.9</v>
      </c>
      <c r="G512" s="8">
        <v>6</v>
      </c>
      <c r="H512" s="14">
        <v>98.13</v>
      </c>
      <c r="I512" s="8">
        <v>0</v>
      </c>
      <c r="J512" s="8">
        <v>16.36</v>
      </c>
      <c r="K512" s="8">
        <v>538</v>
      </c>
      <c r="L512" s="11">
        <v>0.056</v>
      </c>
      <c r="M512" s="11">
        <v>0.2</v>
      </c>
      <c r="N512" s="11">
        <v>0.0112</v>
      </c>
      <c r="O512" s="8">
        <v>0</v>
      </c>
      <c r="P512" s="8">
        <v>0</v>
      </c>
      <c r="Q512" s="8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0.174</v>
      </c>
      <c r="W512" s="8">
        <v>0</v>
      </c>
      <c r="X512" s="8">
        <v>0</v>
      </c>
      <c r="Y512" s="8">
        <v>0</v>
      </c>
      <c r="Z512" s="8">
        <v>0</v>
      </c>
      <c r="AA512" s="11">
        <v>0</v>
      </c>
      <c r="AB512" s="11">
        <v>0</v>
      </c>
      <c r="AC512" s="11">
        <v>0</v>
      </c>
      <c r="AD512" s="11">
        <v>0</v>
      </c>
    </row>
    <row r="513" customFormat="1" ht="22" customHeight="1" spans="1:30">
      <c r="A513" s="8" t="s">
        <v>31</v>
      </c>
      <c r="B513" s="8" t="str">
        <f>VLOOKUP(E513,[1]Sheet1!$C:$E,2,FALSE)</f>
        <v>岳贝贝</v>
      </c>
      <c r="C513" s="8" t="str">
        <f>VLOOKUP(E513,[1]Sheet1!$C:$E,3,FALSE)</f>
        <v>D</v>
      </c>
      <c r="D513" s="12" t="s">
        <v>542</v>
      </c>
      <c r="E513" s="13">
        <v>1308999853</v>
      </c>
      <c r="F513" s="12">
        <v>4.6</v>
      </c>
      <c r="G513" s="8">
        <v>8</v>
      </c>
      <c r="H513" s="14">
        <v>97.75</v>
      </c>
      <c r="I513" s="8">
        <v>20.6</v>
      </c>
      <c r="J513" s="8">
        <v>12.22</v>
      </c>
      <c r="K513" s="8">
        <v>1080</v>
      </c>
      <c r="L513" s="11">
        <v>0.056</v>
      </c>
      <c r="M513" s="11">
        <v>0.131</v>
      </c>
      <c r="N513" s="11">
        <v>0.0073</v>
      </c>
      <c r="O513" s="8">
        <v>962</v>
      </c>
      <c r="P513" s="8">
        <v>118</v>
      </c>
      <c r="Q513" s="8">
        <v>2</v>
      </c>
      <c r="R513" s="11">
        <v>0.051</v>
      </c>
      <c r="S513" s="11">
        <v>0.102</v>
      </c>
      <c r="T513" s="11">
        <v>0.122</v>
      </c>
      <c r="U513" s="11">
        <v>0.167</v>
      </c>
      <c r="V513" s="11">
        <v>0.165</v>
      </c>
      <c r="W513" s="8">
        <v>0</v>
      </c>
      <c r="X513" s="8">
        <v>0</v>
      </c>
      <c r="Y513" s="8">
        <v>0</v>
      </c>
      <c r="Z513" s="8">
        <v>0</v>
      </c>
      <c r="AA513" s="11">
        <v>0</v>
      </c>
      <c r="AB513" s="11">
        <v>0</v>
      </c>
      <c r="AC513" s="11">
        <v>0</v>
      </c>
      <c r="AD513" s="11">
        <v>0</v>
      </c>
    </row>
    <row r="514" customFormat="1" ht="22" customHeight="1" spans="1:30">
      <c r="A514" s="8" t="s">
        <v>31</v>
      </c>
      <c r="B514" s="8" t="str">
        <f>VLOOKUP(E514,[1]Sheet1!$C:$E,2,FALSE)</f>
        <v>刘欢</v>
      </c>
      <c r="C514" s="8" t="str">
        <f>VLOOKUP(E514,[1]Sheet1!$C:$E,3,FALSE)</f>
        <v>C</v>
      </c>
      <c r="D514" s="12" t="s">
        <v>543</v>
      </c>
      <c r="E514" s="13">
        <v>537116558</v>
      </c>
      <c r="F514" s="12">
        <v>4.7</v>
      </c>
      <c r="G514" s="8">
        <v>4</v>
      </c>
      <c r="H514" s="14">
        <v>94.01</v>
      </c>
      <c r="I514" s="8">
        <v>27.55</v>
      </c>
      <c r="J514" s="8">
        <v>23.5</v>
      </c>
      <c r="K514" s="8">
        <v>357</v>
      </c>
      <c r="L514" s="11">
        <v>0.059</v>
      </c>
      <c r="M514" s="11">
        <v>0.19</v>
      </c>
      <c r="N514" s="11">
        <v>0.0112</v>
      </c>
      <c r="O514" s="8">
        <v>325</v>
      </c>
      <c r="P514" s="8">
        <v>32</v>
      </c>
      <c r="Q514" s="8">
        <v>1</v>
      </c>
      <c r="R514" s="11">
        <v>0.058</v>
      </c>
      <c r="S514" s="11">
        <v>0.063</v>
      </c>
      <c r="T514" s="11">
        <v>0.158</v>
      </c>
      <c r="U514" s="11">
        <v>0.5</v>
      </c>
      <c r="V514" s="11">
        <v>0.173</v>
      </c>
      <c r="W514" s="8">
        <v>0</v>
      </c>
      <c r="X514" s="8">
        <v>0</v>
      </c>
      <c r="Y514" s="8">
        <v>0</v>
      </c>
      <c r="Z514" s="8">
        <v>0</v>
      </c>
      <c r="AA514" s="11">
        <v>0</v>
      </c>
      <c r="AB514" s="11">
        <v>0</v>
      </c>
      <c r="AC514" s="11">
        <v>0</v>
      </c>
      <c r="AD514" s="11">
        <v>0</v>
      </c>
    </row>
    <row r="515" customFormat="1" ht="22" customHeight="1" spans="1:30">
      <c r="A515" s="8" t="s">
        <v>31</v>
      </c>
      <c r="B515" s="8" t="e">
        <f>VLOOKUP(E515,[1]Sheet1!$C:$E,2,FALSE)</f>
        <v>#N/A</v>
      </c>
      <c r="C515" s="8" t="e">
        <f>VLOOKUP(E515,[1]Sheet1!$C:$E,3,FALSE)</f>
        <v>#N/A</v>
      </c>
      <c r="D515" s="8" t="s">
        <v>544</v>
      </c>
      <c r="E515" s="10">
        <v>544930029</v>
      </c>
      <c r="F515" s="8">
        <v>5</v>
      </c>
      <c r="G515" s="8">
        <v>3</v>
      </c>
      <c r="H515" s="14">
        <v>91.73</v>
      </c>
      <c r="I515" s="8">
        <v>39.1</v>
      </c>
      <c r="J515" s="8">
        <v>30.58</v>
      </c>
      <c r="K515" s="8">
        <v>474</v>
      </c>
      <c r="L515" s="11">
        <v>0.11</v>
      </c>
      <c r="M515" s="11">
        <v>0.058</v>
      </c>
      <c r="N515" s="11">
        <v>0.0064</v>
      </c>
      <c r="O515" s="8">
        <v>443</v>
      </c>
      <c r="P515" s="8">
        <v>31</v>
      </c>
      <c r="Q515" s="8">
        <v>0</v>
      </c>
      <c r="R515" s="11">
        <v>0.108</v>
      </c>
      <c r="S515" s="11">
        <v>0.129</v>
      </c>
      <c r="T515" s="11">
        <v>0.063</v>
      </c>
      <c r="U515" s="11">
        <v>0</v>
      </c>
      <c r="V515" s="11">
        <v>0.22</v>
      </c>
      <c r="W515" s="8">
        <v>0</v>
      </c>
      <c r="X515" s="8">
        <v>0</v>
      </c>
      <c r="Y515" s="8">
        <v>0</v>
      </c>
      <c r="Z515" s="8">
        <v>0</v>
      </c>
      <c r="AA515" s="11">
        <v>0</v>
      </c>
      <c r="AB515" s="11">
        <v>0</v>
      </c>
      <c r="AC515" s="11">
        <v>0</v>
      </c>
      <c r="AD515" s="11">
        <v>0</v>
      </c>
    </row>
    <row r="516" customFormat="1" ht="22" customHeight="1" spans="1:30">
      <c r="A516" s="8" t="s">
        <v>31</v>
      </c>
      <c r="B516" s="8" t="e">
        <f>VLOOKUP(E516,[1]Sheet1!$C:$E,2,FALSE)</f>
        <v>#N/A</v>
      </c>
      <c r="C516" s="8" t="e">
        <f>VLOOKUP(E516,[1]Sheet1!$C:$E,3,FALSE)</f>
        <v>#N/A</v>
      </c>
      <c r="D516" s="12" t="s">
        <v>545</v>
      </c>
      <c r="E516" s="13">
        <v>1232902713</v>
      </c>
      <c r="F516" s="12">
        <v>4.7</v>
      </c>
      <c r="G516" s="8">
        <v>6</v>
      </c>
      <c r="H516" s="14">
        <v>90.94</v>
      </c>
      <c r="I516" s="8">
        <v>19.07</v>
      </c>
      <c r="J516" s="8">
        <v>15.16</v>
      </c>
      <c r="K516" s="8">
        <v>210</v>
      </c>
      <c r="L516" s="11">
        <v>0.152</v>
      </c>
      <c r="M516" s="11">
        <v>0.188</v>
      </c>
      <c r="N516" s="11">
        <v>0.0286</v>
      </c>
      <c r="O516" s="8">
        <v>183</v>
      </c>
      <c r="P516" s="8">
        <v>27</v>
      </c>
      <c r="Q516" s="8">
        <v>1</v>
      </c>
      <c r="R516" s="11">
        <v>0.164</v>
      </c>
      <c r="S516" s="11">
        <v>0.074</v>
      </c>
      <c r="T516" s="11">
        <v>0.167</v>
      </c>
      <c r="U516" s="11">
        <v>0.5</v>
      </c>
      <c r="V516" s="11">
        <v>0.107</v>
      </c>
      <c r="W516" s="8">
        <v>0</v>
      </c>
      <c r="X516" s="8">
        <v>0</v>
      </c>
      <c r="Y516" s="8">
        <v>0</v>
      </c>
      <c r="Z516" s="8">
        <v>0</v>
      </c>
      <c r="AA516" s="11">
        <v>0</v>
      </c>
      <c r="AB516" s="11">
        <v>0</v>
      </c>
      <c r="AC516" s="11">
        <v>0</v>
      </c>
      <c r="AD516" s="11">
        <v>0</v>
      </c>
    </row>
    <row r="517" customFormat="1" ht="22" customHeight="1" spans="1:30">
      <c r="A517" s="8" t="s">
        <v>31</v>
      </c>
      <c r="B517" s="8" t="str">
        <f>VLOOKUP(E517,[1]Sheet1!$C:$E,2,FALSE)</f>
        <v>徐从众</v>
      </c>
      <c r="C517" s="9" t="str">
        <f>VLOOKUP(E517,[1]Sheet1!$C:$E,3,FALSE)</f>
        <v>S</v>
      </c>
      <c r="D517" s="8" t="s">
        <v>546</v>
      </c>
      <c r="E517" s="10">
        <v>532631345</v>
      </c>
      <c r="F517" s="8">
        <v>4.8</v>
      </c>
      <c r="G517" s="8">
        <v>6</v>
      </c>
      <c r="H517" s="14">
        <v>90.09</v>
      </c>
      <c r="I517" s="8">
        <v>19.41</v>
      </c>
      <c r="J517" s="8">
        <v>15.02</v>
      </c>
      <c r="K517" s="8">
        <v>374</v>
      </c>
      <c r="L517" s="11">
        <v>0.059</v>
      </c>
      <c r="M517" s="11">
        <v>0.273</v>
      </c>
      <c r="N517" s="11">
        <v>0.0161</v>
      </c>
      <c r="O517" s="8">
        <v>325</v>
      </c>
      <c r="P517" s="8">
        <v>49</v>
      </c>
      <c r="Q517" s="8">
        <v>3</v>
      </c>
      <c r="R517" s="11">
        <v>0.055</v>
      </c>
      <c r="S517" s="11">
        <v>0.082</v>
      </c>
      <c r="T517" s="11">
        <v>0.167</v>
      </c>
      <c r="U517" s="11">
        <v>0.75</v>
      </c>
      <c r="V517" s="11">
        <v>0.254</v>
      </c>
      <c r="W517" s="8">
        <v>1</v>
      </c>
      <c r="X517" s="8">
        <v>1</v>
      </c>
      <c r="Y517" s="8">
        <v>0</v>
      </c>
      <c r="Z517" s="8">
        <v>0</v>
      </c>
      <c r="AA517" s="11">
        <v>0.1667</v>
      </c>
      <c r="AB517" s="11">
        <v>1</v>
      </c>
      <c r="AC517" s="11">
        <v>0</v>
      </c>
      <c r="AD517" s="11">
        <v>0</v>
      </c>
    </row>
    <row r="518" customFormat="1" ht="22" customHeight="1" spans="1:30">
      <c r="A518" s="8" t="s">
        <v>31</v>
      </c>
      <c r="B518" s="8" t="e">
        <f>VLOOKUP(E518,[1]Sheet1!$C:$E,2,FALSE)</f>
        <v>#N/A</v>
      </c>
      <c r="C518" s="8" t="e">
        <f>VLOOKUP(E518,[1]Sheet1!$C:$E,3,FALSE)</f>
        <v>#N/A</v>
      </c>
      <c r="D518" s="8" t="s">
        <v>547</v>
      </c>
      <c r="E518" s="10">
        <v>544792092</v>
      </c>
      <c r="F518" s="8">
        <v>5</v>
      </c>
      <c r="G518" s="8">
        <v>6</v>
      </c>
      <c r="H518" s="14">
        <v>88.9</v>
      </c>
      <c r="I518" s="8">
        <v>23.75</v>
      </c>
      <c r="J518" s="8">
        <v>14.82</v>
      </c>
      <c r="K518" s="8">
        <v>1550</v>
      </c>
      <c r="L518" s="11">
        <v>0.046</v>
      </c>
      <c r="M518" s="11">
        <v>0.085</v>
      </c>
      <c r="N518" s="11">
        <v>0.0039</v>
      </c>
      <c r="O518" s="8">
        <v>1498</v>
      </c>
      <c r="P518" s="8">
        <v>52</v>
      </c>
      <c r="Q518" s="8">
        <v>3</v>
      </c>
      <c r="R518" s="11">
        <v>0.039</v>
      </c>
      <c r="S518" s="11">
        <v>0.25</v>
      </c>
      <c r="T518" s="11">
        <v>0.052</v>
      </c>
      <c r="U518" s="11">
        <v>0.231</v>
      </c>
      <c r="V518" s="11">
        <v>0.253</v>
      </c>
      <c r="W518" s="8">
        <v>0</v>
      </c>
      <c r="X518" s="8">
        <v>0</v>
      </c>
      <c r="Y518" s="8">
        <v>0</v>
      </c>
      <c r="Z518" s="8">
        <v>0</v>
      </c>
      <c r="AA518" s="11">
        <v>0</v>
      </c>
      <c r="AB518" s="11">
        <v>0</v>
      </c>
      <c r="AC518" s="11">
        <v>0</v>
      </c>
      <c r="AD518" s="11">
        <v>0</v>
      </c>
    </row>
    <row r="519" customFormat="1" ht="22" customHeight="1" spans="1:30">
      <c r="A519" s="8" t="s">
        <v>31</v>
      </c>
      <c r="B519" s="8" t="str">
        <f>VLOOKUP(E519,[1]Sheet1!$C:$E,2,FALSE)</f>
        <v>王森</v>
      </c>
      <c r="C519" s="8">
        <f>VLOOKUP(E519,[1]Sheet1!$C:$E,3,FALSE)</f>
        <v>0</v>
      </c>
      <c r="D519" s="8" t="s">
        <v>548</v>
      </c>
      <c r="E519" s="10">
        <v>1155434943</v>
      </c>
      <c r="F519" s="8">
        <v>4.8</v>
      </c>
      <c r="G519" s="8">
        <v>6</v>
      </c>
      <c r="H519" s="14">
        <v>87.89</v>
      </c>
      <c r="I519" s="8">
        <v>20.83</v>
      </c>
      <c r="J519" s="8">
        <v>14.65</v>
      </c>
      <c r="K519" s="8">
        <v>364</v>
      </c>
      <c r="L519" s="11">
        <v>0.055</v>
      </c>
      <c r="M519" s="11">
        <v>0.25</v>
      </c>
      <c r="N519" s="11">
        <v>0.0138</v>
      </c>
      <c r="O519" s="8">
        <v>342</v>
      </c>
      <c r="P519" s="8">
        <v>22</v>
      </c>
      <c r="Q519" s="8">
        <v>2</v>
      </c>
      <c r="R519" s="11">
        <v>0.053</v>
      </c>
      <c r="S519" s="11">
        <v>0.091</v>
      </c>
      <c r="T519" s="11">
        <v>0.167</v>
      </c>
      <c r="U519" s="11">
        <v>1</v>
      </c>
      <c r="V519" s="11">
        <v>0.157</v>
      </c>
      <c r="W519" s="8">
        <v>0</v>
      </c>
      <c r="X519" s="8">
        <v>0</v>
      </c>
      <c r="Y519" s="8">
        <v>0</v>
      </c>
      <c r="Z519" s="8">
        <v>0</v>
      </c>
      <c r="AA519" s="11">
        <v>0</v>
      </c>
      <c r="AB519" s="11">
        <v>0</v>
      </c>
      <c r="AC519" s="11">
        <v>0</v>
      </c>
      <c r="AD519" s="11">
        <v>0</v>
      </c>
    </row>
    <row r="520" customFormat="1" ht="22" customHeight="1" spans="1:30">
      <c r="A520" s="8" t="s">
        <v>31</v>
      </c>
      <c r="B520" s="8" t="e">
        <f>VLOOKUP(E520,[1]Sheet1!$C:$E,2,FALSE)</f>
        <v>#N/A</v>
      </c>
      <c r="C520" s="8" t="e">
        <f>VLOOKUP(E520,[1]Sheet1!$C:$E,3,FALSE)</f>
        <v>#N/A</v>
      </c>
      <c r="D520" s="8" t="s">
        <v>549</v>
      </c>
      <c r="E520" s="10">
        <v>1353752968</v>
      </c>
      <c r="F520" s="8">
        <v>4.8</v>
      </c>
      <c r="G520" s="8">
        <v>8</v>
      </c>
      <c r="H520" s="14">
        <v>87.11</v>
      </c>
      <c r="I520" s="8">
        <v>19.33</v>
      </c>
      <c r="J520" s="8">
        <v>10.89</v>
      </c>
      <c r="K520" s="8">
        <v>274</v>
      </c>
      <c r="L520" s="11">
        <v>0.069</v>
      </c>
      <c r="M520" s="11">
        <v>0.421</v>
      </c>
      <c r="N520" s="11">
        <v>0.029</v>
      </c>
      <c r="O520" s="8">
        <v>262</v>
      </c>
      <c r="P520" s="8">
        <v>12</v>
      </c>
      <c r="Q520" s="8">
        <v>2</v>
      </c>
      <c r="R520" s="11">
        <v>0.069</v>
      </c>
      <c r="S520" s="11">
        <v>0.083</v>
      </c>
      <c r="T520" s="11">
        <v>0.333</v>
      </c>
      <c r="U520" s="11">
        <v>2</v>
      </c>
      <c r="V520" s="11">
        <v>0.095</v>
      </c>
      <c r="W520" s="8">
        <v>5</v>
      </c>
      <c r="X520" s="8">
        <v>5</v>
      </c>
      <c r="Y520" s="8">
        <v>0</v>
      </c>
      <c r="Z520" s="8">
        <v>0</v>
      </c>
      <c r="AA520" s="11">
        <v>0.625</v>
      </c>
      <c r="AB520" s="11">
        <v>1</v>
      </c>
      <c r="AC520" s="11">
        <v>0</v>
      </c>
      <c r="AD520" s="11">
        <v>0</v>
      </c>
    </row>
    <row r="521" customFormat="1" ht="22" customHeight="1" spans="1:30">
      <c r="A521" s="8" t="s">
        <v>31</v>
      </c>
      <c r="B521" s="8" t="e">
        <f>VLOOKUP(E521,[1]Sheet1!$C:$E,2,FALSE)</f>
        <v>#N/A</v>
      </c>
      <c r="C521" s="8" t="e">
        <f>VLOOKUP(E521,[1]Sheet1!$C:$E,3,FALSE)</f>
        <v>#N/A</v>
      </c>
      <c r="D521" s="8" t="s">
        <v>550</v>
      </c>
      <c r="E521" s="10">
        <v>1347810154</v>
      </c>
      <c r="F521" s="8">
        <v>4.8</v>
      </c>
      <c r="G521" s="8">
        <v>14</v>
      </c>
      <c r="H521" s="14">
        <v>86.75</v>
      </c>
      <c r="I521" s="8">
        <v>10.02</v>
      </c>
      <c r="J521" s="8">
        <v>6.2</v>
      </c>
      <c r="K521" s="8">
        <v>1666</v>
      </c>
      <c r="L521" s="11">
        <v>0.054</v>
      </c>
      <c r="M521" s="11">
        <v>0.156</v>
      </c>
      <c r="N521" s="11">
        <v>0.0084</v>
      </c>
      <c r="O521" s="8">
        <v>1578</v>
      </c>
      <c r="P521" s="8">
        <v>88</v>
      </c>
      <c r="Q521" s="8">
        <v>8</v>
      </c>
      <c r="R521" s="11">
        <v>0.046</v>
      </c>
      <c r="S521" s="11">
        <v>0.193</v>
      </c>
      <c r="T521" s="11">
        <v>0.082</v>
      </c>
      <c r="U521" s="11">
        <v>0.471</v>
      </c>
      <c r="V521" s="11">
        <v>0.238</v>
      </c>
      <c r="W521" s="8">
        <v>0</v>
      </c>
      <c r="X521" s="8">
        <v>0</v>
      </c>
      <c r="Y521" s="8">
        <v>0</v>
      </c>
      <c r="Z521" s="8">
        <v>0</v>
      </c>
      <c r="AA521" s="11">
        <v>0</v>
      </c>
      <c r="AB521" s="11">
        <v>0</v>
      </c>
      <c r="AC521" s="11">
        <v>0</v>
      </c>
      <c r="AD521" s="11">
        <v>0</v>
      </c>
    </row>
    <row r="522" customFormat="1" ht="22" customHeight="1" spans="1:30">
      <c r="A522" s="8" t="s">
        <v>31</v>
      </c>
      <c r="B522" s="8" t="str">
        <f>VLOOKUP(E522,[1]Sheet1!$C:$E,2,FALSE)</f>
        <v>王森</v>
      </c>
      <c r="C522" s="8" t="str">
        <f>VLOOKUP(E522,[1]Sheet1!$C:$E,3,FALSE)</f>
        <v>C</v>
      </c>
      <c r="D522" s="12" t="s">
        <v>551</v>
      </c>
      <c r="E522" s="13">
        <v>1246759636</v>
      </c>
      <c r="F522" s="12">
        <v>4.4</v>
      </c>
      <c r="G522" s="8">
        <v>9</v>
      </c>
      <c r="H522" s="14">
        <v>86.41</v>
      </c>
      <c r="I522" s="8">
        <v>17.75</v>
      </c>
      <c r="J522" s="8">
        <v>9.6</v>
      </c>
      <c r="K522" s="8">
        <v>774</v>
      </c>
      <c r="L522" s="11">
        <v>0.052</v>
      </c>
      <c r="M522" s="11">
        <v>0.225</v>
      </c>
      <c r="N522" s="11">
        <v>0.0117</v>
      </c>
      <c r="O522" s="8">
        <v>700</v>
      </c>
      <c r="P522" s="8">
        <v>74</v>
      </c>
      <c r="Q522" s="8">
        <v>3</v>
      </c>
      <c r="R522" s="11">
        <v>0.047</v>
      </c>
      <c r="S522" s="11">
        <v>0.095</v>
      </c>
      <c r="T522" s="11">
        <v>0.182</v>
      </c>
      <c r="U522" s="11">
        <v>0.429</v>
      </c>
      <c r="V522" s="11">
        <v>0.119</v>
      </c>
      <c r="W522" s="8">
        <v>2</v>
      </c>
      <c r="X522" s="8">
        <v>1</v>
      </c>
      <c r="Y522" s="8">
        <v>1</v>
      </c>
      <c r="Z522" s="8">
        <v>0</v>
      </c>
      <c r="AA522" s="11">
        <v>0.2222</v>
      </c>
      <c r="AB522" s="11">
        <v>0.5</v>
      </c>
      <c r="AC522" s="11">
        <v>0.5</v>
      </c>
      <c r="AD522" s="11">
        <v>0</v>
      </c>
    </row>
    <row r="523" customFormat="1" ht="22" customHeight="1" spans="1:30">
      <c r="A523" s="8" t="s">
        <v>31</v>
      </c>
      <c r="B523" s="8" t="e">
        <f>VLOOKUP(E523,[1]Sheet1!$C:$E,2,FALSE)</f>
        <v>#N/A</v>
      </c>
      <c r="C523" s="8" t="e">
        <f>VLOOKUP(E523,[1]Sheet1!$C:$E,3,FALSE)</f>
        <v>#N/A</v>
      </c>
      <c r="D523" s="12" t="s">
        <v>552</v>
      </c>
      <c r="E523" s="13">
        <v>528236196</v>
      </c>
      <c r="F523" s="12">
        <v>4.7</v>
      </c>
      <c r="G523" s="8">
        <v>1</v>
      </c>
      <c r="H523" s="14">
        <v>86.21</v>
      </c>
      <c r="I523" s="8">
        <v>110.2</v>
      </c>
      <c r="J523" s="8">
        <v>86.21</v>
      </c>
      <c r="K523" s="8">
        <v>437</v>
      </c>
      <c r="L523" s="11">
        <v>0.057</v>
      </c>
      <c r="M523" s="11">
        <v>0.04</v>
      </c>
      <c r="N523" s="11">
        <v>0.0023</v>
      </c>
      <c r="O523" s="8">
        <v>408</v>
      </c>
      <c r="P523" s="8">
        <v>29</v>
      </c>
      <c r="Q523" s="8">
        <v>0</v>
      </c>
      <c r="R523" s="11">
        <v>0.061</v>
      </c>
      <c r="S523" s="11">
        <v>0</v>
      </c>
      <c r="T523" s="11">
        <v>0.04</v>
      </c>
      <c r="U523" s="11">
        <v>0</v>
      </c>
      <c r="V523" s="11">
        <v>0.176</v>
      </c>
      <c r="W523" s="8">
        <v>0</v>
      </c>
      <c r="X523" s="8">
        <v>0</v>
      </c>
      <c r="Y523" s="8">
        <v>0</v>
      </c>
      <c r="Z523" s="8">
        <v>0</v>
      </c>
      <c r="AA523" s="11">
        <v>0</v>
      </c>
      <c r="AB523" s="11">
        <v>0</v>
      </c>
      <c r="AC523" s="11">
        <v>0</v>
      </c>
      <c r="AD523" s="11">
        <v>0</v>
      </c>
    </row>
    <row r="524" customFormat="1" ht="22" customHeight="1" spans="1:30">
      <c r="A524" s="8" t="s">
        <v>31</v>
      </c>
      <c r="B524" s="8" t="str">
        <f>VLOOKUP(E524,[1]Sheet1!$C:$E,2,FALSE)</f>
        <v>刘欢</v>
      </c>
      <c r="C524" s="8">
        <f>VLOOKUP(E524,[1]Sheet1!$C:$E,3,FALSE)</f>
        <v>0</v>
      </c>
      <c r="D524" s="12" t="s">
        <v>553</v>
      </c>
      <c r="E524" s="13">
        <v>522267372</v>
      </c>
      <c r="F524" s="12">
        <v>4.6</v>
      </c>
      <c r="G524" s="8">
        <v>6</v>
      </c>
      <c r="H524" s="14">
        <v>84.72</v>
      </c>
      <c r="I524" s="8">
        <v>19.38</v>
      </c>
      <c r="J524" s="8">
        <v>14.12</v>
      </c>
      <c r="K524" s="8">
        <v>752</v>
      </c>
      <c r="L524" s="11">
        <v>0.06</v>
      </c>
      <c r="M524" s="11">
        <v>0.133</v>
      </c>
      <c r="N524" s="11">
        <v>0.008</v>
      </c>
      <c r="O524" s="8">
        <v>707</v>
      </c>
      <c r="P524" s="8">
        <v>45</v>
      </c>
      <c r="Q524" s="8">
        <v>4</v>
      </c>
      <c r="R524" s="11">
        <v>0.051</v>
      </c>
      <c r="S524" s="11">
        <v>0.2</v>
      </c>
      <c r="T524" s="11">
        <v>0.056</v>
      </c>
      <c r="U524" s="11">
        <v>0.444</v>
      </c>
      <c r="V524" s="11">
        <v>0.239</v>
      </c>
      <c r="W524" s="8">
        <v>0</v>
      </c>
      <c r="X524" s="8">
        <v>0</v>
      </c>
      <c r="Y524" s="8">
        <v>0</v>
      </c>
      <c r="Z524" s="8">
        <v>0</v>
      </c>
      <c r="AA524" s="11">
        <v>0</v>
      </c>
      <c r="AB524" s="11">
        <v>0</v>
      </c>
      <c r="AC524" s="11">
        <v>0</v>
      </c>
      <c r="AD524" s="11">
        <v>0</v>
      </c>
    </row>
    <row r="525" customFormat="1" ht="22" customHeight="1" spans="1:30">
      <c r="A525" s="8" t="s">
        <v>31</v>
      </c>
      <c r="B525" s="8" t="str">
        <f>VLOOKUP(E525,[1]Sheet1!$C:$E,2,FALSE)</f>
        <v>岳贝贝</v>
      </c>
      <c r="C525" s="8" t="str">
        <f>VLOOKUP(E525,[1]Sheet1!$C:$E,3,FALSE)</f>
        <v>B</v>
      </c>
      <c r="D525" s="12" t="s">
        <v>554</v>
      </c>
      <c r="E525" s="13">
        <v>1344934717</v>
      </c>
      <c r="F525" s="12">
        <v>4.7</v>
      </c>
      <c r="G525" s="8">
        <v>4</v>
      </c>
      <c r="H525" s="14">
        <v>83.24</v>
      </c>
      <c r="I525" s="8">
        <v>27.64</v>
      </c>
      <c r="J525" s="8">
        <v>20.81</v>
      </c>
      <c r="K525" s="8">
        <v>387</v>
      </c>
      <c r="L525" s="11">
        <v>0.078</v>
      </c>
      <c r="M525" s="11">
        <v>0.133</v>
      </c>
      <c r="N525" s="11">
        <v>0.0104</v>
      </c>
      <c r="O525" s="8">
        <v>342</v>
      </c>
      <c r="P525" s="8">
        <v>45</v>
      </c>
      <c r="Q525" s="8">
        <v>1</v>
      </c>
      <c r="R525" s="11">
        <v>0.076</v>
      </c>
      <c r="S525" s="11">
        <v>0.089</v>
      </c>
      <c r="T525" s="11">
        <v>0.115</v>
      </c>
      <c r="U525" s="11">
        <v>0.25</v>
      </c>
      <c r="V525" s="11">
        <v>0.099</v>
      </c>
      <c r="W525" s="8">
        <v>0</v>
      </c>
      <c r="X525" s="8">
        <v>0</v>
      </c>
      <c r="Y525" s="8">
        <v>0</v>
      </c>
      <c r="Z525" s="8">
        <v>0</v>
      </c>
      <c r="AA525" s="11">
        <v>0</v>
      </c>
      <c r="AB525" s="11">
        <v>0</v>
      </c>
      <c r="AC525" s="11">
        <v>0</v>
      </c>
      <c r="AD525" s="11">
        <v>0</v>
      </c>
    </row>
    <row r="526" customFormat="1" ht="22" customHeight="1" spans="1:30">
      <c r="A526" s="8" t="s">
        <v>31</v>
      </c>
      <c r="B526" s="8" t="e">
        <f>VLOOKUP(E526,[1]Sheet1!$C:$E,2,FALSE)</f>
        <v>#N/A</v>
      </c>
      <c r="C526" s="8" t="e">
        <f>VLOOKUP(E526,[1]Sheet1!$C:$E,3,FALSE)</f>
        <v>#N/A</v>
      </c>
      <c r="D526" s="8" t="s">
        <v>555</v>
      </c>
      <c r="E526" s="10">
        <v>535685639</v>
      </c>
      <c r="F526" s="8">
        <v>4.8</v>
      </c>
      <c r="G526" s="8">
        <v>3</v>
      </c>
      <c r="H526" s="14">
        <v>82.95</v>
      </c>
      <c r="I526" s="8">
        <v>0</v>
      </c>
      <c r="J526" s="8">
        <v>27.65</v>
      </c>
      <c r="K526" s="8">
        <v>552</v>
      </c>
      <c r="L526" s="11">
        <v>0.063</v>
      </c>
      <c r="M526" s="11">
        <v>0.086</v>
      </c>
      <c r="N526" s="11">
        <v>0.0054</v>
      </c>
      <c r="O526" s="8">
        <v>0</v>
      </c>
      <c r="P526" s="8">
        <v>0</v>
      </c>
      <c r="Q526" s="8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0.103</v>
      </c>
      <c r="W526" s="8">
        <v>1</v>
      </c>
      <c r="X526" s="8">
        <v>1</v>
      </c>
      <c r="Y526" s="8">
        <v>0</v>
      </c>
      <c r="Z526" s="8">
        <v>0</v>
      </c>
      <c r="AA526" s="11">
        <v>0.3333</v>
      </c>
      <c r="AB526" s="11">
        <v>1</v>
      </c>
      <c r="AC526" s="11">
        <v>0</v>
      </c>
      <c r="AD526" s="11">
        <v>0</v>
      </c>
    </row>
    <row r="527" customFormat="1" ht="22" customHeight="1" spans="1:30">
      <c r="A527" s="8" t="s">
        <v>31</v>
      </c>
      <c r="B527" s="8" t="str">
        <f>VLOOKUP(E527,[1]Sheet1!$C:$E,2,FALSE)</f>
        <v>徐从众</v>
      </c>
      <c r="C527" s="9" t="str">
        <f>VLOOKUP(E527,[1]Sheet1!$C:$E,3,FALSE)</f>
        <v>S</v>
      </c>
      <c r="D527" s="8" t="s">
        <v>556</v>
      </c>
      <c r="E527" s="10">
        <v>1299686312</v>
      </c>
      <c r="F527" s="8">
        <v>4.9</v>
      </c>
      <c r="G527" s="8">
        <v>3</v>
      </c>
      <c r="H527" s="14">
        <v>82.95</v>
      </c>
      <c r="I527" s="8">
        <v>0</v>
      </c>
      <c r="J527" s="8">
        <v>27.65</v>
      </c>
      <c r="K527" s="8">
        <v>285</v>
      </c>
      <c r="L527" s="11">
        <v>0.151</v>
      </c>
      <c r="M527" s="11">
        <v>0.07</v>
      </c>
      <c r="N527" s="11">
        <v>0.0106</v>
      </c>
      <c r="O527" s="8">
        <v>0</v>
      </c>
      <c r="P527" s="8">
        <v>0</v>
      </c>
      <c r="Q527" s="8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0.187</v>
      </c>
      <c r="W527" s="8">
        <v>0</v>
      </c>
      <c r="X527" s="8">
        <v>0</v>
      </c>
      <c r="Y527" s="8">
        <v>0</v>
      </c>
      <c r="Z527" s="8">
        <v>0</v>
      </c>
      <c r="AA527" s="11">
        <v>0</v>
      </c>
      <c r="AB527" s="11">
        <v>0</v>
      </c>
      <c r="AC527" s="11">
        <v>0</v>
      </c>
      <c r="AD527" s="11">
        <v>0</v>
      </c>
    </row>
    <row r="528" customFormat="1" ht="22" customHeight="1" spans="1:30">
      <c r="A528" s="8" t="s">
        <v>31</v>
      </c>
      <c r="B528" s="8" t="str">
        <f>VLOOKUP(E528,[1]Sheet1!$C:$E,2,FALSE)</f>
        <v>刘欢</v>
      </c>
      <c r="C528" s="8" t="str">
        <f>VLOOKUP(E528,[1]Sheet1!$C:$E,3,FALSE)</f>
        <v>B</v>
      </c>
      <c r="D528" s="12" t="s">
        <v>557</v>
      </c>
      <c r="E528" s="13">
        <v>541156640</v>
      </c>
      <c r="F528" s="12">
        <v>4.4</v>
      </c>
      <c r="G528" s="8">
        <v>8</v>
      </c>
      <c r="H528" s="14">
        <v>82.88</v>
      </c>
      <c r="I528" s="8">
        <v>15.56</v>
      </c>
      <c r="J528" s="8">
        <v>10.36</v>
      </c>
      <c r="K528" s="8">
        <v>777</v>
      </c>
      <c r="L528" s="11">
        <v>0.066</v>
      </c>
      <c r="M528" s="11">
        <v>0.157</v>
      </c>
      <c r="N528" s="11">
        <v>0.0104</v>
      </c>
      <c r="O528" s="8">
        <v>666</v>
      </c>
      <c r="P528" s="8">
        <v>111</v>
      </c>
      <c r="Q528" s="8">
        <v>1</v>
      </c>
      <c r="R528" s="11">
        <v>0.066</v>
      </c>
      <c r="S528" s="11">
        <v>0.063</v>
      </c>
      <c r="T528" s="11">
        <v>0.159</v>
      </c>
      <c r="U528" s="11">
        <v>0.143</v>
      </c>
      <c r="V528" s="11">
        <v>0.115</v>
      </c>
      <c r="W528" s="8">
        <v>0</v>
      </c>
      <c r="X528" s="8">
        <v>0</v>
      </c>
      <c r="Y528" s="8">
        <v>0</v>
      </c>
      <c r="Z528" s="8">
        <v>0</v>
      </c>
      <c r="AA528" s="11">
        <v>0</v>
      </c>
      <c r="AB528" s="11">
        <v>0</v>
      </c>
      <c r="AC528" s="11">
        <v>0</v>
      </c>
      <c r="AD528" s="11">
        <v>0</v>
      </c>
    </row>
    <row r="529" customFormat="1" ht="22" customHeight="1" spans="1:30">
      <c r="A529" s="8" t="s">
        <v>31</v>
      </c>
      <c r="B529" s="8" t="e">
        <f>VLOOKUP(E529,[1]Sheet1!$C:$E,2,FALSE)</f>
        <v>#N/A</v>
      </c>
      <c r="C529" s="8" t="e">
        <f>VLOOKUP(E529,[1]Sheet1!$C:$E,3,FALSE)</f>
        <v>#N/A</v>
      </c>
      <c r="D529" s="12" t="s">
        <v>558</v>
      </c>
      <c r="E529" s="13">
        <v>1358545164</v>
      </c>
      <c r="F529" s="12">
        <v>0</v>
      </c>
      <c r="G529" s="8">
        <v>5</v>
      </c>
      <c r="H529" s="14">
        <v>81.75</v>
      </c>
      <c r="I529" s="8">
        <v>0</v>
      </c>
      <c r="J529" s="8">
        <v>16.35</v>
      </c>
      <c r="K529" s="8">
        <v>96</v>
      </c>
      <c r="L529" s="11">
        <v>0.115</v>
      </c>
      <c r="M529" s="11">
        <v>0.455</v>
      </c>
      <c r="N529" s="11">
        <v>0.0523</v>
      </c>
      <c r="O529" s="8">
        <v>0</v>
      </c>
      <c r="P529" s="8">
        <v>0</v>
      </c>
      <c r="Q529" s="8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8">
        <v>5</v>
      </c>
      <c r="X529" s="8">
        <v>5</v>
      </c>
      <c r="Y529" s="8">
        <v>0</v>
      </c>
      <c r="Z529" s="8">
        <v>0</v>
      </c>
      <c r="AA529" s="11">
        <v>1</v>
      </c>
      <c r="AB529" s="11">
        <v>1</v>
      </c>
      <c r="AC529" s="11">
        <v>0</v>
      </c>
      <c r="AD529" s="11">
        <v>0</v>
      </c>
    </row>
    <row r="530" customFormat="1" ht="22" customHeight="1" spans="1:30">
      <c r="A530" s="8" t="s">
        <v>31</v>
      </c>
      <c r="B530" s="8" t="str">
        <f>VLOOKUP(E530,[1]Sheet1!$C:$E,2,FALSE)</f>
        <v>刘欢</v>
      </c>
      <c r="C530" s="8">
        <f>VLOOKUP(E530,[1]Sheet1!$C:$E,3,FALSE)</f>
        <v>0</v>
      </c>
      <c r="D530" s="8" t="s">
        <v>559</v>
      </c>
      <c r="E530" s="10">
        <v>517756870</v>
      </c>
      <c r="F530" s="8">
        <v>4.9</v>
      </c>
      <c r="G530" s="8">
        <v>5</v>
      </c>
      <c r="H530" s="14">
        <v>76.03</v>
      </c>
      <c r="I530" s="8">
        <v>21.78</v>
      </c>
      <c r="J530" s="8">
        <v>15.21</v>
      </c>
      <c r="K530" s="8">
        <v>377</v>
      </c>
      <c r="L530" s="11">
        <v>0.064</v>
      </c>
      <c r="M530" s="11">
        <v>0.208</v>
      </c>
      <c r="N530" s="11">
        <v>0.0133</v>
      </c>
      <c r="O530" s="8">
        <v>344</v>
      </c>
      <c r="P530" s="8">
        <v>33</v>
      </c>
      <c r="Q530" s="8">
        <v>3</v>
      </c>
      <c r="R530" s="11">
        <v>0.058</v>
      </c>
      <c r="S530" s="11">
        <v>0.121</v>
      </c>
      <c r="T530" s="11">
        <v>0.1</v>
      </c>
      <c r="U530" s="11">
        <v>0.75</v>
      </c>
      <c r="V530" s="11">
        <v>0.198</v>
      </c>
      <c r="W530" s="8">
        <v>0</v>
      </c>
      <c r="X530" s="8">
        <v>0</v>
      </c>
      <c r="Y530" s="8">
        <v>0</v>
      </c>
      <c r="Z530" s="8">
        <v>0</v>
      </c>
      <c r="AA530" s="11">
        <v>0</v>
      </c>
      <c r="AB530" s="11">
        <v>0</v>
      </c>
      <c r="AC530" s="11">
        <v>0</v>
      </c>
      <c r="AD530" s="11">
        <v>0</v>
      </c>
    </row>
    <row r="531" customFormat="1" ht="22" customHeight="1" spans="1:30">
      <c r="A531" s="8" t="s">
        <v>31</v>
      </c>
      <c r="B531" s="8" t="e">
        <f>VLOOKUP(E531,[1]Sheet1!$C:$E,2,FALSE)</f>
        <v>#N/A</v>
      </c>
      <c r="C531" s="8" t="e">
        <f>VLOOKUP(E531,[1]Sheet1!$C:$E,3,FALSE)</f>
        <v>#N/A</v>
      </c>
      <c r="D531" s="12" t="s">
        <v>560</v>
      </c>
      <c r="E531" s="13">
        <v>537151441</v>
      </c>
      <c r="F531" s="12">
        <v>4.2</v>
      </c>
      <c r="G531" s="8">
        <v>1</v>
      </c>
      <c r="H531" s="14">
        <v>75.99</v>
      </c>
      <c r="I531" s="8">
        <v>0</v>
      </c>
      <c r="J531" s="8">
        <v>75.99</v>
      </c>
      <c r="K531" s="8">
        <v>1563</v>
      </c>
      <c r="L531" s="11">
        <v>0.028</v>
      </c>
      <c r="M531" s="11">
        <v>0.023</v>
      </c>
      <c r="N531" s="11">
        <v>0.0006</v>
      </c>
      <c r="O531" s="8">
        <v>0</v>
      </c>
      <c r="P531" s="8">
        <v>0</v>
      </c>
      <c r="Q531" s="8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0.205</v>
      </c>
      <c r="W531" s="8">
        <v>0</v>
      </c>
      <c r="X531" s="8">
        <v>0</v>
      </c>
      <c r="Y531" s="8">
        <v>0</v>
      </c>
      <c r="Z531" s="8">
        <v>0</v>
      </c>
      <c r="AA531" s="11">
        <v>0</v>
      </c>
      <c r="AB531" s="11">
        <v>0</v>
      </c>
      <c r="AC531" s="11">
        <v>0</v>
      </c>
      <c r="AD531" s="11">
        <v>0</v>
      </c>
    </row>
    <row r="532" customFormat="1" ht="22" customHeight="1" spans="1:30">
      <c r="A532" s="8" t="s">
        <v>31</v>
      </c>
      <c r="B532" s="8" t="str">
        <f>VLOOKUP(E532,[1]Sheet1!$C:$E,2,FALSE)</f>
        <v>徐从众</v>
      </c>
      <c r="C532" s="9" t="str">
        <f>VLOOKUP(E532,[1]Sheet1!$C:$E,3,FALSE)</f>
        <v>S</v>
      </c>
      <c r="D532" s="8" t="s">
        <v>561</v>
      </c>
      <c r="E532" s="10">
        <v>1317644864</v>
      </c>
      <c r="F532" s="8">
        <v>5</v>
      </c>
      <c r="G532" s="8">
        <v>3</v>
      </c>
      <c r="H532" s="14">
        <v>74.65</v>
      </c>
      <c r="I532" s="8">
        <v>0</v>
      </c>
      <c r="J532" s="8">
        <v>24.88</v>
      </c>
      <c r="K532" s="8">
        <v>256</v>
      </c>
      <c r="L532" s="11">
        <v>0.09</v>
      </c>
      <c r="M532" s="11">
        <v>0.13</v>
      </c>
      <c r="N532" s="11">
        <v>0.0117</v>
      </c>
      <c r="O532" s="8">
        <v>0</v>
      </c>
      <c r="P532" s="8">
        <v>0</v>
      </c>
      <c r="Q532" s="8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0.164</v>
      </c>
      <c r="W532" s="8">
        <v>0</v>
      </c>
      <c r="X532" s="8">
        <v>0</v>
      </c>
      <c r="Y532" s="8">
        <v>0</v>
      </c>
      <c r="Z532" s="8">
        <v>0</v>
      </c>
      <c r="AA532" s="11">
        <v>0</v>
      </c>
      <c r="AB532" s="11">
        <v>0</v>
      </c>
      <c r="AC532" s="11">
        <v>0</v>
      </c>
      <c r="AD532" s="11">
        <v>0</v>
      </c>
    </row>
    <row r="533" customFormat="1" ht="22" customHeight="1" spans="1:30">
      <c r="A533" s="8" t="s">
        <v>31</v>
      </c>
      <c r="B533" s="8" t="e">
        <f>VLOOKUP(E533,[1]Sheet1!$C:$E,2,FALSE)</f>
        <v>#N/A</v>
      </c>
      <c r="C533" s="8" t="e">
        <f>VLOOKUP(E533,[1]Sheet1!$C:$E,3,FALSE)</f>
        <v>#N/A</v>
      </c>
      <c r="D533" s="8" t="s">
        <v>562</v>
      </c>
      <c r="E533" s="10">
        <v>1347197046</v>
      </c>
      <c r="F533" s="8">
        <v>4.8</v>
      </c>
      <c r="G533" s="8">
        <v>5</v>
      </c>
      <c r="H533" s="14">
        <v>73.93</v>
      </c>
      <c r="I533" s="8">
        <v>0</v>
      </c>
      <c r="J533" s="8">
        <v>14.79</v>
      </c>
      <c r="K533" s="8">
        <v>582</v>
      </c>
      <c r="L533" s="11">
        <v>0.077</v>
      </c>
      <c r="M533" s="11">
        <v>0.111</v>
      </c>
      <c r="N533" s="11">
        <v>0.0085</v>
      </c>
      <c r="O533" s="8">
        <v>0</v>
      </c>
      <c r="P533" s="8">
        <v>0</v>
      </c>
      <c r="Q533" s="8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0.164</v>
      </c>
      <c r="W533" s="8">
        <v>0</v>
      </c>
      <c r="X533" s="8">
        <v>0</v>
      </c>
      <c r="Y533" s="8">
        <v>0</v>
      </c>
      <c r="Z533" s="8">
        <v>0</v>
      </c>
      <c r="AA533" s="11">
        <v>0</v>
      </c>
      <c r="AB533" s="11">
        <v>0</v>
      </c>
      <c r="AC533" s="11">
        <v>0</v>
      </c>
      <c r="AD533" s="11">
        <v>0</v>
      </c>
    </row>
    <row r="534" customFormat="1" ht="22" customHeight="1" spans="1:30">
      <c r="A534" s="8" t="s">
        <v>31</v>
      </c>
      <c r="B534" s="8" t="str">
        <f>VLOOKUP(E534,[1]Sheet1!$C:$E,2,FALSE)</f>
        <v>岳贝贝</v>
      </c>
      <c r="C534" s="8" t="str">
        <f>VLOOKUP(E534,[1]Sheet1!$C:$E,3,FALSE)</f>
        <v>B</v>
      </c>
      <c r="D534" s="12" t="s">
        <v>563</v>
      </c>
      <c r="E534" s="13">
        <v>1242461426</v>
      </c>
      <c r="F534" s="12">
        <v>4.2</v>
      </c>
      <c r="G534" s="8">
        <v>5</v>
      </c>
      <c r="H534" s="14">
        <v>73.44</v>
      </c>
      <c r="I534" s="8">
        <v>23.6</v>
      </c>
      <c r="J534" s="8">
        <v>14.69</v>
      </c>
      <c r="K534" s="8">
        <v>231</v>
      </c>
      <c r="L534" s="11">
        <v>0.052</v>
      </c>
      <c r="M534" s="11">
        <v>0.417</v>
      </c>
      <c r="N534" s="11">
        <v>0.0217</v>
      </c>
      <c r="O534" s="8">
        <v>208</v>
      </c>
      <c r="P534" s="8">
        <v>23</v>
      </c>
      <c r="Q534" s="8">
        <v>0</v>
      </c>
      <c r="R534" s="11">
        <v>0.048</v>
      </c>
      <c r="S534" s="11">
        <v>0.087</v>
      </c>
      <c r="T534" s="11">
        <v>0.5</v>
      </c>
      <c r="U534" s="11">
        <v>0</v>
      </c>
      <c r="V534" s="11">
        <v>0.167</v>
      </c>
      <c r="W534" s="8">
        <v>0</v>
      </c>
      <c r="X534" s="8">
        <v>0</v>
      </c>
      <c r="Y534" s="8">
        <v>0</v>
      </c>
      <c r="Z534" s="8">
        <v>0</v>
      </c>
      <c r="AA534" s="11">
        <v>0</v>
      </c>
      <c r="AB534" s="11">
        <v>0</v>
      </c>
      <c r="AC534" s="11">
        <v>0</v>
      </c>
      <c r="AD534" s="11">
        <v>0</v>
      </c>
    </row>
    <row r="535" customFormat="1" ht="22" customHeight="1" spans="1:30">
      <c r="A535" s="8" t="s">
        <v>31</v>
      </c>
      <c r="B535" s="8" t="str">
        <f>VLOOKUP(E535,[1]Sheet1!$C:$E,2,FALSE)</f>
        <v>刘欢</v>
      </c>
      <c r="C535" s="8">
        <f>VLOOKUP(E535,[1]Sheet1!$C:$E,3,FALSE)</f>
        <v>0</v>
      </c>
      <c r="D535" s="8" t="s">
        <v>564</v>
      </c>
      <c r="E535" s="10">
        <v>542857729</v>
      </c>
      <c r="F535" s="8">
        <v>4.8</v>
      </c>
      <c r="G535" s="8">
        <v>6</v>
      </c>
      <c r="H535" s="14">
        <v>72.59</v>
      </c>
      <c r="I535" s="8">
        <v>15.08</v>
      </c>
      <c r="J535" s="8">
        <v>12.1</v>
      </c>
      <c r="K535" s="8">
        <v>351</v>
      </c>
      <c r="L535" s="11">
        <v>0.063</v>
      </c>
      <c r="M535" s="11">
        <v>0.273</v>
      </c>
      <c r="N535" s="11">
        <v>0.0172</v>
      </c>
      <c r="O535" s="8">
        <v>320</v>
      </c>
      <c r="P535" s="8">
        <v>31</v>
      </c>
      <c r="Q535" s="8">
        <v>2</v>
      </c>
      <c r="R535" s="11">
        <v>0.056</v>
      </c>
      <c r="S535" s="11">
        <v>0.129</v>
      </c>
      <c r="T535" s="11">
        <v>0.222</v>
      </c>
      <c r="U535" s="11">
        <v>0.5</v>
      </c>
      <c r="V535" s="11">
        <v>0.231</v>
      </c>
      <c r="W535" s="8">
        <v>0</v>
      </c>
      <c r="X535" s="8">
        <v>0</v>
      </c>
      <c r="Y535" s="8">
        <v>0</v>
      </c>
      <c r="Z535" s="8">
        <v>0</v>
      </c>
      <c r="AA535" s="11">
        <v>0</v>
      </c>
      <c r="AB535" s="11">
        <v>0</v>
      </c>
      <c r="AC535" s="11">
        <v>0</v>
      </c>
      <c r="AD535" s="11">
        <v>0</v>
      </c>
    </row>
    <row r="536" customFormat="1" ht="22" customHeight="1" spans="1:30">
      <c r="A536" s="8" t="s">
        <v>31</v>
      </c>
      <c r="B536" s="8" t="str">
        <f>VLOOKUP(E536,[1]Sheet1!$C:$E,2,FALSE)</f>
        <v>王森</v>
      </c>
      <c r="C536" s="8">
        <f>VLOOKUP(E536,[1]Sheet1!$C:$E,3,FALSE)</f>
        <v>0</v>
      </c>
      <c r="D536" s="12" t="s">
        <v>565</v>
      </c>
      <c r="E536" s="13">
        <v>538626693</v>
      </c>
      <c r="F536" s="12">
        <v>4.7</v>
      </c>
      <c r="G536" s="8">
        <v>4</v>
      </c>
      <c r="H536" s="14">
        <v>69.4</v>
      </c>
      <c r="I536" s="8">
        <v>20.34</v>
      </c>
      <c r="J536" s="8">
        <v>17.35</v>
      </c>
      <c r="K536" s="8">
        <v>1178</v>
      </c>
      <c r="L536" s="11">
        <v>0.037</v>
      </c>
      <c r="M536" s="11">
        <v>0.093</v>
      </c>
      <c r="N536" s="11">
        <v>0.0034</v>
      </c>
      <c r="O536" s="8">
        <v>1137</v>
      </c>
      <c r="P536" s="8">
        <v>41</v>
      </c>
      <c r="Q536" s="8">
        <v>3</v>
      </c>
      <c r="R536" s="11">
        <v>0.033</v>
      </c>
      <c r="S536" s="11">
        <v>0.146</v>
      </c>
      <c r="T536" s="11">
        <v>0.027</v>
      </c>
      <c r="U536" s="11">
        <v>0.5</v>
      </c>
      <c r="V536" s="11">
        <v>0.137</v>
      </c>
      <c r="W536" s="8">
        <v>0</v>
      </c>
      <c r="X536" s="8">
        <v>0</v>
      </c>
      <c r="Y536" s="8">
        <v>0</v>
      </c>
      <c r="Z536" s="8">
        <v>0</v>
      </c>
      <c r="AA536" s="11">
        <v>0</v>
      </c>
      <c r="AB536" s="11">
        <v>0</v>
      </c>
      <c r="AC536" s="11">
        <v>0</v>
      </c>
      <c r="AD536" s="11">
        <v>0</v>
      </c>
    </row>
    <row r="537" customFormat="1" ht="22" customHeight="1" spans="1:30">
      <c r="A537" s="8" t="s">
        <v>31</v>
      </c>
      <c r="B537" s="8" t="str">
        <f>VLOOKUP(E537,[1]Sheet1!$C:$E,2,FALSE)</f>
        <v>徐从众</v>
      </c>
      <c r="C537" s="9" t="str">
        <f>VLOOKUP(E537,[1]Sheet1!$C:$E,3,FALSE)</f>
        <v>S</v>
      </c>
      <c r="D537" s="8" t="s">
        <v>566</v>
      </c>
      <c r="E537" s="10">
        <v>538925320</v>
      </c>
      <c r="F537" s="8">
        <v>4.8</v>
      </c>
      <c r="G537" s="8">
        <v>2</v>
      </c>
      <c r="H537" s="14">
        <v>67.07</v>
      </c>
      <c r="I537" s="8">
        <v>0</v>
      </c>
      <c r="J537" s="8">
        <v>33.54</v>
      </c>
      <c r="K537" s="8">
        <v>146</v>
      </c>
      <c r="L537" s="11">
        <v>0.158</v>
      </c>
      <c r="M537" s="11">
        <v>0.087</v>
      </c>
      <c r="N537" s="11">
        <v>0.0137</v>
      </c>
      <c r="O537" s="8">
        <v>0</v>
      </c>
      <c r="P537" s="8">
        <v>0</v>
      </c>
      <c r="Q537" s="8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0.18</v>
      </c>
      <c r="W537" s="8">
        <v>0</v>
      </c>
      <c r="X537" s="8">
        <v>0</v>
      </c>
      <c r="Y537" s="8">
        <v>0</v>
      </c>
      <c r="Z537" s="8">
        <v>0</v>
      </c>
      <c r="AA537" s="11">
        <v>0</v>
      </c>
      <c r="AB537" s="11">
        <v>0</v>
      </c>
      <c r="AC537" s="11">
        <v>0</v>
      </c>
      <c r="AD537" s="11">
        <v>0</v>
      </c>
    </row>
    <row r="538" customFormat="1" ht="22" customHeight="1" spans="1:30">
      <c r="A538" s="8" t="s">
        <v>31</v>
      </c>
      <c r="B538" s="8" t="e">
        <f>VLOOKUP(E538,[1]Sheet1!$C:$E,2,FALSE)</f>
        <v>#N/A</v>
      </c>
      <c r="C538" s="8" t="e">
        <f>VLOOKUP(E538,[1]Sheet1!$C:$E,3,FALSE)</f>
        <v>#N/A</v>
      </c>
      <c r="D538" s="12" t="s">
        <v>567</v>
      </c>
      <c r="E538" s="13">
        <v>1340314059</v>
      </c>
      <c r="F538" s="12">
        <v>4.6</v>
      </c>
      <c r="G538" s="8">
        <v>3</v>
      </c>
      <c r="H538" s="14">
        <v>66.88</v>
      </c>
      <c r="I538" s="8">
        <v>28.77</v>
      </c>
      <c r="J538" s="8">
        <v>22.29</v>
      </c>
      <c r="K538" s="8">
        <v>233</v>
      </c>
      <c r="L538" s="11">
        <v>0.043</v>
      </c>
      <c r="M538" s="11">
        <v>0.3</v>
      </c>
      <c r="N538" s="11">
        <v>0.0129</v>
      </c>
      <c r="O538" s="8">
        <v>216</v>
      </c>
      <c r="P538" s="8">
        <v>17</v>
      </c>
      <c r="Q538" s="8">
        <v>0</v>
      </c>
      <c r="R538" s="11">
        <v>0.042</v>
      </c>
      <c r="S538" s="11">
        <v>0.059</v>
      </c>
      <c r="T538" s="11">
        <v>0.333</v>
      </c>
      <c r="U538" s="11">
        <v>0</v>
      </c>
      <c r="V538" s="11">
        <v>0.087</v>
      </c>
      <c r="W538" s="8">
        <v>1</v>
      </c>
      <c r="X538" s="8">
        <v>1</v>
      </c>
      <c r="Y538" s="8">
        <v>0</v>
      </c>
      <c r="Z538" s="8">
        <v>0</v>
      </c>
      <c r="AA538" s="11">
        <v>0.3333</v>
      </c>
      <c r="AB538" s="11">
        <v>1</v>
      </c>
      <c r="AC538" s="11">
        <v>0</v>
      </c>
      <c r="AD538" s="11">
        <v>0</v>
      </c>
    </row>
    <row r="539" customFormat="1" ht="22" customHeight="1" spans="1:30">
      <c r="A539" s="8" t="s">
        <v>31</v>
      </c>
      <c r="B539" s="8" t="str">
        <f>VLOOKUP(E539,[1]Sheet1!$C:$E,2,FALSE)</f>
        <v>岳贝贝</v>
      </c>
      <c r="C539" s="8" t="str">
        <f>VLOOKUP(E539,[1]Sheet1!$C:$E,3,FALSE)</f>
        <v>B</v>
      </c>
      <c r="D539" s="12" t="s">
        <v>568</v>
      </c>
      <c r="E539" s="13">
        <v>1347814753</v>
      </c>
      <c r="F539" s="12">
        <v>4.7</v>
      </c>
      <c r="G539" s="8">
        <v>3</v>
      </c>
      <c r="H539" s="14">
        <v>65.66</v>
      </c>
      <c r="I539" s="8">
        <v>0</v>
      </c>
      <c r="J539" s="8">
        <v>21.89</v>
      </c>
      <c r="K539" s="8">
        <v>410</v>
      </c>
      <c r="L539" s="11">
        <v>0.078</v>
      </c>
      <c r="M539" s="11">
        <v>0.094</v>
      </c>
      <c r="N539" s="11">
        <v>0.0073</v>
      </c>
      <c r="O539" s="8">
        <v>0</v>
      </c>
      <c r="P539" s="8">
        <v>0</v>
      </c>
      <c r="Q539" s="8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0.127</v>
      </c>
      <c r="W539" s="8">
        <v>0</v>
      </c>
      <c r="X539" s="8">
        <v>0</v>
      </c>
      <c r="Y539" s="8">
        <v>0</v>
      </c>
      <c r="Z539" s="8">
        <v>0</v>
      </c>
      <c r="AA539" s="11">
        <v>0</v>
      </c>
      <c r="AB539" s="11">
        <v>0</v>
      </c>
      <c r="AC539" s="11">
        <v>0</v>
      </c>
      <c r="AD539" s="11">
        <v>0</v>
      </c>
    </row>
    <row r="540" customFormat="1" ht="22" customHeight="1" spans="1:30">
      <c r="A540" s="8" t="s">
        <v>31</v>
      </c>
      <c r="B540" s="8" t="str">
        <f>VLOOKUP(E540,[1]Sheet1!$C:$E,2,FALSE)</f>
        <v>王森</v>
      </c>
      <c r="C540" s="8">
        <f>VLOOKUP(E540,[1]Sheet1!$C:$E,3,FALSE)</f>
        <v>0</v>
      </c>
      <c r="D540" s="12" t="s">
        <v>569</v>
      </c>
      <c r="E540" s="13">
        <v>1335870220</v>
      </c>
      <c r="F540" s="12">
        <v>4.5</v>
      </c>
      <c r="G540" s="8">
        <v>5</v>
      </c>
      <c r="H540" s="14">
        <v>65.48</v>
      </c>
      <c r="I540" s="8">
        <v>20.46</v>
      </c>
      <c r="J540" s="8">
        <v>13.1</v>
      </c>
      <c r="K540" s="8">
        <v>416</v>
      </c>
      <c r="L540" s="11">
        <v>0.043</v>
      </c>
      <c r="M540" s="11">
        <v>0.278</v>
      </c>
      <c r="N540" s="11">
        <v>0.012</v>
      </c>
      <c r="O540" s="8">
        <v>392</v>
      </c>
      <c r="P540" s="8">
        <v>24</v>
      </c>
      <c r="Q540" s="8">
        <v>2</v>
      </c>
      <c r="R540" s="11">
        <v>0.038</v>
      </c>
      <c r="S540" s="11">
        <v>0.125</v>
      </c>
      <c r="T540" s="11">
        <v>0.2</v>
      </c>
      <c r="U540" s="11">
        <v>0.667</v>
      </c>
      <c r="V540" s="11">
        <v>0.095</v>
      </c>
      <c r="W540" s="8">
        <v>0</v>
      </c>
      <c r="X540" s="8">
        <v>0</v>
      </c>
      <c r="Y540" s="8">
        <v>0</v>
      </c>
      <c r="Z540" s="8">
        <v>0</v>
      </c>
      <c r="AA540" s="11">
        <v>0</v>
      </c>
      <c r="AB540" s="11">
        <v>0</v>
      </c>
      <c r="AC540" s="11">
        <v>0</v>
      </c>
      <c r="AD540" s="11">
        <v>0</v>
      </c>
    </row>
    <row r="541" customFormat="1" ht="22" customHeight="1" spans="1:30">
      <c r="A541" s="8" t="s">
        <v>31</v>
      </c>
      <c r="B541" s="8" t="str">
        <f>VLOOKUP(E541,[1]Sheet1!$C:$E,2,FALSE)</f>
        <v>王森</v>
      </c>
      <c r="C541" s="8">
        <f>VLOOKUP(E541,[1]Sheet1!$C:$E,3,FALSE)</f>
        <v>0</v>
      </c>
      <c r="D541" s="12" t="s">
        <v>570</v>
      </c>
      <c r="E541" s="13">
        <v>1350434950</v>
      </c>
      <c r="F541" s="12">
        <v>4.5</v>
      </c>
      <c r="G541" s="8">
        <v>4</v>
      </c>
      <c r="H541" s="14">
        <v>65.05</v>
      </c>
      <c r="I541" s="8">
        <v>23.35</v>
      </c>
      <c r="J541" s="8">
        <v>16.26</v>
      </c>
      <c r="K541" s="8">
        <v>464</v>
      </c>
      <c r="L541" s="11">
        <v>0.063</v>
      </c>
      <c r="M541" s="11">
        <v>0.138</v>
      </c>
      <c r="N541" s="11">
        <v>0.0087</v>
      </c>
      <c r="O541" s="8">
        <v>429</v>
      </c>
      <c r="P541" s="8">
        <v>35</v>
      </c>
      <c r="Q541" s="8">
        <v>2</v>
      </c>
      <c r="R541" s="11">
        <v>0.056</v>
      </c>
      <c r="S541" s="11">
        <v>0.143</v>
      </c>
      <c r="T541" s="11">
        <v>0.083</v>
      </c>
      <c r="U541" s="11">
        <v>0.4</v>
      </c>
      <c r="V541" s="11">
        <v>0.132</v>
      </c>
      <c r="W541" s="8">
        <v>0</v>
      </c>
      <c r="X541" s="8">
        <v>0</v>
      </c>
      <c r="Y541" s="8">
        <v>0</v>
      </c>
      <c r="Z541" s="8">
        <v>0</v>
      </c>
      <c r="AA541" s="11">
        <v>0</v>
      </c>
      <c r="AB541" s="11">
        <v>0</v>
      </c>
      <c r="AC541" s="11">
        <v>0</v>
      </c>
      <c r="AD541" s="11">
        <v>0</v>
      </c>
    </row>
    <row r="542" customFormat="1" ht="22" customHeight="1" spans="1:30">
      <c r="A542" s="8" t="s">
        <v>31</v>
      </c>
      <c r="B542" s="8" t="str">
        <f>VLOOKUP(E542,[1]Sheet1!$C:$E,2,FALSE)</f>
        <v>岳贝贝</v>
      </c>
      <c r="C542" s="8" t="str">
        <f>VLOOKUP(E542,[1]Sheet1!$C:$E,3,FALSE)</f>
        <v>D</v>
      </c>
      <c r="D542" s="8" t="s">
        <v>571</v>
      </c>
      <c r="E542" s="10">
        <v>1340375533</v>
      </c>
      <c r="F542" s="8">
        <v>5</v>
      </c>
      <c r="G542" s="8">
        <v>5</v>
      </c>
      <c r="H542" s="14">
        <v>63.83</v>
      </c>
      <c r="I542" s="8">
        <v>19.62</v>
      </c>
      <c r="J542" s="8">
        <v>12.77</v>
      </c>
      <c r="K542" s="8">
        <v>544</v>
      </c>
      <c r="L542" s="11">
        <v>0.059</v>
      </c>
      <c r="M542" s="11">
        <v>0.156</v>
      </c>
      <c r="N542" s="11">
        <v>0.0092</v>
      </c>
      <c r="O542" s="8">
        <v>505</v>
      </c>
      <c r="P542" s="8">
        <v>39</v>
      </c>
      <c r="Q542" s="8">
        <v>2</v>
      </c>
      <c r="R542" s="11">
        <v>0.051</v>
      </c>
      <c r="S542" s="11">
        <v>0.154</v>
      </c>
      <c r="T542" s="11">
        <v>0.115</v>
      </c>
      <c r="U542" s="11">
        <v>0.333</v>
      </c>
      <c r="V542" s="11">
        <v>0.248</v>
      </c>
      <c r="W542" s="8">
        <v>0</v>
      </c>
      <c r="X542" s="8">
        <v>0</v>
      </c>
      <c r="Y542" s="8">
        <v>0</v>
      </c>
      <c r="Z542" s="8">
        <v>0</v>
      </c>
      <c r="AA542" s="11">
        <v>0</v>
      </c>
      <c r="AB542" s="11">
        <v>0</v>
      </c>
      <c r="AC542" s="11">
        <v>0</v>
      </c>
      <c r="AD542" s="11">
        <v>0</v>
      </c>
    </row>
    <row r="543" customFormat="1" ht="22" customHeight="1" spans="1:30">
      <c r="A543" s="8" t="s">
        <v>31</v>
      </c>
      <c r="B543" s="8" t="str">
        <f>VLOOKUP(E543,[1]Sheet1!$C:$E,2,FALSE)</f>
        <v>岳贝贝</v>
      </c>
      <c r="C543" s="8" t="str">
        <f>VLOOKUP(E543,[1]Sheet1!$C:$E,3,FALSE)</f>
        <v>D</v>
      </c>
      <c r="D543" s="8" t="s">
        <v>572</v>
      </c>
      <c r="E543" s="10">
        <v>1338598526</v>
      </c>
      <c r="F543" s="8">
        <v>4.9</v>
      </c>
      <c r="G543" s="8">
        <v>2</v>
      </c>
      <c r="H543" s="14">
        <v>61.3</v>
      </c>
      <c r="I543" s="8">
        <v>34.5</v>
      </c>
      <c r="J543" s="8">
        <v>30.65</v>
      </c>
      <c r="K543" s="8">
        <v>296</v>
      </c>
      <c r="L543" s="11">
        <v>0.057</v>
      </c>
      <c r="M543" s="11">
        <v>0.118</v>
      </c>
      <c r="N543" s="11">
        <v>0.0067</v>
      </c>
      <c r="O543" s="8">
        <v>272</v>
      </c>
      <c r="P543" s="8">
        <v>24</v>
      </c>
      <c r="Q543" s="8">
        <v>2</v>
      </c>
      <c r="R543" s="11">
        <v>0.04</v>
      </c>
      <c r="S543" s="11">
        <v>0.25</v>
      </c>
      <c r="T543" s="11">
        <v>0</v>
      </c>
      <c r="U543" s="11">
        <v>0.333</v>
      </c>
      <c r="V543" s="11">
        <v>0.197</v>
      </c>
      <c r="W543" s="8">
        <v>0</v>
      </c>
      <c r="X543" s="8">
        <v>0</v>
      </c>
      <c r="Y543" s="8">
        <v>0</v>
      </c>
      <c r="Z543" s="8">
        <v>0</v>
      </c>
      <c r="AA543" s="11">
        <v>0</v>
      </c>
      <c r="AB543" s="11">
        <v>0</v>
      </c>
      <c r="AC543" s="11">
        <v>0</v>
      </c>
      <c r="AD543" s="11">
        <v>0</v>
      </c>
    </row>
    <row r="544" customFormat="1" ht="22" customHeight="1" spans="1:30">
      <c r="A544" s="8" t="s">
        <v>31</v>
      </c>
      <c r="B544" s="8" t="str">
        <f>VLOOKUP(E544,[1]Sheet1!$C:$E,2,FALSE)</f>
        <v>刘欢</v>
      </c>
      <c r="C544" s="8">
        <f>VLOOKUP(E544,[1]Sheet1!$C:$E,3,FALSE)</f>
        <v>0</v>
      </c>
      <c r="D544" s="8" t="s">
        <v>573</v>
      </c>
      <c r="E544" s="10">
        <v>1317628360</v>
      </c>
      <c r="F544" s="8">
        <v>4.9</v>
      </c>
      <c r="G544" s="8">
        <v>9</v>
      </c>
      <c r="H544" s="14">
        <v>58.09</v>
      </c>
      <c r="I544" s="8">
        <v>7.06</v>
      </c>
      <c r="J544" s="8">
        <v>6.45</v>
      </c>
      <c r="K544" s="8">
        <v>425</v>
      </c>
      <c r="L544" s="11">
        <v>0.085</v>
      </c>
      <c r="M544" s="11">
        <v>0.222</v>
      </c>
      <c r="N544" s="11">
        <v>0.0189</v>
      </c>
      <c r="O544" s="8">
        <v>341</v>
      </c>
      <c r="P544" s="8">
        <v>84</v>
      </c>
      <c r="Q544" s="8">
        <v>2</v>
      </c>
      <c r="R544" s="11">
        <v>0.085</v>
      </c>
      <c r="S544" s="11">
        <v>0.083</v>
      </c>
      <c r="T544" s="11">
        <v>0.207</v>
      </c>
      <c r="U544" s="11">
        <v>0.286</v>
      </c>
      <c r="V544" s="11">
        <v>0.351</v>
      </c>
      <c r="W544" s="8">
        <v>0</v>
      </c>
      <c r="X544" s="8">
        <v>0</v>
      </c>
      <c r="Y544" s="8">
        <v>0</v>
      </c>
      <c r="Z544" s="8">
        <v>0</v>
      </c>
      <c r="AA544" s="11">
        <v>0</v>
      </c>
      <c r="AB544" s="11">
        <v>0</v>
      </c>
      <c r="AC544" s="11">
        <v>0</v>
      </c>
      <c r="AD544" s="11">
        <v>0</v>
      </c>
    </row>
    <row r="545" customFormat="1" ht="22" customHeight="1" spans="1:30">
      <c r="A545" s="8" t="s">
        <v>31</v>
      </c>
      <c r="B545" s="8" t="str">
        <f>VLOOKUP(E545,[1]Sheet1!$C:$E,2,FALSE)</f>
        <v>王森</v>
      </c>
      <c r="C545" s="9" t="str">
        <f>VLOOKUP(E545,[1]Sheet1!$C:$E,3,FALSE)</f>
        <v>A</v>
      </c>
      <c r="D545" s="12" t="s">
        <v>574</v>
      </c>
      <c r="E545" s="13">
        <v>543140597</v>
      </c>
      <c r="F545" s="12">
        <v>4.5</v>
      </c>
      <c r="G545" s="8">
        <v>2</v>
      </c>
      <c r="H545" s="14">
        <v>57.78</v>
      </c>
      <c r="I545" s="8">
        <v>37.9</v>
      </c>
      <c r="J545" s="8">
        <v>28.89</v>
      </c>
      <c r="K545" s="8">
        <v>531</v>
      </c>
      <c r="L545" s="11">
        <v>0.068</v>
      </c>
      <c r="M545" s="11">
        <v>0.056</v>
      </c>
      <c r="N545" s="11">
        <v>0.0038</v>
      </c>
      <c r="O545" s="8">
        <v>493</v>
      </c>
      <c r="P545" s="8">
        <v>38</v>
      </c>
      <c r="Q545" s="8">
        <v>2</v>
      </c>
      <c r="R545" s="11">
        <v>0.059</v>
      </c>
      <c r="S545" s="11">
        <v>0.184</v>
      </c>
      <c r="T545" s="11">
        <v>0</v>
      </c>
      <c r="U545" s="11">
        <v>0.286</v>
      </c>
      <c r="V545" s="11">
        <v>0.158</v>
      </c>
      <c r="W545" s="8">
        <v>0</v>
      </c>
      <c r="X545" s="8">
        <v>0</v>
      </c>
      <c r="Y545" s="8">
        <v>0</v>
      </c>
      <c r="Z545" s="8">
        <v>0</v>
      </c>
      <c r="AA545" s="11">
        <v>0</v>
      </c>
      <c r="AB545" s="11">
        <v>0</v>
      </c>
      <c r="AC545" s="11">
        <v>0</v>
      </c>
      <c r="AD545" s="11">
        <v>0</v>
      </c>
    </row>
    <row r="546" customFormat="1" ht="22" customHeight="1" spans="1:30">
      <c r="A546" s="8" t="s">
        <v>31</v>
      </c>
      <c r="B546" s="8" t="e">
        <f>VLOOKUP(E546,[1]Sheet1!$C:$E,2,FALSE)</f>
        <v>#N/A</v>
      </c>
      <c r="C546" s="8" t="e">
        <f>VLOOKUP(E546,[1]Sheet1!$C:$E,3,FALSE)</f>
        <v>#N/A</v>
      </c>
      <c r="D546" s="12" t="s">
        <v>575</v>
      </c>
      <c r="E546" s="13">
        <v>531281250</v>
      </c>
      <c r="F546" s="12">
        <v>4.5</v>
      </c>
      <c r="G546" s="8">
        <v>4</v>
      </c>
      <c r="H546" s="14">
        <v>56.9</v>
      </c>
      <c r="I546" s="8">
        <v>0</v>
      </c>
      <c r="J546" s="8">
        <v>14.23</v>
      </c>
      <c r="K546" s="8">
        <v>201</v>
      </c>
      <c r="L546" s="11">
        <v>0.065</v>
      </c>
      <c r="M546" s="11">
        <v>0.308</v>
      </c>
      <c r="N546" s="11">
        <v>0.02</v>
      </c>
      <c r="O546" s="8">
        <v>0</v>
      </c>
      <c r="P546" s="8">
        <v>0</v>
      </c>
      <c r="Q546" s="8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0.196</v>
      </c>
      <c r="W546" s="8">
        <v>0</v>
      </c>
      <c r="X546" s="8">
        <v>0</v>
      </c>
      <c r="Y546" s="8">
        <v>0</v>
      </c>
      <c r="Z546" s="8">
        <v>0</v>
      </c>
      <c r="AA546" s="11">
        <v>0</v>
      </c>
      <c r="AB546" s="11">
        <v>0</v>
      </c>
      <c r="AC546" s="11">
        <v>0</v>
      </c>
      <c r="AD546" s="11">
        <v>0</v>
      </c>
    </row>
    <row r="547" customFormat="1" ht="22" customHeight="1" spans="1:30">
      <c r="A547" s="8" t="s">
        <v>31</v>
      </c>
      <c r="B547" s="8" t="str">
        <f>VLOOKUP(E547,[1]Sheet1!$C:$E,2,FALSE)</f>
        <v>王森</v>
      </c>
      <c r="C547" s="8">
        <f>VLOOKUP(E547,[1]Sheet1!$C:$E,3,FALSE)</f>
        <v>0</v>
      </c>
      <c r="D547" s="8" t="s">
        <v>576</v>
      </c>
      <c r="E547" s="10">
        <v>1345602273</v>
      </c>
      <c r="F547" s="8">
        <v>4.9</v>
      </c>
      <c r="G547" s="8">
        <v>7</v>
      </c>
      <c r="H547" s="14">
        <v>56.32</v>
      </c>
      <c r="I547" s="8">
        <v>10.6</v>
      </c>
      <c r="J547" s="8">
        <v>8.05</v>
      </c>
      <c r="K547" s="8">
        <v>861</v>
      </c>
      <c r="L547" s="11">
        <v>0.055</v>
      </c>
      <c r="M547" s="11">
        <v>0.149</v>
      </c>
      <c r="N547" s="11">
        <v>0.0082</v>
      </c>
      <c r="O547" s="8">
        <v>770</v>
      </c>
      <c r="P547" s="8">
        <v>91</v>
      </c>
      <c r="Q547" s="8">
        <v>4</v>
      </c>
      <c r="R547" s="11">
        <v>0.045</v>
      </c>
      <c r="S547" s="11">
        <v>0.132</v>
      </c>
      <c r="T547" s="11">
        <v>0.086</v>
      </c>
      <c r="U547" s="11">
        <v>0.333</v>
      </c>
      <c r="V547" s="11">
        <v>0.235</v>
      </c>
      <c r="W547" s="8">
        <v>0</v>
      </c>
      <c r="X547" s="8">
        <v>0</v>
      </c>
      <c r="Y547" s="8">
        <v>0</v>
      </c>
      <c r="Z547" s="8">
        <v>0</v>
      </c>
      <c r="AA547" s="11">
        <v>0</v>
      </c>
      <c r="AB547" s="11">
        <v>0</v>
      </c>
      <c r="AC547" s="11">
        <v>0</v>
      </c>
      <c r="AD547" s="11">
        <v>0</v>
      </c>
    </row>
    <row r="548" customFormat="1" ht="22" customHeight="1" spans="1:30">
      <c r="A548" s="8" t="s">
        <v>31</v>
      </c>
      <c r="B548" s="8" t="str">
        <f>VLOOKUP(E548,[1]Sheet1!$C:$E,2,FALSE)</f>
        <v>刘欢</v>
      </c>
      <c r="C548" s="8">
        <f>VLOOKUP(E548,[1]Sheet1!$C:$E,3,FALSE)</f>
        <v>0</v>
      </c>
      <c r="D548" s="8" t="s">
        <v>577</v>
      </c>
      <c r="E548" s="10">
        <v>1330545177</v>
      </c>
      <c r="F548" s="8">
        <v>4.8</v>
      </c>
      <c r="G548" s="8">
        <v>5</v>
      </c>
      <c r="H548" s="14">
        <v>55.91</v>
      </c>
      <c r="I548" s="8">
        <v>15.7</v>
      </c>
      <c r="J548" s="8">
        <v>11.18</v>
      </c>
      <c r="K548" s="8">
        <v>421</v>
      </c>
      <c r="L548" s="11">
        <v>0.059</v>
      </c>
      <c r="M548" s="11">
        <v>0.2</v>
      </c>
      <c r="N548" s="11">
        <v>0.0118</v>
      </c>
      <c r="O548" s="8">
        <v>382</v>
      </c>
      <c r="P548" s="8">
        <v>39</v>
      </c>
      <c r="Q548" s="8">
        <v>2</v>
      </c>
      <c r="R548" s="11">
        <v>0.05</v>
      </c>
      <c r="S548" s="11">
        <v>0.154</v>
      </c>
      <c r="T548" s="11">
        <v>0.158</v>
      </c>
      <c r="U548" s="11">
        <v>0.333</v>
      </c>
      <c r="V548" s="11">
        <v>0.245</v>
      </c>
      <c r="W548" s="8">
        <v>0</v>
      </c>
      <c r="X548" s="8">
        <v>0</v>
      </c>
      <c r="Y548" s="8">
        <v>0</v>
      </c>
      <c r="Z548" s="8">
        <v>0</v>
      </c>
      <c r="AA548" s="11">
        <v>0</v>
      </c>
      <c r="AB548" s="11">
        <v>0</v>
      </c>
      <c r="AC548" s="11">
        <v>0</v>
      </c>
      <c r="AD548" s="11">
        <v>0</v>
      </c>
    </row>
    <row r="549" customFormat="1" ht="22" customHeight="1" spans="1:30">
      <c r="A549" s="8" t="s">
        <v>31</v>
      </c>
      <c r="B549" s="8" t="str">
        <f>VLOOKUP(E549,[1]Sheet1!$C:$E,2,FALSE)</f>
        <v>刘欢</v>
      </c>
      <c r="C549" s="8" t="str">
        <f>VLOOKUP(E549,[1]Sheet1!$C:$E,3,FALSE)</f>
        <v>C</v>
      </c>
      <c r="D549" s="12" t="s">
        <v>578</v>
      </c>
      <c r="E549" s="13">
        <v>538591844</v>
      </c>
      <c r="F549" s="12">
        <v>4.3</v>
      </c>
      <c r="G549" s="8">
        <v>5</v>
      </c>
      <c r="H549" s="14">
        <v>55.83</v>
      </c>
      <c r="I549" s="8">
        <v>15.46</v>
      </c>
      <c r="J549" s="8">
        <v>11.17</v>
      </c>
      <c r="K549" s="8">
        <v>629</v>
      </c>
      <c r="L549" s="11">
        <v>0.045</v>
      </c>
      <c r="M549" s="11">
        <v>0.179</v>
      </c>
      <c r="N549" s="11">
        <v>0.0081</v>
      </c>
      <c r="O549" s="8">
        <v>616</v>
      </c>
      <c r="P549" s="8">
        <v>13</v>
      </c>
      <c r="Q549" s="8">
        <v>0</v>
      </c>
      <c r="R549" s="11">
        <v>0.039</v>
      </c>
      <c r="S549" s="11">
        <v>0.308</v>
      </c>
      <c r="T549" s="11">
        <v>0.208</v>
      </c>
      <c r="U549" s="11">
        <v>0</v>
      </c>
      <c r="V549" s="11">
        <v>0.027</v>
      </c>
      <c r="W549" s="8">
        <v>0</v>
      </c>
      <c r="X549" s="8">
        <v>0</v>
      </c>
      <c r="Y549" s="8">
        <v>0</v>
      </c>
      <c r="Z549" s="8">
        <v>0</v>
      </c>
      <c r="AA549" s="11">
        <v>0</v>
      </c>
      <c r="AB549" s="11">
        <v>0</v>
      </c>
      <c r="AC549" s="11">
        <v>0</v>
      </c>
      <c r="AD549" s="11">
        <v>0</v>
      </c>
    </row>
    <row r="550" customFormat="1" ht="22" customHeight="1" spans="1:30">
      <c r="A550" s="8" t="s">
        <v>31</v>
      </c>
      <c r="B550" s="8" t="e">
        <f>VLOOKUP(E550,[1]Sheet1!$C:$E,2,FALSE)</f>
        <v>#N/A</v>
      </c>
      <c r="C550" s="8" t="e">
        <f>VLOOKUP(E550,[1]Sheet1!$C:$E,3,FALSE)</f>
        <v>#N/A</v>
      </c>
      <c r="D550" s="12" t="s">
        <v>579</v>
      </c>
      <c r="E550" s="13">
        <v>544432588</v>
      </c>
      <c r="F550" s="12">
        <v>4.7</v>
      </c>
      <c r="G550" s="8">
        <v>3</v>
      </c>
      <c r="H550" s="14">
        <v>54.79</v>
      </c>
      <c r="I550" s="8">
        <v>0</v>
      </c>
      <c r="J550" s="8">
        <v>18.26</v>
      </c>
      <c r="K550" s="8">
        <v>116</v>
      </c>
      <c r="L550" s="11">
        <v>0.086</v>
      </c>
      <c r="M550" s="11">
        <v>0.3</v>
      </c>
      <c r="N550" s="11">
        <v>0.0258</v>
      </c>
      <c r="O550" s="8">
        <v>0</v>
      </c>
      <c r="P550" s="8">
        <v>0</v>
      </c>
      <c r="Q550" s="8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0.143</v>
      </c>
      <c r="W550" s="8">
        <v>0</v>
      </c>
      <c r="X550" s="8">
        <v>0</v>
      </c>
      <c r="Y550" s="8">
        <v>0</v>
      </c>
      <c r="Z550" s="8">
        <v>0</v>
      </c>
      <c r="AA550" s="11">
        <v>0</v>
      </c>
      <c r="AB550" s="11">
        <v>0</v>
      </c>
      <c r="AC550" s="11">
        <v>0</v>
      </c>
      <c r="AD550" s="11">
        <v>0</v>
      </c>
    </row>
    <row r="551" customFormat="1" ht="22" customHeight="1" spans="1:30">
      <c r="A551" s="8" t="s">
        <v>31</v>
      </c>
      <c r="B551" s="8" t="str">
        <f>VLOOKUP(E551,[1]Sheet1!$C:$E,2,FALSE)</f>
        <v>王森</v>
      </c>
      <c r="C551" s="8">
        <f>VLOOKUP(E551,[1]Sheet1!$C:$E,3,FALSE)</f>
        <v>0</v>
      </c>
      <c r="D551" s="12" t="s">
        <v>580</v>
      </c>
      <c r="E551" s="13">
        <v>542984542</v>
      </c>
      <c r="F551" s="12">
        <v>4.7</v>
      </c>
      <c r="G551" s="8">
        <v>3</v>
      </c>
      <c r="H551" s="14">
        <v>54.71</v>
      </c>
      <c r="I551" s="8">
        <v>26.63</v>
      </c>
      <c r="J551" s="8">
        <v>18.24</v>
      </c>
      <c r="K551" s="8">
        <v>388</v>
      </c>
      <c r="L551" s="11">
        <v>0.121</v>
      </c>
      <c r="M551" s="11">
        <v>0.064</v>
      </c>
      <c r="N551" s="11">
        <v>0.0077</v>
      </c>
      <c r="O551" s="8">
        <v>358</v>
      </c>
      <c r="P551" s="8">
        <v>30</v>
      </c>
      <c r="Q551" s="8">
        <v>0</v>
      </c>
      <c r="R551" s="11">
        <v>0.128</v>
      </c>
      <c r="S551" s="11">
        <v>0.033</v>
      </c>
      <c r="T551" s="11">
        <v>0.065</v>
      </c>
      <c r="U551" s="11">
        <v>0</v>
      </c>
      <c r="V551" s="11">
        <v>0.11</v>
      </c>
      <c r="W551" s="8">
        <v>0</v>
      </c>
      <c r="X551" s="8">
        <v>0</v>
      </c>
      <c r="Y551" s="8">
        <v>0</v>
      </c>
      <c r="Z551" s="8">
        <v>0</v>
      </c>
      <c r="AA551" s="11">
        <v>0</v>
      </c>
      <c r="AB551" s="11">
        <v>0</v>
      </c>
      <c r="AC551" s="11">
        <v>0</v>
      </c>
      <c r="AD551" s="11">
        <v>0</v>
      </c>
    </row>
    <row r="552" customFormat="1" ht="22" customHeight="1" spans="1:30">
      <c r="A552" s="8" t="s">
        <v>31</v>
      </c>
      <c r="B552" s="8" t="str">
        <f>VLOOKUP(E552,[1]Sheet1!$C:$E,2,FALSE)</f>
        <v>刘欢</v>
      </c>
      <c r="C552" s="8">
        <f>VLOOKUP(E552,[1]Sheet1!$C:$E,3,FALSE)</f>
        <v>0</v>
      </c>
      <c r="D552" s="8" t="s">
        <v>581</v>
      </c>
      <c r="E552" s="10">
        <v>1353874823</v>
      </c>
      <c r="F552" s="8">
        <v>4.9</v>
      </c>
      <c r="G552" s="8">
        <v>5</v>
      </c>
      <c r="H552" s="14">
        <v>54.59</v>
      </c>
      <c r="I552" s="8">
        <v>15.41</v>
      </c>
      <c r="J552" s="8">
        <v>10.92</v>
      </c>
      <c r="K552" s="8">
        <v>722</v>
      </c>
      <c r="L552" s="11">
        <v>0.084</v>
      </c>
      <c r="M552" s="11">
        <v>0.082</v>
      </c>
      <c r="N552" s="11">
        <v>0.0069</v>
      </c>
      <c r="O552" s="8">
        <v>681</v>
      </c>
      <c r="P552" s="8">
        <v>41</v>
      </c>
      <c r="Q552" s="8">
        <v>1</v>
      </c>
      <c r="R552" s="11">
        <v>0.079</v>
      </c>
      <c r="S552" s="11">
        <v>0.171</v>
      </c>
      <c r="T552" s="11">
        <v>0.074</v>
      </c>
      <c r="U552" s="11">
        <v>0.143</v>
      </c>
      <c r="V552" s="11">
        <v>0.135</v>
      </c>
      <c r="W552" s="8">
        <v>0</v>
      </c>
      <c r="X552" s="8">
        <v>0</v>
      </c>
      <c r="Y552" s="8">
        <v>0</v>
      </c>
      <c r="Z552" s="8">
        <v>0</v>
      </c>
      <c r="AA552" s="11">
        <v>0</v>
      </c>
      <c r="AB552" s="11">
        <v>0</v>
      </c>
      <c r="AC552" s="11">
        <v>0</v>
      </c>
      <c r="AD552" s="11">
        <v>0</v>
      </c>
    </row>
    <row r="553" customFormat="1" ht="22" customHeight="1" spans="1:30">
      <c r="A553" s="8" t="s">
        <v>31</v>
      </c>
      <c r="B553" s="8" t="str">
        <f>VLOOKUP(E553,[1]Sheet1!$C:$E,2,FALSE)</f>
        <v>王森</v>
      </c>
      <c r="C553" s="8">
        <f>VLOOKUP(E553,[1]Sheet1!$C:$E,3,FALSE)</f>
        <v>0</v>
      </c>
      <c r="D553" s="12" t="s">
        <v>582</v>
      </c>
      <c r="E553" s="13">
        <v>539970192</v>
      </c>
      <c r="F553" s="12">
        <v>4.7</v>
      </c>
      <c r="G553" s="8">
        <v>5</v>
      </c>
      <c r="H553" s="14">
        <v>52.66</v>
      </c>
      <c r="I553" s="8">
        <v>16.08</v>
      </c>
      <c r="J553" s="8">
        <v>10.53</v>
      </c>
      <c r="K553" s="8">
        <v>423</v>
      </c>
      <c r="L553" s="11">
        <v>0.064</v>
      </c>
      <c r="M553" s="11">
        <v>0.148</v>
      </c>
      <c r="N553" s="11">
        <v>0.0095</v>
      </c>
      <c r="O553" s="8">
        <v>381</v>
      </c>
      <c r="P553" s="8">
        <v>42</v>
      </c>
      <c r="Q553" s="8">
        <v>3</v>
      </c>
      <c r="R553" s="11">
        <v>0.05</v>
      </c>
      <c r="S553" s="11">
        <v>0.19</v>
      </c>
      <c r="T553" s="11">
        <v>0.053</v>
      </c>
      <c r="U553" s="11">
        <v>0.375</v>
      </c>
      <c r="V553" s="11">
        <v>0.13</v>
      </c>
      <c r="W553" s="8">
        <v>0</v>
      </c>
      <c r="X553" s="8">
        <v>0</v>
      </c>
      <c r="Y553" s="8">
        <v>0</v>
      </c>
      <c r="Z553" s="8">
        <v>0</v>
      </c>
      <c r="AA553" s="11">
        <v>0</v>
      </c>
      <c r="AB553" s="11">
        <v>0</v>
      </c>
      <c r="AC553" s="11">
        <v>0</v>
      </c>
      <c r="AD553" s="11">
        <v>0</v>
      </c>
    </row>
    <row r="554" customFormat="1" ht="22" customHeight="1" spans="1:30">
      <c r="A554" s="8" t="s">
        <v>31</v>
      </c>
      <c r="B554" s="8" t="e">
        <f>VLOOKUP(E554,[1]Sheet1!$C:$E,2,FALSE)</f>
        <v>#N/A</v>
      </c>
      <c r="C554" s="8" t="e">
        <f>VLOOKUP(E554,[1]Sheet1!$C:$E,3,FALSE)</f>
        <v>#N/A</v>
      </c>
      <c r="D554" s="12" t="s">
        <v>583</v>
      </c>
      <c r="E554" s="13">
        <v>545644588</v>
      </c>
      <c r="F554" s="12">
        <v>4.6</v>
      </c>
      <c r="G554" s="8">
        <v>3</v>
      </c>
      <c r="H554" s="14">
        <v>48.36</v>
      </c>
      <c r="I554" s="8">
        <v>19.88</v>
      </c>
      <c r="J554" s="8">
        <v>16.12</v>
      </c>
      <c r="K554" s="8">
        <v>491</v>
      </c>
      <c r="L554" s="11">
        <v>0.102</v>
      </c>
      <c r="M554" s="11">
        <v>0.06</v>
      </c>
      <c r="N554" s="11">
        <v>0.0061</v>
      </c>
      <c r="O554" s="8">
        <v>471</v>
      </c>
      <c r="P554" s="8">
        <v>20</v>
      </c>
      <c r="Q554" s="8">
        <v>0</v>
      </c>
      <c r="R554" s="11">
        <v>0.098</v>
      </c>
      <c r="S554" s="11">
        <v>0.2</v>
      </c>
      <c r="T554" s="11">
        <v>0.065</v>
      </c>
      <c r="U554" s="11">
        <v>0</v>
      </c>
      <c r="V554" s="11">
        <v>0.049</v>
      </c>
      <c r="W554" s="8">
        <v>0</v>
      </c>
      <c r="X554" s="8">
        <v>0</v>
      </c>
      <c r="Y554" s="8">
        <v>0</v>
      </c>
      <c r="Z554" s="8">
        <v>0</v>
      </c>
      <c r="AA554" s="11">
        <v>0</v>
      </c>
      <c r="AB554" s="11">
        <v>0</v>
      </c>
      <c r="AC554" s="11">
        <v>0</v>
      </c>
      <c r="AD554" s="11">
        <v>0</v>
      </c>
    </row>
    <row r="555" customFormat="1" ht="22" customHeight="1" spans="1:30">
      <c r="A555" s="8" t="s">
        <v>31</v>
      </c>
      <c r="B555" s="8" t="e">
        <f>VLOOKUP(E555,[1]Sheet1!$C:$E,2,FALSE)</f>
        <v>#N/A</v>
      </c>
      <c r="C555" s="8" t="e">
        <f>VLOOKUP(E555,[1]Sheet1!$C:$E,3,FALSE)</f>
        <v>#N/A</v>
      </c>
      <c r="D555" s="8" t="s">
        <v>584</v>
      </c>
      <c r="E555" s="10">
        <v>542630984</v>
      </c>
      <c r="F555" s="8">
        <v>4.8</v>
      </c>
      <c r="G555" s="8">
        <v>3</v>
      </c>
      <c r="H555" s="14">
        <v>48.09</v>
      </c>
      <c r="I555" s="8">
        <v>20.5</v>
      </c>
      <c r="J555" s="8">
        <v>16.03</v>
      </c>
      <c r="K555" s="8">
        <v>623</v>
      </c>
      <c r="L555" s="11">
        <v>0.053</v>
      </c>
      <c r="M555" s="11">
        <v>0.091</v>
      </c>
      <c r="N555" s="11">
        <v>0.0048</v>
      </c>
      <c r="O555" s="8">
        <v>579</v>
      </c>
      <c r="P555" s="8">
        <v>44</v>
      </c>
      <c r="Q555" s="8">
        <v>0</v>
      </c>
      <c r="R555" s="11">
        <v>0.045</v>
      </c>
      <c r="S555" s="11">
        <v>0.159</v>
      </c>
      <c r="T555" s="11">
        <v>0.115</v>
      </c>
      <c r="U555" s="11">
        <v>0</v>
      </c>
      <c r="V555" s="11">
        <v>0.125</v>
      </c>
      <c r="W555" s="8">
        <v>0</v>
      </c>
      <c r="X555" s="8">
        <v>0</v>
      </c>
      <c r="Y555" s="8">
        <v>0</v>
      </c>
      <c r="Z555" s="8">
        <v>0</v>
      </c>
      <c r="AA555" s="11">
        <v>0</v>
      </c>
      <c r="AB555" s="11">
        <v>0</v>
      </c>
      <c r="AC555" s="11">
        <v>0</v>
      </c>
      <c r="AD555" s="11">
        <v>0</v>
      </c>
    </row>
    <row r="556" customFormat="1" ht="22" customHeight="1" spans="1:30">
      <c r="A556" s="8" t="s">
        <v>31</v>
      </c>
      <c r="B556" s="8" t="str">
        <f>VLOOKUP(E556,[1]Sheet1!$C:$E,2,FALSE)</f>
        <v>王森</v>
      </c>
      <c r="C556" s="8">
        <f>VLOOKUP(E556,[1]Sheet1!$C:$E,3,FALSE)</f>
        <v>0</v>
      </c>
      <c r="D556" s="8" t="s">
        <v>585</v>
      </c>
      <c r="E556" s="10">
        <v>542633444</v>
      </c>
      <c r="F556" s="8">
        <v>4.9</v>
      </c>
      <c r="G556" s="8">
        <v>2</v>
      </c>
      <c r="H556" s="14">
        <v>47.97</v>
      </c>
      <c r="I556" s="8">
        <v>27.32</v>
      </c>
      <c r="J556" s="8">
        <v>23.99</v>
      </c>
      <c r="K556" s="8">
        <v>229</v>
      </c>
      <c r="L556" s="11">
        <v>0.061</v>
      </c>
      <c r="M556" s="11">
        <v>0.143</v>
      </c>
      <c r="N556" s="11">
        <v>0.0087</v>
      </c>
      <c r="O556" s="8">
        <v>221</v>
      </c>
      <c r="P556" s="8">
        <v>8</v>
      </c>
      <c r="Q556" s="8">
        <v>0</v>
      </c>
      <c r="R556" s="11">
        <v>0.059</v>
      </c>
      <c r="S556" s="11">
        <v>0.125</v>
      </c>
      <c r="T556" s="11">
        <v>0.154</v>
      </c>
      <c r="U556" s="11">
        <v>0</v>
      </c>
      <c r="V556" s="11">
        <v>0.19</v>
      </c>
      <c r="W556" s="8">
        <v>0</v>
      </c>
      <c r="X556" s="8">
        <v>0</v>
      </c>
      <c r="Y556" s="8">
        <v>0</v>
      </c>
      <c r="Z556" s="8">
        <v>0</v>
      </c>
      <c r="AA556" s="11">
        <v>0</v>
      </c>
      <c r="AB556" s="11">
        <v>0</v>
      </c>
      <c r="AC556" s="11">
        <v>0</v>
      </c>
      <c r="AD556" s="11">
        <v>0</v>
      </c>
    </row>
    <row r="557" customFormat="1" ht="22" customHeight="1" spans="1:30">
      <c r="A557" s="8" t="s">
        <v>31</v>
      </c>
      <c r="B557" s="8" t="e">
        <f>VLOOKUP(E557,[1]Sheet1!$C:$E,2,FALSE)</f>
        <v>#N/A</v>
      </c>
      <c r="C557" s="8" t="e">
        <f>VLOOKUP(E557,[1]Sheet1!$C:$E,3,FALSE)</f>
        <v>#N/A</v>
      </c>
      <c r="D557" s="12" t="s">
        <v>586</v>
      </c>
      <c r="E557" s="13">
        <v>1347229956</v>
      </c>
      <c r="F557" s="12">
        <v>4.7</v>
      </c>
      <c r="G557" s="8">
        <v>2</v>
      </c>
      <c r="H557" s="14">
        <v>47.64</v>
      </c>
      <c r="I557" s="8">
        <v>29.9</v>
      </c>
      <c r="J557" s="8">
        <v>23.82</v>
      </c>
      <c r="K557" s="8">
        <v>276</v>
      </c>
      <c r="L557" s="11">
        <v>0.062</v>
      </c>
      <c r="M557" s="11">
        <v>0.118</v>
      </c>
      <c r="N557" s="11">
        <v>0.0073</v>
      </c>
      <c r="O557" s="8">
        <v>267</v>
      </c>
      <c r="P557" s="8">
        <v>9</v>
      </c>
      <c r="Q557" s="8">
        <v>0</v>
      </c>
      <c r="R557" s="11">
        <v>0.056</v>
      </c>
      <c r="S557" s="11">
        <v>0.222</v>
      </c>
      <c r="T557" s="11">
        <v>0.133</v>
      </c>
      <c r="U557" s="11">
        <v>0</v>
      </c>
      <c r="V557" s="11">
        <v>0.143</v>
      </c>
      <c r="W557" s="8">
        <v>0</v>
      </c>
      <c r="X557" s="8">
        <v>0</v>
      </c>
      <c r="Y557" s="8">
        <v>0</v>
      </c>
      <c r="Z557" s="8">
        <v>0</v>
      </c>
      <c r="AA557" s="11">
        <v>0</v>
      </c>
      <c r="AB557" s="11">
        <v>0</v>
      </c>
      <c r="AC557" s="11">
        <v>0</v>
      </c>
      <c r="AD557" s="11">
        <v>0</v>
      </c>
    </row>
    <row r="558" customFormat="1" ht="22" customHeight="1" spans="1:30">
      <c r="A558" s="8" t="s">
        <v>31</v>
      </c>
      <c r="B558" s="8" t="e">
        <f>VLOOKUP(E558,[1]Sheet1!$C:$E,2,FALSE)</f>
        <v>#N/A</v>
      </c>
      <c r="C558" s="8" t="e">
        <f>VLOOKUP(E558,[1]Sheet1!$C:$E,3,FALSE)</f>
        <v>#N/A</v>
      </c>
      <c r="D558" s="8" t="s">
        <v>587</v>
      </c>
      <c r="E558" s="10">
        <v>543742823</v>
      </c>
      <c r="F558" s="8">
        <v>4.8</v>
      </c>
      <c r="G558" s="8">
        <v>8</v>
      </c>
      <c r="H558" s="14">
        <v>47.61</v>
      </c>
      <c r="I558" s="8">
        <v>11.6</v>
      </c>
      <c r="J558" s="8">
        <v>5.95</v>
      </c>
      <c r="K558" s="8">
        <v>1829</v>
      </c>
      <c r="L558" s="11">
        <v>0.027</v>
      </c>
      <c r="M558" s="11">
        <v>0.143</v>
      </c>
      <c r="N558" s="11">
        <v>0.0039</v>
      </c>
      <c r="O558" s="8">
        <v>1802</v>
      </c>
      <c r="P558" s="8">
        <v>27</v>
      </c>
      <c r="Q558" s="8">
        <v>0</v>
      </c>
      <c r="R558" s="11">
        <v>0.027</v>
      </c>
      <c r="S558" s="11">
        <v>0.037</v>
      </c>
      <c r="T558" s="11">
        <v>0.146</v>
      </c>
      <c r="U558" s="11">
        <v>0</v>
      </c>
      <c r="V558" s="11">
        <v>0.08</v>
      </c>
      <c r="W558" s="8">
        <v>1</v>
      </c>
      <c r="X558" s="8">
        <v>1</v>
      </c>
      <c r="Y558" s="8">
        <v>0</v>
      </c>
      <c r="Z558" s="8">
        <v>0</v>
      </c>
      <c r="AA558" s="11">
        <v>0.125</v>
      </c>
      <c r="AB558" s="11">
        <v>1</v>
      </c>
      <c r="AC558" s="11">
        <v>0</v>
      </c>
      <c r="AD558" s="11">
        <v>0</v>
      </c>
    </row>
    <row r="559" customFormat="1" ht="22" customHeight="1" spans="1:30">
      <c r="A559" s="8" t="s">
        <v>31</v>
      </c>
      <c r="B559" s="8" t="str">
        <f>VLOOKUP(E559,[1]Sheet1!$C:$E,2,FALSE)</f>
        <v>刘欢</v>
      </c>
      <c r="C559" s="8">
        <f>VLOOKUP(E559,[1]Sheet1!$C:$E,3,FALSE)</f>
        <v>0</v>
      </c>
      <c r="D559" s="8" t="s">
        <v>588</v>
      </c>
      <c r="E559" s="10">
        <v>528581609</v>
      </c>
      <c r="F559" s="8">
        <v>4.9</v>
      </c>
      <c r="G559" s="8">
        <v>2</v>
      </c>
      <c r="H559" s="14">
        <v>45.87</v>
      </c>
      <c r="I559" s="8">
        <v>25.64</v>
      </c>
      <c r="J559" s="8">
        <v>22.94</v>
      </c>
      <c r="K559" s="8">
        <v>156</v>
      </c>
      <c r="L559" s="11">
        <v>0.083</v>
      </c>
      <c r="M559" s="11">
        <v>0.154</v>
      </c>
      <c r="N559" s="11">
        <v>0.0128</v>
      </c>
      <c r="O559" s="8">
        <v>141</v>
      </c>
      <c r="P559" s="8">
        <v>15</v>
      </c>
      <c r="Q559" s="8">
        <v>0</v>
      </c>
      <c r="R559" s="11">
        <v>0.071</v>
      </c>
      <c r="S559" s="11">
        <v>0.2</v>
      </c>
      <c r="T559" s="11">
        <v>0.2</v>
      </c>
      <c r="U559" s="11">
        <v>0</v>
      </c>
      <c r="V559" s="11">
        <v>0.25</v>
      </c>
      <c r="W559" s="8">
        <v>0</v>
      </c>
      <c r="X559" s="8">
        <v>0</v>
      </c>
      <c r="Y559" s="8">
        <v>0</v>
      </c>
      <c r="Z559" s="8">
        <v>0</v>
      </c>
      <c r="AA559" s="11">
        <v>0</v>
      </c>
      <c r="AB559" s="11">
        <v>0</v>
      </c>
      <c r="AC559" s="11">
        <v>0</v>
      </c>
      <c r="AD559" s="11">
        <v>0</v>
      </c>
    </row>
    <row r="560" customFormat="1" ht="22" customHeight="1" spans="1:30">
      <c r="A560" s="8" t="s">
        <v>31</v>
      </c>
      <c r="B560" s="8" t="str">
        <f>VLOOKUP(E560,[1]Sheet1!$C:$E,2,FALSE)</f>
        <v>徐从众</v>
      </c>
      <c r="C560" s="9" t="str">
        <f>VLOOKUP(E560,[1]Sheet1!$C:$E,3,FALSE)</f>
        <v>A</v>
      </c>
      <c r="D560" s="12" t="s">
        <v>589</v>
      </c>
      <c r="E560" s="13">
        <v>538918840</v>
      </c>
      <c r="F560" s="12">
        <v>4.7</v>
      </c>
      <c r="G560" s="8">
        <v>3</v>
      </c>
      <c r="H560" s="14">
        <v>45.19</v>
      </c>
      <c r="I560" s="8">
        <v>22.27</v>
      </c>
      <c r="J560" s="8">
        <v>15.06</v>
      </c>
      <c r="K560" s="8">
        <v>216</v>
      </c>
      <c r="L560" s="11">
        <v>0.042</v>
      </c>
      <c r="M560" s="11">
        <v>0.333</v>
      </c>
      <c r="N560" s="11">
        <v>0.014</v>
      </c>
      <c r="O560" s="8">
        <v>191</v>
      </c>
      <c r="P560" s="8">
        <v>25</v>
      </c>
      <c r="Q560" s="8">
        <v>2</v>
      </c>
      <c r="R560" s="11">
        <v>0.037</v>
      </c>
      <c r="S560" s="11">
        <v>0.08</v>
      </c>
      <c r="T560" s="11">
        <v>0.143</v>
      </c>
      <c r="U560" s="11">
        <v>1</v>
      </c>
      <c r="V560" s="11">
        <v>0.203</v>
      </c>
      <c r="W560" s="8">
        <v>0</v>
      </c>
      <c r="X560" s="8">
        <v>0</v>
      </c>
      <c r="Y560" s="8">
        <v>0</v>
      </c>
      <c r="Z560" s="8">
        <v>0</v>
      </c>
      <c r="AA560" s="11">
        <v>0</v>
      </c>
      <c r="AB560" s="11">
        <v>0</v>
      </c>
      <c r="AC560" s="11">
        <v>0</v>
      </c>
      <c r="AD560" s="11">
        <v>0</v>
      </c>
    </row>
    <row r="561" customFormat="1" ht="22" customHeight="1" spans="1:30">
      <c r="A561" s="8" t="s">
        <v>31</v>
      </c>
      <c r="B561" s="8" t="str">
        <f>VLOOKUP(E561,[1]Sheet1!$C:$E,2,FALSE)</f>
        <v>刘欢</v>
      </c>
      <c r="C561" s="8">
        <f>VLOOKUP(E561,[1]Sheet1!$C:$E,3,FALSE)</f>
        <v>0</v>
      </c>
      <c r="D561" s="12" t="s">
        <v>590</v>
      </c>
      <c r="E561" s="13">
        <v>1345859595</v>
      </c>
      <c r="F561" s="12">
        <v>4.7</v>
      </c>
      <c r="G561" s="8">
        <v>5</v>
      </c>
      <c r="H561" s="14">
        <v>44.85</v>
      </c>
      <c r="I561" s="8">
        <v>16.28</v>
      </c>
      <c r="J561" s="8">
        <v>8.97</v>
      </c>
      <c r="K561" s="8">
        <v>1617</v>
      </c>
      <c r="L561" s="11">
        <v>0.016</v>
      </c>
      <c r="M561" s="11">
        <v>0.192</v>
      </c>
      <c r="N561" s="11">
        <v>0.0031</v>
      </c>
      <c r="O561" s="8">
        <v>1584</v>
      </c>
      <c r="P561" s="8">
        <v>33</v>
      </c>
      <c r="Q561" s="8">
        <v>3</v>
      </c>
      <c r="R561" s="11">
        <v>0.013</v>
      </c>
      <c r="S561" s="11">
        <v>0.152</v>
      </c>
      <c r="T561" s="11">
        <v>0.095</v>
      </c>
      <c r="U561" s="11">
        <v>0.6</v>
      </c>
      <c r="V561" s="11">
        <v>0.133</v>
      </c>
      <c r="W561" s="8">
        <v>4</v>
      </c>
      <c r="X561" s="8">
        <v>4</v>
      </c>
      <c r="Y561" s="8">
        <v>0</v>
      </c>
      <c r="Z561" s="8">
        <v>0</v>
      </c>
      <c r="AA561" s="11">
        <v>0.8</v>
      </c>
      <c r="AB561" s="11">
        <v>1</v>
      </c>
      <c r="AC561" s="11">
        <v>0</v>
      </c>
      <c r="AD561" s="11">
        <v>0</v>
      </c>
    </row>
    <row r="562" customFormat="1" ht="22" customHeight="1" spans="1:30">
      <c r="A562" s="8" t="s">
        <v>31</v>
      </c>
      <c r="B562" s="8" t="str">
        <f>VLOOKUP(E562,[1]Sheet1!$C:$E,2,FALSE)</f>
        <v>王森</v>
      </c>
      <c r="C562" s="8">
        <f>VLOOKUP(E562,[1]Sheet1!$C:$E,3,FALSE)</f>
        <v>0</v>
      </c>
      <c r="D562" s="8" t="s">
        <v>591</v>
      </c>
      <c r="E562" s="10">
        <v>544694932</v>
      </c>
      <c r="F562" s="8">
        <v>4.9</v>
      </c>
      <c r="G562" s="8">
        <v>2</v>
      </c>
      <c r="H562" s="14">
        <v>44.05</v>
      </c>
      <c r="I562" s="8">
        <v>28.88</v>
      </c>
      <c r="J562" s="8">
        <v>22.03</v>
      </c>
      <c r="K562" s="8">
        <v>1373</v>
      </c>
      <c r="L562" s="11">
        <v>0.036</v>
      </c>
      <c r="M562" s="11">
        <v>0.04</v>
      </c>
      <c r="N562" s="11">
        <v>0.0014</v>
      </c>
      <c r="O562" s="8">
        <v>1365</v>
      </c>
      <c r="P562" s="8">
        <v>8</v>
      </c>
      <c r="Q562" s="8">
        <v>0</v>
      </c>
      <c r="R562" s="11">
        <v>0.035</v>
      </c>
      <c r="S562" s="11">
        <v>0.25</v>
      </c>
      <c r="T562" s="11">
        <v>0.042</v>
      </c>
      <c r="U562" s="11">
        <v>0</v>
      </c>
      <c r="V562" s="11">
        <v>0.05</v>
      </c>
      <c r="W562" s="8">
        <v>0</v>
      </c>
      <c r="X562" s="8">
        <v>0</v>
      </c>
      <c r="Y562" s="8">
        <v>0</v>
      </c>
      <c r="Z562" s="8">
        <v>0</v>
      </c>
      <c r="AA562" s="11">
        <v>0</v>
      </c>
      <c r="AB562" s="11">
        <v>0</v>
      </c>
      <c r="AC562" s="11">
        <v>0</v>
      </c>
      <c r="AD562" s="11">
        <v>0</v>
      </c>
    </row>
    <row r="563" customFormat="1" ht="22" customHeight="1" spans="1:30">
      <c r="A563" s="8" t="s">
        <v>31</v>
      </c>
      <c r="B563" s="8" t="e">
        <f>VLOOKUP(E563,[1]Sheet1!$C:$E,2,FALSE)</f>
        <v>#N/A</v>
      </c>
      <c r="C563" s="8" t="e">
        <f>VLOOKUP(E563,[1]Sheet1!$C:$E,3,FALSE)</f>
        <v>#N/A</v>
      </c>
      <c r="D563" s="12" t="s">
        <v>592</v>
      </c>
      <c r="E563" s="13">
        <v>1283064911</v>
      </c>
      <c r="F563" s="12">
        <v>4.2</v>
      </c>
      <c r="G563" s="8">
        <v>3</v>
      </c>
      <c r="H563" s="14">
        <v>42.95</v>
      </c>
      <c r="I563" s="8">
        <v>0</v>
      </c>
      <c r="J563" s="8">
        <v>14.32</v>
      </c>
      <c r="K563" s="8">
        <v>253</v>
      </c>
      <c r="L563" s="11">
        <v>0.059</v>
      </c>
      <c r="M563" s="11">
        <v>0.2</v>
      </c>
      <c r="N563" s="11">
        <v>0.0118</v>
      </c>
      <c r="O563" s="8">
        <v>0</v>
      </c>
      <c r="P563" s="8">
        <v>0</v>
      </c>
      <c r="Q563" s="8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0.15</v>
      </c>
      <c r="W563" s="8">
        <v>0</v>
      </c>
      <c r="X563" s="8">
        <v>0</v>
      </c>
      <c r="Y563" s="8">
        <v>0</v>
      </c>
      <c r="Z563" s="8">
        <v>0</v>
      </c>
      <c r="AA563" s="11">
        <v>0</v>
      </c>
      <c r="AB563" s="11">
        <v>0</v>
      </c>
      <c r="AC563" s="11">
        <v>0</v>
      </c>
      <c r="AD563" s="11">
        <v>0</v>
      </c>
    </row>
    <row r="564" customFormat="1" ht="22" customHeight="1" spans="1:30">
      <c r="A564" s="8" t="s">
        <v>31</v>
      </c>
      <c r="B564" s="8" t="e">
        <f>VLOOKUP(E564,[1]Sheet1!$C:$E,2,FALSE)</f>
        <v>#N/A</v>
      </c>
      <c r="C564" s="8" t="e">
        <f>VLOOKUP(E564,[1]Sheet1!$C:$E,3,FALSE)</f>
        <v>#N/A</v>
      </c>
      <c r="D564" s="8" t="s">
        <v>593</v>
      </c>
      <c r="E564" s="10">
        <v>1357497828</v>
      </c>
      <c r="F564" s="8">
        <v>4.9</v>
      </c>
      <c r="G564" s="8">
        <v>5</v>
      </c>
      <c r="H564" s="14">
        <v>42.57</v>
      </c>
      <c r="I564" s="8">
        <v>16.22</v>
      </c>
      <c r="J564" s="8">
        <v>8.51</v>
      </c>
      <c r="K564" s="8">
        <v>964</v>
      </c>
      <c r="L564" s="11">
        <v>0.059</v>
      </c>
      <c r="M564" s="11">
        <v>0.088</v>
      </c>
      <c r="N564" s="11">
        <v>0.0052</v>
      </c>
      <c r="O564" s="8">
        <v>959</v>
      </c>
      <c r="P564" s="8">
        <v>5</v>
      </c>
      <c r="Q564" s="8">
        <v>1</v>
      </c>
      <c r="R564" s="11">
        <v>0.058</v>
      </c>
      <c r="S564" s="11">
        <v>0.2</v>
      </c>
      <c r="T564" s="11">
        <v>0.071</v>
      </c>
      <c r="U564" s="11">
        <v>1</v>
      </c>
      <c r="V564" s="11">
        <v>0.065</v>
      </c>
      <c r="W564" s="8">
        <v>0</v>
      </c>
      <c r="X564" s="8">
        <v>0</v>
      </c>
      <c r="Y564" s="8">
        <v>0</v>
      </c>
      <c r="Z564" s="8">
        <v>0</v>
      </c>
      <c r="AA564" s="11">
        <v>0</v>
      </c>
      <c r="AB564" s="11">
        <v>0</v>
      </c>
      <c r="AC564" s="11">
        <v>0</v>
      </c>
      <c r="AD564" s="11">
        <v>0</v>
      </c>
    </row>
    <row r="565" customFormat="1" ht="22" customHeight="1" spans="1:30">
      <c r="A565" s="8" t="s">
        <v>31</v>
      </c>
      <c r="B565" s="8" t="e">
        <f>VLOOKUP(E565,[1]Sheet1!$C:$E,2,FALSE)</f>
        <v>#N/A</v>
      </c>
      <c r="C565" s="8" t="e">
        <f>VLOOKUP(E565,[1]Sheet1!$C:$E,3,FALSE)</f>
        <v>#N/A</v>
      </c>
      <c r="D565" s="8" t="s">
        <v>594</v>
      </c>
      <c r="E565" s="10">
        <v>1348105792</v>
      </c>
      <c r="F565" s="8">
        <v>4.9</v>
      </c>
      <c r="G565" s="8">
        <v>4</v>
      </c>
      <c r="H565" s="14">
        <v>42.14</v>
      </c>
      <c r="I565" s="8">
        <v>15.75</v>
      </c>
      <c r="J565" s="8">
        <v>10.54</v>
      </c>
      <c r="K565" s="8">
        <v>1115</v>
      </c>
      <c r="L565" s="11">
        <v>0.023</v>
      </c>
      <c r="M565" s="11">
        <v>0.154</v>
      </c>
      <c r="N565" s="11">
        <v>0.0035</v>
      </c>
      <c r="O565" s="8">
        <v>1093</v>
      </c>
      <c r="P565" s="8">
        <v>22</v>
      </c>
      <c r="Q565" s="8">
        <v>1</v>
      </c>
      <c r="R565" s="11">
        <v>0.023</v>
      </c>
      <c r="S565" s="11">
        <v>0.045</v>
      </c>
      <c r="T565" s="11">
        <v>0.12</v>
      </c>
      <c r="U565" s="11">
        <v>1</v>
      </c>
      <c r="V565" s="11">
        <v>0.239</v>
      </c>
      <c r="W565" s="8">
        <v>1</v>
      </c>
      <c r="X565" s="8">
        <v>1</v>
      </c>
      <c r="Y565" s="8">
        <v>0</v>
      </c>
      <c r="Z565" s="8">
        <v>0</v>
      </c>
      <c r="AA565" s="11">
        <v>0.25</v>
      </c>
      <c r="AB565" s="11">
        <v>1</v>
      </c>
      <c r="AC565" s="11">
        <v>0</v>
      </c>
      <c r="AD565" s="11">
        <v>0</v>
      </c>
    </row>
    <row r="566" customFormat="1" ht="22" customHeight="1" spans="1:30">
      <c r="A566" s="8" t="s">
        <v>31</v>
      </c>
      <c r="B566" s="8" t="str">
        <f>VLOOKUP(E566,[1]Sheet1!$C:$E,2,FALSE)</f>
        <v>王森</v>
      </c>
      <c r="C566" s="8">
        <f>VLOOKUP(E566,[1]Sheet1!$C:$E,3,FALSE)</f>
        <v>0</v>
      </c>
      <c r="D566" s="8" t="s">
        <v>595</v>
      </c>
      <c r="E566" s="10">
        <v>544449576</v>
      </c>
      <c r="F566" s="8">
        <v>4.8</v>
      </c>
      <c r="G566" s="8">
        <v>3</v>
      </c>
      <c r="H566" s="14">
        <v>41.4</v>
      </c>
      <c r="I566" s="8">
        <v>14.56</v>
      </c>
      <c r="J566" s="8">
        <v>13.8</v>
      </c>
      <c r="K566" s="8">
        <v>447</v>
      </c>
      <c r="L566" s="11">
        <v>0.029</v>
      </c>
      <c r="M566" s="11">
        <v>0.231</v>
      </c>
      <c r="N566" s="11">
        <v>0.0067</v>
      </c>
      <c r="O566" s="8">
        <v>409</v>
      </c>
      <c r="P566" s="8">
        <v>38</v>
      </c>
      <c r="Q566" s="8">
        <v>2</v>
      </c>
      <c r="R566" s="11">
        <v>0.027</v>
      </c>
      <c r="S566" s="11">
        <v>0.053</v>
      </c>
      <c r="T566" s="11">
        <v>0.091</v>
      </c>
      <c r="U566" s="11">
        <v>1</v>
      </c>
      <c r="V566" s="11">
        <v>0.224</v>
      </c>
      <c r="W566" s="8">
        <v>0</v>
      </c>
      <c r="X566" s="8">
        <v>0</v>
      </c>
      <c r="Y566" s="8">
        <v>0</v>
      </c>
      <c r="Z566" s="8">
        <v>0</v>
      </c>
      <c r="AA566" s="11">
        <v>0</v>
      </c>
      <c r="AB566" s="11">
        <v>0</v>
      </c>
      <c r="AC566" s="11">
        <v>0</v>
      </c>
      <c r="AD566" s="11">
        <v>0</v>
      </c>
    </row>
    <row r="567" customFormat="1" ht="22" customHeight="1" spans="1:30">
      <c r="A567" s="8" t="s">
        <v>31</v>
      </c>
      <c r="B567" s="8" t="str">
        <f>VLOOKUP(E567,[1]Sheet1!$C:$E,2,FALSE)</f>
        <v>刘欢</v>
      </c>
      <c r="C567" s="8" t="str">
        <f>VLOOKUP(E567,[1]Sheet1!$C:$E,3,FALSE)</f>
        <v>C</v>
      </c>
      <c r="D567" s="8" t="s">
        <v>596</v>
      </c>
      <c r="E567" s="10">
        <v>509142305</v>
      </c>
      <c r="F567" s="8">
        <v>4.8</v>
      </c>
      <c r="G567" s="8">
        <v>1</v>
      </c>
      <c r="H567" s="14">
        <v>40.59</v>
      </c>
      <c r="I567" s="8">
        <v>50</v>
      </c>
      <c r="J567" s="8">
        <v>40.59</v>
      </c>
      <c r="K567" s="8">
        <v>477</v>
      </c>
      <c r="L567" s="11">
        <v>0.046</v>
      </c>
      <c r="M567" s="11">
        <v>0.045</v>
      </c>
      <c r="N567" s="11">
        <v>0.0021</v>
      </c>
      <c r="O567" s="8">
        <v>461</v>
      </c>
      <c r="P567" s="8">
        <v>16</v>
      </c>
      <c r="Q567" s="8">
        <v>0</v>
      </c>
      <c r="R567" s="11">
        <v>0.046</v>
      </c>
      <c r="S567" s="11">
        <v>0.063</v>
      </c>
      <c r="T567" s="11">
        <v>0.048</v>
      </c>
      <c r="U567" s="11">
        <v>0</v>
      </c>
      <c r="V567" s="11">
        <v>0.063</v>
      </c>
      <c r="W567" s="8">
        <v>0</v>
      </c>
      <c r="X567" s="8">
        <v>0</v>
      </c>
      <c r="Y567" s="8">
        <v>0</v>
      </c>
      <c r="Z567" s="8">
        <v>0</v>
      </c>
      <c r="AA567" s="11">
        <v>0</v>
      </c>
      <c r="AB567" s="11">
        <v>0</v>
      </c>
      <c r="AC567" s="11">
        <v>0</v>
      </c>
      <c r="AD567" s="11">
        <v>0</v>
      </c>
    </row>
    <row r="568" customFormat="1" ht="22" customHeight="1" spans="1:30">
      <c r="A568" s="8" t="s">
        <v>31</v>
      </c>
      <c r="B568" s="8" t="e">
        <f>VLOOKUP(E568,[1]Sheet1!$C:$E,2,FALSE)</f>
        <v>#N/A</v>
      </c>
      <c r="C568" s="8" t="e">
        <f>VLOOKUP(E568,[1]Sheet1!$C:$E,3,FALSE)</f>
        <v>#N/A</v>
      </c>
      <c r="D568" s="8" t="s">
        <v>597</v>
      </c>
      <c r="E568" s="10">
        <v>545274725</v>
      </c>
      <c r="F568" s="8">
        <v>4.9</v>
      </c>
      <c r="G568" s="8">
        <v>2</v>
      </c>
      <c r="H568" s="14">
        <v>38.99</v>
      </c>
      <c r="I568" s="8">
        <v>24.1</v>
      </c>
      <c r="J568" s="8">
        <v>19.5</v>
      </c>
      <c r="K568" s="8">
        <v>333</v>
      </c>
      <c r="L568" s="11">
        <v>0.072</v>
      </c>
      <c r="M568" s="11">
        <v>0.083</v>
      </c>
      <c r="N568" s="11">
        <v>0.006</v>
      </c>
      <c r="O568" s="8">
        <v>330</v>
      </c>
      <c r="P568" s="8">
        <v>3</v>
      </c>
      <c r="Q568" s="8">
        <v>0</v>
      </c>
      <c r="R568" s="11">
        <v>0.07</v>
      </c>
      <c r="S568" s="11">
        <v>0.333</v>
      </c>
      <c r="T568" s="11">
        <v>0.087</v>
      </c>
      <c r="U568" s="11">
        <v>0</v>
      </c>
      <c r="V568" s="11">
        <v>0.143</v>
      </c>
      <c r="W568" s="8">
        <v>0</v>
      </c>
      <c r="X568" s="8">
        <v>0</v>
      </c>
      <c r="Y568" s="8">
        <v>0</v>
      </c>
      <c r="Z568" s="8">
        <v>0</v>
      </c>
      <c r="AA568" s="11">
        <v>0</v>
      </c>
      <c r="AB568" s="11">
        <v>0</v>
      </c>
      <c r="AC568" s="11">
        <v>0</v>
      </c>
      <c r="AD568" s="11">
        <v>0</v>
      </c>
    </row>
    <row r="569" customFormat="1" ht="22" customHeight="1" spans="1:30">
      <c r="A569" s="8" t="s">
        <v>31</v>
      </c>
      <c r="B569" s="8" t="e">
        <f>VLOOKUP(E569,[1]Sheet1!$C:$E,2,FALSE)</f>
        <v>#N/A</v>
      </c>
      <c r="C569" s="8" t="e">
        <f>VLOOKUP(E569,[1]Sheet1!$C:$E,3,FALSE)</f>
        <v>#N/A</v>
      </c>
      <c r="D569" s="8" t="s">
        <v>598</v>
      </c>
      <c r="E569" s="10">
        <v>1347208353</v>
      </c>
      <c r="F569" s="8">
        <v>5</v>
      </c>
      <c r="G569" s="8">
        <v>3</v>
      </c>
      <c r="H569" s="14">
        <v>37.81</v>
      </c>
      <c r="I569" s="8">
        <v>17.8</v>
      </c>
      <c r="J569" s="8">
        <v>12.6</v>
      </c>
      <c r="K569" s="8">
        <v>136</v>
      </c>
      <c r="L569" s="11">
        <v>0.066</v>
      </c>
      <c r="M569" s="11">
        <v>0.222</v>
      </c>
      <c r="N569" s="11">
        <v>0.0147</v>
      </c>
      <c r="O569" s="8">
        <v>132</v>
      </c>
      <c r="P569" s="8">
        <v>4</v>
      </c>
      <c r="Q569" s="8">
        <v>1</v>
      </c>
      <c r="R569" s="11">
        <v>0.053</v>
      </c>
      <c r="S569" s="11">
        <v>0.5</v>
      </c>
      <c r="T569" s="11">
        <v>0.143</v>
      </c>
      <c r="U569" s="11">
        <v>0.5</v>
      </c>
      <c r="V569" s="11">
        <v>0.29</v>
      </c>
      <c r="W569" s="8">
        <v>0</v>
      </c>
      <c r="X569" s="8">
        <v>0</v>
      </c>
      <c r="Y569" s="8">
        <v>0</v>
      </c>
      <c r="Z569" s="8">
        <v>0</v>
      </c>
      <c r="AA569" s="11">
        <v>0</v>
      </c>
      <c r="AB569" s="11">
        <v>0</v>
      </c>
      <c r="AC569" s="11">
        <v>0</v>
      </c>
      <c r="AD569" s="11">
        <v>0</v>
      </c>
    </row>
    <row r="570" customFormat="1" ht="22" customHeight="1" spans="1:30">
      <c r="A570" s="8" t="s">
        <v>31</v>
      </c>
      <c r="B570" s="8" t="e">
        <f>VLOOKUP(E570,[1]Sheet1!$C:$E,2,FALSE)</f>
        <v>#N/A</v>
      </c>
      <c r="C570" s="8" t="e">
        <f>VLOOKUP(E570,[1]Sheet1!$C:$E,3,FALSE)</f>
        <v>#N/A</v>
      </c>
      <c r="D570" s="8" t="s">
        <v>599</v>
      </c>
      <c r="E570" s="10">
        <v>530295969</v>
      </c>
      <c r="F570" s="8">
        <v>4.8</v>
      </c>
      <c r="G570" s="8">
        <v>1</v>
      </c>
      <c r="H570" s="14">
        <v>37.46</v>
      </c>
      <c r="I570" s="8">
        <v>42.8</v>
      </c>
      <c r="J570" s="8">
        <v>37.46</v>
      </c>
      <c r="K570" s="8">
        <v>242</v>
      </c>
      <c r="L570" s="11">
        <v>0.05</v>
      </c>
      <c r="M570" s="11">
        <v>0.083</v>
      </c>
      <c r="N570" s="11">
        <v>0.0042</v>
      </c>
      <c r="O570" s="8">
        <v>215</v>
      </c>
      <c r="P570" s="8">
        <v>27</v>
      </c>
      <c r="Q570" s="8">
        <v>0</v>
      </c>
      <c r="R570" s="11">
        <v>0.042</v>
      </c>
      <c r="S570" s="11">
        <v>0.111</v>
      </c>
      <c r="T570" s="11">
        <v>0.111</v>
      </c>
      <c r="U570" s="11">
        <v>0</v>
      </c>
      <c r="V570" s="11">
        <v>0.072</v>
      </c>
      <c r="W570" s="8">
        <v>1</v>
      </c>
      <c r="X570" s="8">
        <v>1</v>
      </c>
      <c r="Y570" s="8">
        <v>0</v>
      </c>
      <c r="Z570" s="8">
        <v>0</v>
      </c>
      <c r="AA570" s="11">
        <v>1</v>
      </c>
      <c r="AB570" s="11">
        <v>1</v>
      </c>
      <c r="AC570" s="11">
        <v>0</v>
      </c>
      <c r="AD570" s="11">
        <v>0</v>
      </c>
    </row>
    <row r="571" customFormat="1" ht="22" customHeight="1" spans="1:30">
      <c r="A571" s="8" t="s">
        <v>31</v>
      </c>
      <c r="B571" s="8" t="e">
        <f>VLOOKUP(E571,[1]Sheet1!$C:$E,2,FALSE)</f>
        <v>#N/A</v>
      </c>
      <c r="C571" s="8" t="e">
        <f>VLOOKUP(E571,[1]Sheet1!$C:$E,3,FALSE)</f>
        <v>#N/A</v>
      </c>
      <c r="D571" s="8" t="s">
        <v>600</v>
      </c>
      <c r="E571" s="10">
        <v>544741768</v>
      </c>
      <c r="F571" s="8">
        <v>4.9</v>
      </c>
      <c r="G571" s="8">
        <v>3</v>
      </c>
      <c r="H571" s="14">
        <v>36.15</v>
      </c>
      <c r="I571" s="8">
        <v>17.5</v>
      </c>
      <c r="J571" s="8">
        <v>12.05</v>
      </c>
      <c r="K571" s="8">
        <v>324</v>
      </c>
      <c r="L571" s="11">
        <v>0.059</v>
      </c>
      <c r="M571" s="11">
        <v>0.158</v>
      </c>
      <c r="N571" s="11">
        <v>0.0093</v>
      </c>
      <c r="O571" s="8">
        <v>312</v>
      </c>
      <c r="P571" s="8">
        <v>12</v>
      </c>
      <c r="Q571" s="8">
        <v>1</v>
      </c>
      <c r="R571" s="11">
        <v>0.058</v>
      </c>
      <c r="S571" s="11">
        <v>0.083</v>
      </c>
      <c r="T571" s="11">
        <v>0.111</v>
      </c>
      <c r="U571" s="11">
        <v>1</v>
      </c>
      <c r="V571" s="11">
        <v>0.11</v>
      </c>
      <c r="W571" s="8">
        <v>0</v>
      </c>
      <c r="X571" s="8">
        <v>0</v>
      </c>
      <c r="Y571" s="8">
        <v>0</v>
      </c>
      <c r="Z571" s="8">
        <v>0</v>
      </c>
      <c r="AA571" s="11">
        <v>0</v>
      </c>
      <c r="AB571" s="11">
        <v>0</v>
      </c>
      <c r="AC571" s="11">
        <v>0</v>
      </c>
      <c r="AD571" s="11">
        <v>0</v>
      </c>
    </row>
    <row r="572" customFormat="1" ht="22" customHeight="1" spans="1:30">
      <c r="A572" s="8" t="s">
        <v>31</v>
      </c>
      <c r="B572" s="8" t="e">
        <f>VLOOKUP(E572,[1]Sheet1!$C:$E,2,FALSE)</f>
        <v>#N/A</v>
      </c>
      <c r="C572" s="8" t="e">
        <f>VLOOKUP(E572,[1]Sheet1!$C:$E,3,FALSE)</f>
        <v>#N/A</v>
      </c>
      <c r="D572" s="8" t="s">
        <v>601</v>
      </c>
      <c r="E572" s="10">
        <v>2034951592</v>
      </c>
      <c r="F572" s="8">
        <v>4.9</v>
      </c>
      <c r="G572" s="8">
        <v>2</v>
      </c>
      <c r="H572" s="14">
        <v>34.7</v>
      </c>
      <c r="I572" s="8">
        <v>0</v>
      </c>
      <c r="J572" s="8">
        <v>17.35</v>
      </c>
      <c r="K572" s="8">
        <v>102</v>
      </c>
      <c r="L572" s="11">
        <v>0.069</v>
      </c>
      <c r="M572" s="11">
        <v>0.286</v>
      </c>
      <c r="N572" s="11">
        <v>0.0197</v>
      </c>
      <c r="O572" s="8">
        <v>0</v>
      </c>
      <c r="P572" s="8">
        <v>0</v>
      </c>
      <c r="Q572" s="8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0.346</v>
      </c>
      <c r="W572" s="8">
        <v>0</v>
      </c>
      <c r="X572" s="8">
        <v>0</v>
      </c>
      <c r="Y572" s="8">
        <v>0</v>
      </c>
      <c r="Z572" s="8">
        <v>0</v>
      </c>
      <c r="AA572" s="11">
        <v>0</v>
      </c>
      <c r="AB572" s="11">
        <v>0</v>
      </c>
      <c r="AC572" s="11">
        <v>0</v>
      </c>
      <c r="AD572" s="11">
        <v>0</v>
      </c>
    </row>
    <row r="573" customFormat="1" ht="22" customHeight="1" spans="1:30">
      <c r="A573" s="8" t="s">
        <v>31</v>
      </c>
      <c r="B573" s="8" t="str">
        <f>VLOOKUP(E573,[1]Sheet1!$C:$E,2,FALSE)</f>
        <v>刘欢</v>
      </c>
      <c r="C573" s="8" t="str">
        <f>VLOOKUP(E573,[1]Sheet1!$C:$E,3,FALSE)</f>
        <v>C</v>
      </c>
      <c r="D573" s="8" t="s">
        <v>602</v>
      </c>
      <c r="E573" s="10">
        <v>1335852585</v>
      </c>
      <c r="F573" s="8">
        <v>4.8</v>
      </c>
      <c r="G573" s="8">
        <v>4</v>
      </c>
      <c r="H573" s="14">
        <v>34.22</v>
      </c>
      <c r="I573" s="8">
        <v>12.67</v>
      </c>
      <c r="J573" s="8">
        <v>8.56</v>
      </c>
      <c r="K573" s="8">
        <v>392</v>
      </c>
      <c r="L573" s="11">
        <v>0.056</v>
      </c>
      <c r="M573" s="11">
        <v>0.182</v>
      </c>
      <c r="N573" s="11">
        <v>0.0102</v>
      </c>
      <c r="O573" s="8">
        <v>362</v>
      </c>
      <c r="P573" s="8">
        <v>30</v>
      </c>
      <c r="Q573" s="8">
        <v>0</v>
      </c>
      <c r="R573" s="11">
        <v>0.052</v>
      </c>
      <c r="S573" s="11">
        <v>0.1</v>
      </c>
      <c r="T573" s="11">
        <v>0.211</v>
      </c>
      <c r="U573" s="11">
        <v>0</v>
      </c>
      <c r="V573" s="11">
        <v>0.103</v>
      </c>
      <c r="W573" s="8">
        <v>1</v>
      </c>
      <c r="X573" s="8">
        <v>1</v>
      </c>
      <c r="Y573" s="8">
        <v>0</v>
      </c>
      <c r="Z573" s="8">
        <v>0</v>
      </c>
      <c r="AA573" s="11">
        <v>0.25</v>
      </c>
      <c r="AB573" s="11">
        <v>1</v>
      </c>
      <c r="AC573" s="11">
        <v>0</v>
      </c>
      <c r="AD573" s="11">
        <v>0</v>
      </c>
    </row>
    <row r="574" customFormat="1" ht="22" customHeight="1" spans="1:30">
      <c r="A574" s="8" t="s">
        <v>31</v>
      </c>
      <c r="B574" s="8" t="str">
        <f>VLOOKUP(E574,[1]Sheet1!$C:$E,2,FALSE)</f>
        <v>刘欢</v>
      </c>
      <c r="C574" s="8" t="str">
        <f>VLOOKUP(E574,[1]Sheet1!$C:$E,3,FALSE)</f>
        <v>C</v>
      </c>
      <c r="D574" s="12" t="s">
        <v>603</v>
      </c>
      <c r="E574" s="13">
        <v>1305785791</v>
      </c>
      <c r="F574" s="12">
        <v>4.7</v>
      </c>
      <c r="G574" s="8">
        <v>5</v>
      </c>
      <c r="H574" s="14">
        <v>33.71</v>
      </c>
      <c r="I574" s="8">
        <v>10.1</v>
      </c>
      <c r="J574" s="8">
        <v>6.74</v>
      </c>
      <c r="K574" s="8">
        <v>549</v>
      </c>
      <c r="L574" s="11">
        <v>0.051</v>
      </c>
      <c r="M574" s="11">
        <v>0.179</v>
      </c>
      <c r="N574" s="11">
        <v>0.0091</v>
      </c>
      <c r="O574" s="8">
        <v>451</v>
      </c>
      <c r="P574" s="8">
        <v>98</v>
      </c>
      <c r="Q574" s="8">
        <v>4</v>
      </c>
      <c r="R574" s="11">
        <v>0.042</v>
      </c>
      <c r="S574" s="11">
        <v>0.092</v>
      </c>
      <c r="T574" s="11">
        <v>0.053</v>
      </c>
      <c r="U574" s="11">
        <v>0.444</v>
      </c>
      <c r="V574" s="11">
        <v>0.197</v>
      </c>
      <c r="W574" s="8">
        <v>0</v>
      </c>
      <c r="X574" s="8">
        <v>0</v>
      </c>
      <c r="Y574" s="8">
        <v>0</v>
      </c>
      <c r="Z574" s="8">
        <v>0</v>
      </c>
      <c r="AA574" s="11">
        <v>0</v>
      </c>
      <c r="AB574" s="11">
        <v>0</v>
      </c>
      <c r="AC574" s="11">
        <v>0</v>
      </c>
      <c r="AD574" s="11">
        <v>0</v>
      </c>
    </row>
    <row r="575" customFormat="1" ht="22" customHeight="1" spans="1:30">
      <c r="A575" s="8" t="s">
        <v>31</v>
      </c>
      <c r="B575" s="8" t="str">
        <f>VLOOKUP(E575,[1]Sheet1!$C:$E,2,FALSE)</f>
        <v>王森</v>
      </c>
      <c r="C575" s="8" t="str">
        <f>VLOOKUP(E575,[1]Sheet1!$C:$E,3,FALSE)</f>
        <v>C</v>
      </c>
      <c r="D575" s="12" t="s">
        <v>604</v>
      </c>
      <c r="E575" s="13">
        <v>530957487</v>
      </c>
      <c r="F575" s="12">
        <v>4.5</v>
      </c>
      <c r="G575" s="8">
        <v>2</v>
      </c>
      <c r="H575" s="14">
        <v>32.03</v>
      </c>
      <c r="I575" s="8">
        <v>26.75</v>
      </c>
      <c r="J575" s="8">
        <v>16.02</v>
      </c>
      <c r="K575" s="8">
        <v>521</v>
      </c>
      <c r="L575" s="11">
        <v>0.027</v>
      </c>
      <c r="M575" s="11">
        <v>0.143</v>
      </c>
      <c r="N575" s="11">
        <v>0.0039</v>
      </c>
      <c r="O575" s="8">
        <v>502</v>
      </c>
      <c r="P575" s="8">
        <v>19</v>
      </c>
      <c r="Q575" s="8">
        <v>0</v>
      </c>
      <c r="R575" s="11">
        <v>0.024</v>
      </c>
      <c r="S575" s="11">
        <v>0.105</v>
      </c>
      <c r="T575" s="11">
        <v>0.167</v>
      </c>
      <c r="U575" s="11">
        <v>0</v>
      </c>
      <c r="V575" s="11">
        <v>0.18</v>
      </c>
      <c r="W575" s="8">
        <v>0</v>
      </c>
      <c r="X575" s="8">
        <v>0</v>
      </c>
      <c r="Y575" s="8">
        <v>0</v>
      </c>
      <c r="Z575" s="8">
        <v>0</v>
      </c>
      <c r="AA575" s="11">
        <v>0</v>
      </c>
      <c r="AB575" s="11">
        <v>0</v>
      </c>
      <c r="AC575" s="11">
        <v>0</v>
      </c>
      <c r="AD575" s="11">
        <v>0</v>
      </c>
    </row>
    <row r="576" customFormat="1" ht="22" customHeight="1" spans="1:30">
      <c r="A576" s="8" t="s">
        <v>31</v>
      </c>
      <c r="B576" s="8" t="e">
        <f>VLOOKUP(E576,[1]Sheet1!$C:$E,2,FALSE)</f>
        <v>#N/A</v>
      </c>
      <c r="C576" s="8" t="e">
        <f>VLOOKUP(E576,[1]Sheet1!$C:$E,3,FALSE)</f>
        <v>#N/A</v>
      </c>
      <c r="D576" s="12" t="s">
        <v>605</v>
      </c>
      <c r="E576" s="13">
        <v>544464466</v>
      </c>
      <c r="F576" s="12">
        <v>4.6</v>
      </c>
      <c r="G576" s="8">
        <v>2</v>
      </c>
      <c r="H576" s="14">
        <v>31.74</v>
      </c>
      <c r="I576" s="8">
        <v>0</v>
      </c>
      <c r="J576" s="8">
        <v>15.87</v>
      </c>
      <c r="K576" s="8">
        <v>412</v>
      </c>
      <c r="L576" s="11">
        <v>0.058</v>
      </c>
      <c r="M576" s="11">
        <v>0.083</v>
      </c>
      <c r="N576" s="11">
        <v>0.0048</v>
      </c>
      <c r="O576" s="8">
        <v>0</v>
      </c>
      <c r="P576" s="8">
        <v>0</v>
      </c>
      <c r="Q576" s="8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0.222</v>
      </c>
      <c r="W576" s="8">
        <v>0</v>
      </c>
      <c r="X576" s="8">
        <v>0</v>
      </c>
      <c r="Y576" s="8">
        <v>0</v>
      </c>
      <c r="Z576" s="8">
        <v>0</v>
      </c>
      <c r="AA576" s="11">
        <v>0</v>
      </c>
      <c r="AB576" s="11">
        <v>0</v>
      </c>
      <c r="AC576" s="11">
        <v>0</v>
      </c>
      <c r="AD576" s="11">
        <v>0</v>
      </c>
    </row>
    <row r="577" customFormat="1" ht="22" customHeight="1" spans="1:30">
      <c r="A577" s="8" t="s">
        <v>31</v>
      </c>
      <c r="B577" s="8" t="e">
        <f>VLOOKUP(E577,[1]Sheet1!$C:$E,2,FALSE)</f>
        <v>#N/A</v>
      </c>
      <c r="C577" s="8" t="e">
        <f>VLOOKUP(E577,[1]Sheet1!$C:$E,3,FALSE)</f>
        <v>#N/A</v>
      </c>
      <c r="D577" s="8" t="s">
        <v>606</v>
      </c>
      <c r="E577" s="10">
        <v>543701033</v>
      </c>
      <c r="F577" s="8">
        <v>4.9</v>
      </c>
      <c r="G577" s="8">
        <v>5</v>
      </c>
      <c r="H577" s="14">
        <v>29.76</v>
      </c>
      <c r="I577" s="8">
        <v>7.75</v>
      </c>
      <c r="J577" s="8">
        <v>5.95</v>
      </c>
      <c r="K577" s="8">
        <v>929</v>
      </c>
      <c r="L577" s="11">
        <v>0.041</v>
      </c>
      <c r="M577" s="11">
        <v>0.132</v>
      </c>
      <c r="N577" s="11">
        <v>0.0054</v>
      </c>
      <c r="O577" s="8">
        <v>853</v>
      </c>
      <c r="P577" s="8">
        <v>76</v>
      </c>
      <c r="Q577" s="8">
        <v>3</v>
      </c>
      <c r="R577" s="11">
        <v>0.03</v>
      </c>
      <c r="S577" s="11">
        <v>0.158</v>
      </c>
      <c r="T577" s="11">
        <v>0.077</v>
      </c>
      <c r="U577" s="11">
        <v>0.25</v>
      </c>
      <c r="V577" s="11">
        <v>0.233</v>
      </c>
      <c r="W577" s="8">
        <v>0</v>
      </c>
      <c r="X577" s="8">
        <v>0</v>
      </c>
      <c r="Y577" s="8">
        <v>0</v>
      </c>
      <c r="Z577" s="8">
        <v>0</v>
      </c>
      <c r="AA577" s="11">
        <v>0</v>
      </c>
      <c r="AB577" s="11">
        <v>0</v>
      </c>
      <c r="AC577" s="11">
        <v>0</v>
      </c>
      <c r="AD577" s="11">
        <v>0</v>
      </c>
    </row>
    <row r="578" customFormat="1" ht="22" customHeight="1" spans="1:30">
      <c r="A578" s="8" t="s">
        <v>31</v>
      </c>
      <c r="B578" s="8" t="str">
        <f>VLOOKUP(E578,[1]Sheet1!$C:$E,2,FALSE)</f>
        <v>徐从众</v>
      </c>
      <c r="C578" s="9" t="str">
        <f>VLOOKUP(E578,[1]Sheet1!$C:$E,3,FALSE)</f>
        <v>S</v>
      </c>
      <c r="D578" s="8" t="s">
        <v>607</v>
      </c>
      <c r="E578" s="10">
        <v>1105407151</v>
      </c>
      <c r="F578" s="8">
        <v>5</v>
      </c>
      <c r="G578" s="8">
        <v>1</v>
      </c>
      <c r="H578" s="14">
        <v>28.1</v>
      </c>
      <c r="I578" s="8">
        <v>0</v>
      </c>
      <c r="J578" s="8">
        <v>28.1</v>
      </c>
      <c r="K578" s="8">
        <v>207</v>
      </c>
      <c r="L578" s="11">
        <v>0.116</v>
      </c>
      <c r="M578" s="11">
        <v>0.042</v>
      </c>
      <c r="N578" s="11">
        <v>0.0049</v>
      </c>
      <c r="O578" s="8">
        <v>0</v>
      </c>
      <c r="P578" s="8">
        <v>0</v>
      </c>
      <c r="Q578" s="8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0.141</v>
      </c>
      <c r="W578" s="8">
        <v>0</v>
      </c>
      <c r="X578" s="8">
        <v>0</v>
      </c>
      <c r="Y578" s="8">
        <v>0</v>
      </c>
      <c r="Z578" s="8">
        <v>0</v>
      </c>
      <c r="AA578" s="11">
        <v>0</v>
      </c>
      <c r="AB578" s="11">
        <v>0</v>
      </c>
      <c r="AC578" s="11">
        <v>0</v>
      </c>
      <c r="AD578" s="11">
        <v>0</v>
      </c>
    </row>
    <row r="579" customFormat="1" ht="22" customHeight="1" spans="1:30">
      <c r="A579" s="8" t="s">
        <v>31</v>
      </c>
      <c r="B579" s="8" t="str">
        <f>VLOOKUP(E579,[1]Sheet1!$C:$E,2,FALSE)</f>
        <v>刘欢</v>
      </c>
      <c r="C579" s="8">
        <f>VLOOKUP(E579,[1]Sheet1!$C:$E,3,FALSE)</f>
        <v>0</v>
      </c>
      <c r="D579" s="12" t="s">
        <v>608</v>
      </c>
      <c r="E579" s="13">
        <v>541360802</v>
      </c>
      <c r="F579" s="12">
        <v>4.4</v>
      </c>
      <c r="G579" s="8">
        <v>4</v>
      </c>
      <c r="H579" s="14">
        <v>27.47</v>
      </c>
      <c r="I579" s="8">
        <v>10.23</v>
      </c>
      <c r="J579" s="8">
        <v>6.87</v>
      </c>
      <c r="K579" s="8">
        <v>583</v>
      </c>
      <c r="L579" s="11">
        <v>0.084</v>
      </c>
      <c r="M579" s="11">
        <v>0.082</v>
      </c>
      <c r="N579" s="11">
        <v>0.0069</v>
      </c>
      <c r="O579" s="8">
        <v>564</v>
      </c>
      <c r="P579" s="8">
        <v>19</v>
      </c>
      <c r="Q579" s="8">
        <v>0</v>
      </c>
      <c r="R579" s="11">
        <v>0.078</v>
      </c>
      <c r="S579" s="11">
        <v>0.263</v>
      </c>
      <c r="T579" s="11">
        <v>0.091</v>
      </c>
      <c r="U579" s="11">
        <v>0</v>
      </c>
      <c r="V579" s="11">
        <v>0.014</v>
      </c>
      <c r="W579" s="8">
        <v>0</v>
      </c>
      <c r="X579" s="8">
        <v>0</v>
      </c>
      <c r="Y579" s="8">
        <v>0</v>
      </c>
      <c r="Z579" s="8">
        <v>0</v>
      </c>
      <c r="AA579" s="11">
        <v>0</v>
      </c>
      <c r="AB579" s="11">
        <v>0</v>
      </c>
      <c r="AC579" s="11">
        <v>0</v>
      </c>
      <c r="AD579" s="11">
        <v>0</v>
      </c>
    </row>
    <row r="580" customFormat="1" ht="22" customHeight="1" spans="1:30">
      <c r="A580" s="8" t="s">
        <v>31</v>
      </c>
      <c r="B580" s="8" t="e">
        <f>VLOOKUP(E580,[1]Sheet1!$C:$E,2,FALSE)</f>
        <v>#N/A</v>
      </c>
      <c r="C580" s="8" t="e">
        <f>VLOOKUP(E580,[1]Sheet1!$C:$E,3,FALSE)</f>
        <v>#N/A</v>
      </c>
      <c r="D580" s="12" t="s">
        <v>609</v>
      </c>
      <c r="E580" s="13">
        <v>1354140441</v>
      </c>
      <c r="F580" s="12">
        <v>4.7</v>
      </c>
      <c r="G580" s="8">
        <v>1</v>
      </c>
      <c r="H580" s="14">
        <v>25.99</v>
      </c>
      <c r="I580" s="8">
        <v>0</v>
      </c>
      <c r="J580" s="8">
        <v>25.99</v>
      </c>
      <c r="K580" s="8">
        <v>370</v>
      </c>
      <c r="L580" s="11">
        <v>0.041</v>
      </c>
      <c r="M580" s="11">
        <v>0.067</v>
      </c>
      <c r="N580" s="11">
        <v>0.0027</v>
      </c>
      <c r="O580" s="8">
        <v>0</v>
      </c>
      <c r="P580" s="8">
        <v>0</v>
      </c>
      <c r="Q580" s="8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0.085</v>
      </c>
      <c r="W580" s="8">
        <v>0</v>
      </c>
      <c r="X580" s="8">
        <v>0</v>
      </c>
      <c r="Y580" s="8">
        <v>0</v>
      </c>
      <c r="Z580" s="8">
        <v>0</v>
      </c>
      <c r="AA580" s="11">
        <v>0</v>
      </c>
      <c r="AB580" s="11">
        <v>0</v>
      </c>
      <c r="AC580" s="11">
        <v>0</v>
      </c>
      <c r="AD580" s="11">
        <v>0</v>
      </c>
    </row>
    <row r="581" customFormat="1" ht="22" customHeight="1" spans="1:30">
      <c r="A581" s="8" t="s">
        <v>31</v>
      </c>
      <c r="B581" s="8" t="e">
        <f>VLOOKUP(E581,[1]Sheet1!$C:$E,2,FALSE)</f>
        <v>#N/A</v>
      </c>
      <c r="C581" s="8" t="e">
        <f>VLOOKUP(E581,[1]Sheet1!$C:$E,3,FALSE)</f>
        <v>#N/A</v>
      </c>
      <c r="D581" s="12" t="s">
        <v>610</v>
      </c>
      <c r="E581" s="13">
        <v>2040941851</v>
      </c>
      <c r="F581" s="12">
        <v>4.3</v>
      </c>
      <c r="G581" s="8">
        <v>1</v>
      </c>
      <c r="H581" s="14">
        <v>23.9</v>
      </c>
      <c r="I581" s="8">
        <v>32.2</v>
      </c>
      <c r="J581" s="8">
        <v>23.9</v>
      </c>
      <c r="K581" s="8">
        <v>99</v>
      </c>
      <c r="L581" s="11">
        <v>0.091</v>
      </c>
      <c r="M581" s="11">
        <v>0.111</v>
      </c>
      <c r="N581" s="11">
        <v>0.0101</v>
      </c>
      <c r="O581" s="8">
        <v>93</v>
      </c>
      <c r="P581" s="8">
        <v>6</v>
      </c>
      <c r="Q581" s="8">
        <v>1</v>
      </c>
      <c r="R581" s="11">
        <v>0.086</v>
      </c>
      <c r="S581" s="11">
        <v>0.167</v>
      </c>
      <c r="T581" s="11">
        <v>0</v>
      </c>
      <c r="U581" s="11">
        <v>1</v>
      </c>
      <c r="V581" s="11">
        <v>0.214</v>
      </c>
      <c r="W581" s="8">
        <v>0</v>
      </c>
      <c r="X581" s="8">
        <v>0</v>
      </c>
      <c r="Y581" s="8">
        <v>0</v>
      </c>
      <c r="Z581" s="8">
        <v>0</v>
      </c>
      <c r="AA581" s="11">
        <v>0</v>
      </c>
      <c r="AB581" s="11">
        <v>0</v>
      </c>
      <c r="AC581" s="11">
        <v>0</v>
      </c>
      <c r="AD581" s="11">
        <v>0</v>
      </c>
    </row>
    <row r="582" customFormat="1" ht="22" customHeight="1" spans="1:30">
      <c r="A582" s="8" t="s">
        <v>31</v>
      </c>
      <c r="B582" s="8" t="e">
        <f>VLOOKUP(E582,[1]Sheet1!$C:$E,2,FALSE)</f>
        <v>#N/A</v>
      </c>
      <c r="C582" s="8" t="e">
        <f>VLOOKUP(E582,[1]Sheet1!$C:$E,3,FALSE)</f>
        <v>#N/A</v>
      </c>
      <c r="D582" s="12" t="s">
        <v>611</v>
      </c>
      <c r="E582" s="13">
        <v>1349680126</v>
      </c>
      <c r="F582" s="12">
        <v>4.7</v>
      </c>
      <c r="G582" s="8">
        <v>2</v>
      </c>
      <c r="H582" s="14">
        <v>23.44</v>
      </c>
      <c r="I582" s="8">
        <v>15.56</v>
      </c>
      <c r="J582" s="8">
        <v>11.72</v>
      </c>
      <c r="K582" s="8">
        <v>514</v>
      </c>
      <c r="L582" s="11">
        <v>0.016</v>
      </c>
      <c r="M582" s="11">
        <v>0.25</v>
      </c>
      <c r="N582" s="11">
        <v>0.004</v>
      </c>
      <c r="O582" s="8">
        <v>507</v>
      </c>
      <c r="P582" s="8">
        <v>7</v>
      </c>
      <c r="Q582" s="8">
        <v>0</v>
      </c>
      <c r="R582" s="11">
        <v>0.016</v>
      </c>
      <c r="S582" s="11">
        <v>0</v>
      </c>
      <c r="T582" s="11">
        <v>0.25</v>
      </c>
      <c r="U582" s="11">
        <v>0</v>
      </c>
      <c r="V582" s="11">
        <v>0.111</v>
      </c>
      <c r="W582" s="8">
        <v>0</v>
      </c>
      <c r="X582" s="8">
        <v>0</v>
      </c>
      <c r="Y582" s="8">
        <v>0</v>
      </c>
      <c r="Z582" s="8">
        <v>0</v>
      </c>
      <c r="AA582" s="11">
        <v>0</v>
      </c>
      <c r="AB582" s="11">
        <v>0</v>
      </c>
      <c r="AC582" s="11">
        <v>0</v>
      </c>
      <c r="AD582" s="11">
        <v>0</v>
      </c>
    </row>
    <row r="583" customFormat="1" ht="22" customHeight="1" spans="1:30">
      <c r="A583" s="8" t="s">
        <v>31</v>
      </c>
      <c r="B583" s="8" t="str">
        <f>VLOOKUP(E583,[1]Sheet1!$C:$E,2,FALSE)</f>
        <v>王森</v>
      </c>
      <c r="C583" s="8">
        <f>VLOOKUP(E583,[1]Sheet1!$C:$E,3,FALSE)</f>
        <v>0</v>
      </c>
      <c r="D583" s="8" t="s">
        <v>612</v>
      </c>
      <c r="E583" s="10">
        <v>1355657142</v>
      </c>
      <c r="F583" s="8">
        <v>4.8</v>
      </c>
      <c r="G583" s="8">
        <v>3</v>
      </c>
      <c r="H583" s="14">
        <v>21.69</v>
      </c>
      <c r="I583" s="8">
        <v>13</v>
      </c>
      <c r="J583" s="8">
        <v>7.23</v>
      </c>
      <c r="K583" s="8">
        <v>384</v>
      </c>
      <c r="L583" s="11">
        <v>0.052</v>
      </c>
      <c r="M583" s="11">
        <v>0.15</v>
      </c>
      <c r="N583" s="11">
        <v>0.0078</v>
      </c>
      <c r="O583" s="8">
        <v>381</v>
      </c>
      <c r="P583" s="8">
        <v>3</v>
      </c>
      <c r="Q583" s="8">
        <v>1</v>
      </c>
      <c r="R583" s="11">
        <v>0.05</v>
      </c>
      <c r="S583" s="11">
        <v>0.333</v>
      </c>
      <c r="T583" s="11">
        <v>0.105</v>
      </c>
      <c r="U583" s="11">
        <v>1</v>
      </c>
      <c r="V583" s="11">
        <v>0.056</v>
      </c>
      <c r="W583" s="8">
        <v>0</v>
      </c>
      <c r="X583" s="8">
        <v>0</v>
      </c>
      <c r="Y583" s="8">
        <v>0</v>
      </c>
      <c r="Z583" s="8">
        <v>0</v>
      </c>
      <c r="AA583" s="11">
        <v>0</v>
      </c>
      <c r="AB583" s="11">
        <v>0</v>
      </c>
      <c r="AC583" s="11">
        <v>0</v>
      </c>
      <c r="AD583" s="11">
        <v>0</v>
      </c>
    </row>
    <row r="584" customFormat="1" ht="22" customHeight="1" spans="1:30">
      <c r="A584" s="8" t="s">
        <v>31</v>
      </c>
      <c r="B584" s="8" t="str">
        <f>VLOOKUP(E584,[1]Sheet1!$C:$E,2,FALSE)</f>
        <v>王森</v>
      </c>
      <c r="C584" s="8">
        <f>VLOOKUP(E584,[1]Sheet1!$C:$E,3,FALSE)</f>
        <v>0</v>
      </c>
      <c r="D584" s="8" t="s">
        <v>613</v>
      </c>
      <c r="E584" s="10">
        <v>1339085576</v>
      </c>
      <c r="F584" s="8">
        <v>4.9</v>
      </c>
      <c r="G584" s="8">
        <v>1</v>
      </c>
      <c r="H584" s="14">
        <v>21.27</v>
      </c>
      <c r="I584" s="8">
        <v>37.8</v>
      </c>
      <c r="J584" s="8">
        <v>21.27</v>
      </c>
      <c r="K584" s="8">
        <v>508</v>
      </c>
      <c r="L584" s="11">
        <v>0.063</v>
      </c>
      <c r="M584" s="11">
        <v>0.031</v>
      </c>
      <c r="N584" s="11">
        <v>0.002</v>
      </c>
      <c r="O584" s="8">
        <v>468</v>
      </c>
      <c r="P584" s="8">
        <v>40</v>
      </c>
      <c r="Q584" s="8">
        <v>0</v>
      </c>
      <c r="R584" s="11">
        <v>0.06</v>
      </c>
      <c r="S584" s="11">
        <v>0.1</v>
      </c>
      <c r="T584" s="11">
        <v>0.036</v>
      </c>
      <c r="U584" s="11">
        <v>0</v>
      </c>
      <c r="V584" s="11">
        <v>0.155</v>
      </c>
      <c r="W584" s="8">
        <v>0</v>
      </c>
      <c r="X584" s="8">
        <v>0</v>
      </c>
      <c r="Y584" s="8">
        <v>0</v>
      </c>
      <c r="Z584" s="8">
        <v>0</v>
      </c>
      <c r="AA584" s="11">
        <v>0</v>
      </c>
      <c r="AB584" s="11">
        <v>0</v>
      </c>
      <c r="AC584" s="11">
        <v>0</v>
      </c>
      <c r="AD584" s="11">
        <v>0</v>
      </c>
    </row>
    <row r="585" customFormat="1" ht="22" customHeight="1" spans="1:30">
      <c r="A585" s="8" t="s">
        <v>31</v>
      </c>
      <c r="B585" s="8" t="str">
        <f>VLOOKUP(E585,[1]Sheet1!$C:$E,2,FALSE)</f>
        <v>刘欢</v>
      </c>
      <c r="C585" s="8" t="str">
        <f>VLOOKUP(E585,[1]Sheet1!$C:$E,3,FALSE)</f>
        <v>C</v>
      </c>
      <c r="D585" s="12" t="s">
        <v>614</v>
      </c>
      <c r="E585" s="13">
        <v>541351971</v>
      </c>
      <c r="F585" s="12">
        <v>4.6</v>
      </c>
      <c r="G585" s="8">
        <v>1</v>
      </c>
      <c r="H585" s="14">
        <v>20.85</v>
      </c>
      <c r="I585" s="8">
        <v>25.6</v>
      </c>
      <c r="J585" s="8">
        <v>20.85</v>
      </c>
      <c r="K585" s="8">
        <v>568</v>
      </c>
      <c r="L585" s="11">
        <v>0.032</v>
      </c>
      <c r="M585" s="11">
        <v>0.056</v>
      </c>
      <c r="N585" s="11">
        <v>0.0018</v>
      </c>
      <c r="O585" s="8">
        <v>551</v>
      </c>
      <c r="P585" s="8">
        <v>17</v>
      </c>
      <c r="Q585" s="8">
        <v>0</v>
      </c>
      <c r="R585" s="11">
        <v>0.029</v>
      </c>
      <c r="S585" s="11">
        <v>0.118</v>
      </c>
      <c r="T585" s="11">
        <v>0.063</v>
      </c>
      <c r="U585" s="11">
        <v>0</v>
      </c>
      <c r="V585" s="11">
        <v>0.087</v>
      </c>
      <c r="W585" s="8">
        <v>1</v>
      </c>
      <c r="X585" s="8">
        <v>1</v>
      </c>
      <c r="Y585" s="8">
        <v>0</v>
      </c>
      <c r="Z585" s="8">
        <v>0</v>
      </c>
      <c r="AA585" s="11">
        <v>1</v>
      </c>
      <c r="AB585" s="11">
        <v>1</v>
      </c>
      <c r="AC585" s="11">
        <v>0</v>
      </c>
      <c r="AD585" s="11">
        <v>0</v>
      </c>
    </row>
    <row r="586" customFormat="1" ht="22" customHeight="1" spans="1:30">
      <c r="A586" s="8" t="s">
        <v>31</v>
      </c>
      <c r="B586" s="8" t="e">
        <f>VLOOKUP(E586,[1]Sheet1!$C:$E,2,FALSE)</f>
        <v>#N/A</v>
      </c>
      <c r="C586" s="8" t="e">
        <f>VLOOKUP(E586,[1]Sheet1!$C:$E,3,FALSE)</f>
        <v>#N/A</v>
      </c>
      <c r="D586" s="12" t="s">
        <v>615</v>
      </c>
      <c r="E586" s="13">
        <v>543911349</v>
      </c>
      <c r="F586" s="12">
        <v>4.6</v>
      </c>
      <c r="G586" s="8">
        <v>2</v>
      </c>
      <c r="H586" s="14">
        <v>19.98</v>
      </c>
      <c r="I586" s="8">
        <v>14.78</v>
      </c>
      <c r="J586" s="8">
        <v>9.99</v>
      </c>
      <c r="K586" s="8">
        <v>125</v>
      </c>
      <c r="L586" s="11">
        <v>0.024</v>
      </c>
      <c r="M586" s="11">
        <v>0.667</v>
      </c>
      <c r="N586" s="11">
        <v>0.016</v>
      </c>
      <c r="O586" s="8">
        <v>123</v>
      </c>
      <c r="P586" s="8">
        <v>2</v>
      </c>
      <c r="Q586" s="8">
        <v>0</v>
      </c>
      <c r="R586" s="11">
        <v>0.024</v>
      </c>
      <c r="S586" s="11">
        <v>0</v>
      </c>
      <c r="T586" s="11">
        <v>0.667</v>
      </c>
      <c r="U586" s="11">
        <v>0</v>
      </c>
      <c r="V586" s="11">
        <v>0.14</v>
      </c>
      <c r="W586" s="8">
        <v>0</v>
      </c>
      <c r="X586" s="8">
        <v>0</v>
      </c>
      <c r="Y586" s="8">
        <v>0</v>
      </c>
      <c r="Z586" s="8">
        <v>0</v>
      </c>
      <c r="AA586" s="11">
        <v>0</v>
      </c>
      <c r="AB586" s="11">
        <v>0</v>
      </c>
      <c r="AC586" s="11">
        <v>0</v>
      </c>
      <c r="AD586" s="11">
        <v>0</v>
      </c>
    </row>
    <row r="587" customFormat="1" ht="22" customHeight="1" spans="1:30">
      <c r="A587" s="8" t="s">
        <v>31</v>
      </c>
      <c r="B587" s="8" t="str">
        <f>VLOOKUP(E587,[1]Sheet1!$C:$E,2,FALSE)</f>
        <v>王森</v>
      </c>
      <c r="C587" s="8">
        <f>VLOOKUP(E587,[1]Sheet1!$C:$E,3,FALSE)</f>
        <v>0</v>
      </c>
      <c r="D587" s="8" t="s">
        <v>616</v>
      </c>
      <c r="E587" s="10">
        <v>1348316492</v>
      </c>
      <c r="F587" s="8">
        <v>4.9</v>
      </c>
      <c r="G587" s="8">
        <v>1</v>
      </c>
      <c r="H587" s="14">
        <v>19.1</v>
      </c>
      <c r="I587" s="8">
        <v>25</v>
      </c>
      <c r="J587" s="8">
        <v>19.1</v>
      </c>
      <c r="K587" s="8">
        <v>127</v>
      </c>
      <c r="L587" s="11">
        <v>0.094</v>
      </c>
      <c r="M587" s="11">
        <v>0.083</v>
      </c>
      <c r="N587" s="11">
        <v>0.0078</v>
      </c>
      <c r="O587" s="8">
        <v>122</v>
      </c>
      <c r="P587" s="8">
        <v>5</v>
      </c>
      <c r="Q587" s="8">
        <v>0</v>
      </c>
      <c r="R587" s="11">
        <v>0.09</v>
      </c>
      <c r="S587" s="11">
        <v>0.2</v>
      </c>
      <c r="T587" s="11">
        <v>0.091</v>
      </c>
      <c r="U587" s="11">
        <v>0</v>
      </c>
      <c r="V587" s="11">
        <v>0.146</v>
      </c>
      <c r="W587" s="8">
        <v>0</v>
      </c>
      <c r="X587" s="8">
        <v>0</v>
      </c>
      <c r="Y587" s="8">
        <v>0</v>
      </c>
      <c r="Z587" s="8">
        <v>0</v>
      </c>
      <c r="AA587" s="11">
        <v>0</v>
      </c>
      <c r="AB587" s="11">
        <v>0</v>
      </c>
      <c r="AC587" s="11">
        <v>0</v>
      </c>
      <c r="AD587" s="11">
        <v>0</v>
      </c>
    </row>
    <row r="588" customFormat="1" ht="22" customHeight="1" spans="1:30">
      <c r="A588" s="8" t="s">
        <v>31</v>
      </c>
      <c r="B588" s="8" t="str">
        <f>VLOOKUP(E588,[1]Sheet1!$C:$E,2,FALSE)</f>
        <v>刘欢</v>
      </c>
      <c r="C588" s="8" t="str">
        <f>VLOOKUP(E588,[1]Sheet1!$C:$E,3,FALSE)</f>
        <v>B</v>
      </c>
      <c r="D588" s="12" t="s">
        <v>617</v>
      </c>
      <c r="E588" s="13">
        <v>542396353</v>
      </c>
      <c r="F588" s="12">
        <v>4.7</v>
      </c>
      <c r="G588" s="8">
        <v>2</v>
      </c>
      <c r="H588" s="14">
        <v>18.71</v>
      </c>
      <c r="I588" s="8">
        <v>13.05</v>
      </c>
      <c r="J588" s="8">
        <v>9.36</v>
      </c>
      <c r="K588" s="8">
        <v>310</v>
      </c>
      <c r="L588" s="11">
        <v>0.035</v>
      </c>
      <c r="M588" s="11">
        <v>0.182</v>
      </c>
      <c r="N588" s="11">
        <v>0.0064</v>
      </c>
      <c r="O588" s="8">
        <v>292</v>
      </c>
      <c r="P588" s="8">
        <v>18</v>
      </c>
      <c r="Q588" s="8">
        <v>0</v>
      </c>
      <c r="R588" s="11">
        <v>0.034</v>
      </c>
      <c r="S588" s="11">
        <v>0.056</v>
      </c>
      <c r="T588" s="11">
        <v>0.2</v>
      </c>
      <c r="U588" s="11">
        <v>0</v>
      </c>
      <c r="V588" s="11">
        <v>0.083</v>
      </c>
      <c r="W588" s="8">
        <v>0</v>
      </c>
      <c r="X588" s="8">
        <v>0</v>
      </c>
      <c r="Y588" s="8">
        <v>0</v>
      </c>
      <c r="Z588" s="8">
        <v>0</v>
      </c>
      <c r="AA588" s="11">
        <v>0</v>
      </c>
      <c r="AB588" s="11">
        <v>0</v>
      </c>
      <c r="AC588" s="11">
        <v>0</v>
      </c>
      <c r="AD588" s="11">
        <v>0</v>
      </c>
    </row>
    <row r="589" customFormat="1" ht="22" customHeight="1" spans="1:30">
      <c r="A589" s="8" t="s">
        <v>31</v>
      </c>
      <c r="B589" s="8" t="str">
        <f>VLOOKUP(E589,[1]Sheet1!$C:$E,2,FALSE)</f>
        <v>王森</v>
      </c>
      <c r="C589" s="8">
        <f>VLOOKUP(E589,[1]Sheet1!$C:$E,3,FALSE)</f>
        <v>0</v>
      </c>
      <c r="D589" s="12" t="s">
        <v>618</v>
      </c>
      <c r="E589" s="13">
        <v>2084949727</v>
      </c>
      <c r="F589" s="12">
        <v>4.7</v>
      </c>
      <c r="G589" s="8">
        <v>2</v>
      </c>
      <c r="H589" s="14">
        <v>18.52</v>
      </c>
      <c r="I589" s="8">
        <v>9.6</v>
      </c>
      <c r="J589" s="8">
        <v>9.26</v>
      </c>
      <c r="K589" s="8">
        <v>220</v>
      </c>
      <c r="L589" s="11">
        <v>0.077</v>
      </c>
      <c r="M589" s="11">
        <v>0.118</v>
      </c>
      <c r="N589" s="11">
        <v>0.0091</v>
      </c>
      <c r="O589" s="8">
        <v>215</v>
      </c>
      <c r="P589" s="8">
        <v>5</v>
      </c>
      <c r="Q589" s="8">
        <v>1</v>
      </c>
      <c r="R589" s="11">
        <v>0.074</v>
      </c>
      <c r="S589" s="11">
        <v>0.2</v>
      </c>
      <c r="T589" s="11">
        <v>0.063</v>
      </c>
      <c r="U589" s="11">
        <v>1</v>
      </c>
      <c r="V589" s="11">
        <v>0.077</v>
      </c>
      <c r="W589" s="8">
        <v>0</v>
      </c>
      <c r="X589" s="8">
        <v>0</v>
      </c>
      <c r="Y589" s="8">
        <v>0</v>
      </c>
      <c r="Z589" s="8">
        <v>0</v>
      </c>
      <c r="AA589" s="11">
        <v>0</v>
      </c>
      <c r="AB589" s="11">
        <v>0</v>
      </c>
      <c r="AC589" s="11">
        <v>0</v>
      </c>
      <c r="AD589" s="11">
        <v>0</v>
      </c>
    </row>
    <row r="590" customFormat="1" ht="22" customHeight="1" spans="1:30">
      <c r="A590" s="8" t="s">
        <v>31</v>
      </c>
      <c r="B590" s="8" t="str">
        <f>VLOOKUP(E590,[1]Sheet1!$C:$E,2,FALSE)</f>
        <v>刘欢</v>
      </c>
      <c r="C590" s="8">
        <f>VLOOKUP(E590,[1]Sheet1!$C:$E,3,FALSE)</f>
        <v>0</v>
      </c>
      <c r="D590" s="8" t="s">
        <v>619</v>
      </c>
      <c r="E590" s="10">
        <v>1342943596</v>
      </c>
      <c r="F590" s="8">
        <v>4.8</v>
      </c>
      <c r="G590" s="8">
        <v>2</v>
      </c>
      <c r="H590" s="14">
        <v>16.97</v>
      </c>
      <c r="I590" s="8">
        <v>15.96</v>
      </c>
      <c r="J590" s="8">
        <v>8.49</v>
      </c>
      <c r="K590" s="8">
        <v>672</v>
      </c>
      <c r="L590" s="11">
        <v>0.067</v>
      </c>
      <c r="M590" s="11">
        <v>0.044</v>
      </c>
      <c r="N590" s="11">
        <v>0.0029</v>
      </c>
      <c r="O590" s="8">
        <v>633</v>
      </c>
      <c r="P590" s="8">
        <v>39</v>
      </c>
      <c r="Q590" s="8">
        <v>0</v>
      </c>
      <c r="R590" s="11">
        <v>0.07</v>
      </c>
      <c r="S590" s="11">
        <v>0.026</v>
      </c>
      <c r="T590" s="11">
        <v>0.045</v>
      </c>
      <c r="U590" s="11">
        <v>0</v>
      </c>
      <c r="V590" s="11">
        <v>0.139</v>
      </c>
      <c r="W590" s="8">
        <v>0</v>
      </c>
      <c r="X590" s="8">
        <v>0</v>
      </c>
      <c r="Y590" s="8">
        <v>0</v>
      </c>
      <c r="Z590" s="8">
        <v>0</v>
      </c>
      <c r="AA590" s="11">
        <v>0</v>
      </c>
      <c r="AB590" s="11">
        <v>0</v>
      </c>
      <c r="AC590" s="11">
        <v>0</v>
      </c>
      <c r="AD590" s="11">
        <v>0</v>
      </c>
    </row>
    <row r="591" customFormat="1" ht="22" customHeight="1" spans="1:30">
      <c r="A591" s="8" t="s">
        <v>31</v>
      </c>
      <c r="B591" s="8" t="str">
        <f>VLOOKUP(E591,[1]Sheet1!$C:$E,2,FALSE)</f>
        <v>王森</v>
      </c>
      <c r="C591" s="8">
        <f>VLOOKUP(E591,[1]Sheet1!$C:$E,3,FALSE)</f>
        <v>0</v>
      </c>
      <c r="D591" s="12" t="s">
        <v>620</v>
      </c>
      <c r="E591" s="13">
        <v>1341951727</v>
      </c>
      <c r="F591" s="12">
        <v>4.7</v>
      </c>
      <c r="G591" s="8">
        <v>1</v>
      </c>
      <c r="H591" s="14">
        <v>13.56</v>
      </c>
      <c r="I591" s="8">
        <v>20</v>
      </c>
      <c r="J591" s="8">
        <v>13.56</v>
      </c>
      <c r="K591" s="8">
        <v>471</v>
      </c>
      <c r="L591" s="11">
        <v>0.019</v>
      </c>
      <c r="M591" s="11">
        <v>0.111</v>
      </c>
      <c r="N591" s="11">
        <v>0.0021</v>
      </c>
      <c r="O591" s="8">
        <v>463</v>
      </c>
      <c r="P591" s="8">
        <v>8</v>
      </c>
      <c r="Q591" s="8">
        <v>0</v>
      </c>
      <c r="R591" s="11">
        <v>0.017</v>
      </c>
      <c r="S591" s="11">
        <v>0.125</v>
      </c>
      <c r="T591" s="11">
        <v>0.125</v>
      </c>
      <c r="U591" s="11">
        <v>0</v>
      </c>
      <c r="V591" s="11">
        <v>0.136</v>
      </c>
      <c r="W591" s="8">
        <v>0</v>
      </c>
      <c r="X591" s="8">
        <v>0</v>
      </c>
      <c r="Y591" s="8">
        <v>0</v>
      </c>
      <c r="Z591" s="8">
        <v>0</v>
      </c>
      <c r="AA591" s="11">
        <v>0</v>
      </c>
      <c r="AB591" s="11">
        <v>0</v>
      </c>
      <c r="AC591" s="11">
        <v>0</v>
      </c>
      <c r="AD591" s="11">
        <v>0</v>
      </c>
    </row>
    <row r="592" customFormat="1" ht="22" customHeight="1" spans="1:30">
      <c r="A592" s="8" t="s">
        <v>31</v>
      </c>
      <c r="B592" s="8" t="str">
        <f>VLOOKUP(E592,[1]Sheet1!$C:$E,2,FALSE)</f>
        <v>刘欢</v>
      </c>
      <c r="C592" s="8" t="str">
        <f>VLOOKUP(E592,[1]Sheet1!$C:$E,3,FALSE)</f>
        <v>C</v>
      </c>
      <c r="D592" s="8" t="s">
        <v>621</v>
      </c>
      <c r="E592" s="10">
        <v>1339025895</v>
      </c>
      <c r="F592" s="8">
        <v>4.9</v>
      </c>
      <c r="G592" s="8">
        <v>1</v>
      </c>
      <c r="H592" s="14">
        <v>10.75</v>
      </c>
      <c r="I592" s="8">
        <v>13.95</v>
      </c>
      <c r="J592" s="8">
        <v>10.75</v>
      </c>
      <c r="K592" s="8">
        <v>708</v>
      </c>
      <c r="L592" s="11">
        <v>0.059</v>
      </c>
      <c r="M592" s="11">
        <v>0.024</v>
      </c>
      <c r="N592" s="11">
        <v>0.0014</v>
      </c>
      <c r="O592" s="8">
        <v>626</v>
      </c>
      <c r="P592" s="8">
        <v>82</v>
      </c>
      <c r="Q592" s="8">
        <v>0</v>
      </c>
      <c r="R592" s="11">
        <v>0.058</v>
      </c>
      <c r="S592" s="11">
        <v>0.073</v>
      </c>
      <c r="T592" s="11">
        <v>0.028</v>
      </c>
      <c r="U592" s="11">
        <v>0</v>
      </c>
      <c r="V592" s="11">
        <v>0.218</v>
      </c>
      <c r="W592" s="8">
        <v>0</v>
      </c>
      <c r="X592" s="8">
        <v>0</v>
      </c>
      <c r="Y592" s="8">
        <v>0</v>
      </c>
      <c r="Z592" s="8">
        <v>0</v>
      </c>
      <c r="AA592" s="11">
        <v>0</v>
      </c>
      <c r="AB592" s="11">
        <v>0</v>
      </c>
      <c r="AC592" s="11">
        <v>0</v>
      </c>
      <c r="AD592" s="11">
        <v>0</v>
      </c>
    </row>
    <row r="593" customFormat="1" ht="22" customHeight="1" spans="1:30">
      <c r="A593" s="8" t="s">
        <v>31</v>
      </c>
      <c r="B593" s="8" t="e">
        <f>VLOOKUP(E593,[1]Sheet1!$C:$E,2,FALSE)</f>
        <v>#N/A</v>
      </c>
      <c r="C593" s="8" t="e">
        <f>VLOOKUP(E593,[1]Sheet1!$C:$E,3,FALSE)</f>
        <v>#N/A</v>
      </c>
      <c r="D593" s="8" t="s">
        <v>622</v>
      </c>
      <c r="E593" s="10">
        <v>1351157778</v>
      </c>
      <c r="F593" s="8">
        <v>4.9</v>
      </c>
      <c r="G593" s="8">
        <v>1</v>
      </c>
      <c r="H593" s="14">
        <v>9.31</v>
      </c>
      <c r="I593" s="8">
        <v>15.8</v>
      </c>
      <c r="J593" s="8">
        <v>9.31</v>
      </c>
      <c r="K593" s="8">
        <v>834</v>
      </c>
      <c r="L593" s="11">
        <v>0.024</v>
      </c>
      <c r="M593" s="11">
        <v>0.05</v>
      </c>
      <c r="N593" s="11">
        <v>0.0012</v>
      </c>
      <c r="O593" s="8">
        <v>831</v>
      </c>
      <c r="P593" s="8">
        <v>3</v>
      </c>
      <c r="Q593" s="8">
        <v>0</v>
      </c>
      <c r="R593" s="11">
        <v>0.023</v>
      </c>
      <c r="S593" s="11">
        <v>0.333</v>
      </c>
      <c r="T593" s="11">
        <v>0.053</v>
      </c>
      <c r="U593" s="11">
        <v>0</v>
      </c>
      <c r="V593" s="11">
        <v>0.103</v>
      </c>
      <c r="W593" s="8">
        <v>1</v>
      </c>
      <c r="X593" s="8">
        <v>1</v>
      </c>
      <c r="Y593" s="8">
        <v>0</v>
      </c>
      <c r="Z593" s="8">
        <v>0</v>
      </c>
      <c r="AA593" s="11">
        <v>1</v>
      </c>
      <c r="AB593" s="11">
        <v>1</v>
      </c>
      <c r="AC593" s="11">
        <v>0</v>
      </c>
      <c r="AD593" s="11">
        <v>0</v>
      </c>
    </row>
    <row r="594" customFormat="1" ht="22" customHeight="1" spans="1:30">
      <c r="A594" s="8" t="s">
        <v>31</v>
      </c>
      <c r="B594" s="8" t="str">
        <f>VLOOKUP(E594,[1]Sheet1!$C:$E,2,FALSE)</f>
        <v>王森</v>
      </c>
      <c r="C594" s="8">
        <f>VLOOKUP(E594,[1]Sheet1!$C:$E,3,FALSE)</f>
        <v>0</v>
      </c>
      <c r="D594" s="12" t="s">
        <v>623</v>
      </c>
      <c r="E594" s="13">
        <v>1347895022</v>
      </c>
      <c r="F594" s="12">
        <v>4.4</v>
      </c>
      <c r="G594" s="8">
        <v>0</v>
      </c>
      <c r="H594" s="14">
        <v>0</v>
      </c>
      <c r="I594" s="8">
        <v>0</v>
      </c>
      <c r="J594" s="8">
        <v>0</v>
      </c>
      <c r="K594" s="8">
        <v>420</v>
      </c>
      <c r="L594" s="11">
        <v>0.021</v>
      </c>
      <c r="M594" s="11">
        <v>0</v>
      </c>
      <c r="N594" s="11">
        <v>0</v>
      </c>
      <c r="O594" s="8">
        <v>413</v>
      </c>
      <c r="P594" s="8">
        <v>7</v>
      </c>
      <c r="Q594" s="8">
        <v>0</v>
      </c>
      <c r="R594" s="11">
        <v>0.019</v>
      </c>
      <c r="S594" s="11">
        <v>0.143</v>
      </c>
      <c r="T594" s="11">
        <v>0</v>
      </c>
      <c r="U594" s="11">
        <v>0</v>
      </c>
      <c r="V594" s="11">
        <v>0.114</v>
      </c>
      <c r="W594" s="8">
        <v>0</v>
      </c>
      <c r="X594" s="8">
        <v>0</v>
      </c>
      <c r="Y594" s="8">
        <v>0</v>
      </c>
      <c r="Z594" s="8">
        <v>0</v>
      </c>
      <c r="AA594" s="11">
        <v>0</v>
      </c>
      <c r="AB594" s="11">
        <v>0</v>
      </c>
      <c r="AC594" s="11">
        <v>0</v>
      </c>
      <c r="AD594" s="11">
        <v>0</v>
      </c>
    </row>
    <row r="595" customFormat="1" ht="22" customHeight="1" spans="1:30">
      <c r="A595" s="8" t="s">
        <v>31</v>
      </c>
      <c r="B595" s="8" t="e">
        <f>VLOOKUP(E595,[1]Sheet1!$C:$E,2,FALSE)</f>
        <v>#N/A</v>
      </c>
      <c r="C595" s="8" t="e">
        <f>VLOOKUP(E595,[1]Sheet1!$C:$E,3,FALSE)</f>
        <v>#N/A</v>
      </c>
      <c r="D595" s="12" t="s">
        <v>624</v>
      </c>
      <c r="E595" s="13">
        <v>1349170944</v>
      </c>
      <c r="F595" s="12">
        <v>4.4</v>
      </c>
      <c r="G595" s="8">
        <v>0</v>
      </c>
      <c r="H595" s="14">
        <v>0</v>
      </c>
      <c r="I595" s="8">
        <v>0</v>
      </c>
      <c r="J595" s="8">
        <v>0</v>
      </c>
      <c r="K595" s="8">
        <v>91</v>
      </c>
      <c r="L595" s="11">
        <v>0.088</v>
      </c>
      <c r="M595" s="11">
        <v>0</v>
      </c>
      <c r="N595" s="11">
        <v>0</v>
      </c>
      <c r="O595" s="8">
        <v>86</v>
      </c>
      <c r="P595" s="8">
        <v>5</v>
      </c>
      <c r="Q595" s="8">
        <v>0</v>
      </c>
      <c r="R595" s="11">
        <v>0.07</v>
      </c>
      <c r="S595" s="11">
        <v>0.4</v>
      </c>
      <c r="T595" s="11">
        <v>0</v>
      </c>
      <c r="U595" s="11">
        <v>0</v>
      </c>
      <c r="V595" s="11">
        <v>0.333</v>
      </c>
      <c r="W595" s="8">
        <v>0</v>
      </c>
      <c r="X595" s="8">
        <v>0</v>
      </c>
      <c r="Y595" s="8">
        <v>0</v>
      </c>
      <c r="Z595" s="8">
        <v>0</v>
      </c>
      <c r="AA595" s="11">
        <v>0</v>
      </c>
      <c r="AB595" s="11">
        <v>0</v>
      </c>
      <c r="AC595" s="11">
        <v>0</v>
      </c>
      <c r="AD595" s="11">
        <v>0</v>
      </c>
    </row>
    <row r="596" customFormat="1" ht="22" customHeight="1" spans="1:30">
      <c r="A596" s="8" t="s">
        <v>31</v>
      </c>
      <c r="B596" s="8" t="e">
        <f>VLOOKUP(E596,[1]Sheet1!$C:$E,2,FALSE)</f>
        <v>#N/A</v>
      </c>
      <c r="C596" s="8" t="e">
        <f>VLOOKUP(E596,[1]Sheet1!$C:$E,3,FALSE)</f>
        <v>#N/A</v>
      </c>
      <c r="D596" s="12" t="s">
        <v>625</v>
      </c>
      <c r="E596" s="13">
        <v>542500143</v>
      </c>
      <c r="F596" s="12">
        <v>4.3</v>
      </c>
      <c r="G596" s="8">
        <v>0</v>
      </c>
      <c r="H596" s="14">
        <v>0</v>
      </c>
      <c r="I596" s="8">
        <v>0</v>
      </c>
      <c r="J596" s="8">
        <v>0</v>
      </c>
      <c r="K596" s="8">
        <v>88</v>
      </c>
      <c r="L596" s="11">
        <v>0.08</v>
      </c>
      <c r="M596" s="11">
        <v>0</v>
      </c>
      <c r="N596" s="11">
        <v>0</v>
      </c>
      <c r="O596" s="8">
        <v>88</v>
      </c>
      <c r="P596" s="8">
        <v>0</v>
      </c>
      <c r="Q596" s="8">
        <v>0</v>
      </c>
      <c r="R596" s="11">
        <v>0.08</v>
      </c>
      <c r="S596" s="11">
        <v>0</v>
      </c>
      <c r="T596" s="11">
        <v>0</v>
      </c>
      <c r="U596" s="11">
        <v>0</v>
      </c>
      <c r="V596" s="11">
        <v>0</v>
      </c>
      <c r="W596" s="8">
        <v>0</v>
      </c>
      <c r="X596" s="8">
        <v>0</v>
      </c>
      <c r="Y596" s="8">
        <v>0</v>
      </c>
      <c r="Z596" s="8">
        <v>0</v>
      </c>
      <c r="AA596" s="11">
        <v>0</v>
      </c>
      <c r="AB596" s="11">
        <v>0</v>
      </c>
      <c r="AC596" s="11">
        <v>0</v>
      </c>
      <c r="AD596" s="11">
        <v>0</v>
      </c>
    </row>
    <row r="597" customFormat="1" ht="22" customHeight="1" spans="1:30">
      <c r="A597" s="8" t="s">
        <v>31</v>
      </c>
      <c r="B597" s="8" t="e">
        <f>VLOOKUP(E597,[1]Sheet1!$C:$E,2,FALSE)</f>
        <v>#N/A</v>
      </c>
      <c r="C597" s="8" t="e">
        <f>VLOOKUP(E597,[1]Sheet1!$C:$E,3,FALSE)</f>
        <v>#N/A</v>
      </c>
      <c r="D597" s="12" t="s">
        <v>626</v>
      </c>
      <c r="E597" s="13">
        <v>1149092180</v>
      </c>
      <c r="F597" s="12">
        <v>0</v>
      </c>
      <c r="G597" s="8">
        <v>0</v>
      </c>
      <c r="H597" s="14">
        <v>0</v>
      </c>
      <c r="I597" s="8">
        <v>0</v>
      </c>
      <c r="J597" s="8">
        <v>0</v>
      </c>
      <c r="K597" s="8">
        <v>2</v>
      </c>
      <c r="L597" s="11">
        <v>0</v>
      </c>
      <c r="M597" s="11">
        <v>0</v>
      </c>
      <c r="N597" s="11">
        <v>0</v>
      </c>
      <c r="O597" s="8">
        <v>2</v>
      </c>
      <c r="P597" s="8">
        <v>0</v>
      </c>
      <c r="Q597" s="8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8">
        <v>0</v>
      </c>
      <c r="X597" s="8">
        <v>0</v>
      </c>
      <c r="Y597" s="8">
        <v>0</v>
      </c>
      <c r="Z597" s="8">
        <v>0</v>
      </c>
      <c r="AA597" s="11">
        <v>0</v>
      </c>
      <c r="AB597" s="11">
        <v>0</v>
      </c>
      <c r="AC597" s="11">
        <v>0</v>
      </c>
      <c r="AD597" s="11">
        <v>0</v>
      </c>
    </row>
    <row r="598" customFormat="1" ht="22" customHeight="1" spans="1:30">
      <c r="A598" s="8" t="s">
        <v>31</v>
      </c>
      <c r="B598" s="8" t="e">
        <f>VLOOKUP(E598,[1]Sheet1!$C:$E,2,FALSE)</f>
        <v>#N/A</v>
      </c>
      <c r="C598" s="8" t="e">
        <f>VLOOKUP(E598,[1]Sheet1!$C:$E,3,FALSE)</f>
        <v>#N/A</v>
      </c>
      <c r="D598" s="12" t="s">
        <v>627</v>
      </c>
      <c r="E598" s="13">
        <v>1352180201</v>
      </c>
      <c r="F598" s="12">
        <v>4.3</v>
      </c>
      <c r="G598" s="8">
        <v>0</v>
      </c>
      <c r="H598" s="14">
        <v>0</v>
      </c>
      <c r="I598" s="8">
        <v>0</v>
      </c>
      <c r="J598" s="8">
        <v>0</v>
      </c>
      <c r="K598" s="8">
        <v>44</v>
      </c>
      <c r="L598" s="11">
        <v>0.159</v>
      </c>
      <c r="M598" s="11">
        <v>0</v>
      </c>
      <c r="N598" s="11">
        <v>0</v>
      </c>
      <c r="O598" s="8">
        <v>0</v>
      </c>
      <c r="P598" s="8">
        <v>0</v>
      </c>
      <c r="Q598" s="8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8">
        <v>0</v>
      </c>
      <c r="X598" s="8">
        <v>0</v>
      </c>
      <c r="Y598" s="8">
        <v>0</v>
      </c>
      <c r="Z598" s="8">
        <v>0</v>
      </c>
      <c r="AA598" s="11">
        <v>0</v>
      </c>
      <c r="AB598" s="11">
        <v>0</v>
      </c>
      <c r="AC598" s="11">
        <v>0</v>
      </c>
      <c r="AD598" s="11">
        <v>0</v>
      </c>
    </row>
    <row r="599" customFormat="1" ht="22" customHeight="1" spans="1:30">
      <c r="A599" s="8" t="s">
        <v>31</v>
      </c>
      <c r="B599" s="8" t="e">
        <f>VLOOKUP(E599,[1]Sheet1!$C:$E,2,FALSE)</f>
        <v>#N/A</v>
      </c>
      <c r="C599" s="8" t="e">
        <f>VLOOKUP(E599,[1]Sheet1!$C:$E,3,FALSE)</f>
        <v>#N/A</v>
      </c>
      <c r="D599" s="12" t="s">
        <v>628</v>
      </c>
      <c r="E599" s="13">
        <v>1231528451</v>
      </c>
      <c r="F599" s="12">
        <v>4.5</v>
      </c>
      <c r="G599" s="8">
        <v>0</v>
      </c>
      <c r="H599" s="14">
        <v>0</v>
      </c>
      <c r="I599" s="8">
        <v>0</v>
      </c>
      <c r="J599" s="8">
        <v>0</v>
      </c>
      <c r="K599" s="8">
        <v>19</v>
      </c>
      <c r="L599" s="11">
        <v>0.053</v>
      </c>
      <c r="M599" s="11">
        <v>0</v>
      </c>
      <c r="N599" s="11">
        <v>0</v>
      </c>
      <c r="O599" s="8">
        <v>15</v>
      </c>
      <c r="P599" s="8">
        <v>4</v>
      </c>
      <c r="Q599" s="8">
        <v>0</v>
      </c>
      <c r="R599" s="11">
        <v>0.067</v>
      </c>
      <c r="S599" s="11">
        <v>0</v>
      </c>
      <c r="T599" s="11">
        <v>0</v>
      </c>
      <c r="U599" s="11">
        <v>0</v>
      </c>
      <c r="V599" s="11">
        <v>0.071</v>
      </c>
      <c r="W599" s="8">
        <v>0</v>
      </c>
      <c r="X599" s="8">
        <v>0</v>
      </c>
      <c r="Y599" s="8">
        <v>0</v>
      </c>
      <c r="Z599" s="8">
        <v>0</v>
      </c>
      <c r="AA599" s="11">
        <v>0</v>
      </c>
      <c r="AB599" s="11">
        <v>0</v>
      </c>
      <c r="AC599" s="11">
        <v>0</v>
      </c>
      <c r="AD599" s="11">
        <v>0</v>
      </c>
    </row>
    <row r="600" customFormat="1" ht="22" customHeight="1" spans="1:30">
      <c r="A600" s="8" t="s">
        <v>31</v>
      </c>
      <c r="B600" s="8" t="str">
        <f>VLOOKUP(E600,[1]Sheet1!$C:$E,2,FALSE)</f>
        <v>王森</v>
      </c>
      <c r="C600" s="8">
        <f>VLOOKUP(E600,[1]Sheet1!$C:$E,3,FALSE)</f>
        <v>0</v>
      </c>
      <c r="D600" s="12" t="s">
        <v>629</v>
      </c>
      <c r="E600" s="13">
        <v>511504267</v>
      </c>
      <c r="F600" s="12">
        <v>4.7</v>
      </c>
      <c r="G600" s="8">
        <v>0</v>
      </c>
      <c r="H600" s="14">
        <v>0</v>
      </c>
      <c r="I600" s="8">
        <v>0</v>
      </c>
      <c r="J600" s="8">
        <v>0</v>
      </c>
      <c r="K600" s="8">
        <v>354</v>
      </c>
      <c r="L600" s="11">
        <v>0.048</v>
      </c>
      <c r="M600" s="11">
        <v>0</v>
      </c>
      <c r="N600" s="11">
        <v>0</v>
      </c>
      <c r="O600" s="8">
        <v>349</v>
      </c>
      <c r="P600" s="8">
        <v>5</v>
      </c>
      <c r="Q600" s="8">
        <v>0</v>
      </c>
      <c r="R600" s="11">
        <v>0.049</v>
      </c>
      <c r="S600" s="11">
        <v>0</v>
      </c>
      <c r="T600" s="11">
        <v>0</v>
      </c>
      <c r="U600" s="11">
        <v>0</v>
      </c>
      <c r="V600" s="11">
        <v>0</v>
      </c>
      <c r="W600" s="8">
        <v>0</v>
      </c>
      <c r="X600" s="8">
        <v>0</v>
      </c>
      <c r="Y600" s="8">
        <v>0</v>
      </c>
      <c r="Z600" s="8">
        <v>0</v>
      </c>
      <c r="AA600" s="11">
        <v>0</v>
      </c>
      <c r="AB600" s="11">
        <v>0</v>
      </c>
      <c r="AC600" s="11">
        <v>0</v>
      </c>
      <c r="AD600" s="11">
        <v>0</v>
      </c>
    </row>
    <row r="601" customFormat="1" ht="22" customHeight="1" spans="1:30">
      <c r="A601" s="8" t="s">
        <v>31</v>
      </c>
      <c r="B601" s="8" t="e">
        <f>VLOOKUP(E601,[1]Sheet1!$C:$E,2,FALSE)</f>
        <v>#N/A</v>
      </c>
      <c r="C601" s="8" t="e">
        <f>VLOOKUP(E601,[1]Sheet1!$C:$E,3,FALSE)</f>
        <v>#N/A</v>
      </c>
      <c r="D601" s="12" t="s">
        <v>630</v>
      </c>
      <c r="E601" s="13">
        <v>544824174</v>
      </c>
      <c r="F601" s="12">
        <v>4.7</v>
      </c>
      <c r="G601" s="8">
        <v>0</v>
      </c>
      <c r="H601" s="14">
        <v>0</v>
      </c>
      <c r="I601" s="8">
        <v>0</v>
      </c>
      <c r="J601" s="8">
        <v>0</v>
      </c>
      <c r="K601" s="8">
        <v>680</v>
      </c>
      <c r="L601" s="11">
        <v>0.038</v>
      </c>
      <c r="M601" s="11">
        <v>0</v>
      </c>
      <c r="N601" s="11">
        <v>0</v>
      </c>
      <c r="O601" s="8">
        <v>669</v>
      </c>
      <c r="P601" s="8">
        <v>11</v>
      </c>
      <c r="Q601" s="8">
        <v>0</v>
      </c>
      <c r="R601" s="11">
        <v>0.034</v>
      </c>
      <c r="S601" s="11">
        <v>0.273</v>
      </c>
      <c r="T601" s="11">
        <v>0</v>
      </c>
      <c r="U601" s="11">
        <v>0</v>
      </c>
      <c r="V601" s="11">
        <v>0.054</v>
      </c>
      <c r="W601" s="8">
        <v>0</v>
      </c>
      <c r="X601" s="8">
        <v>0</v>
      </c>
      <c r="Y601" s="8">
        <v>0</v>
      </c>
      <c r="Z601" s="8">
        <v>0</v>
      </c>
      <c r="AA601" s="11">
        <v>0</v>
      </c>
      <c r="AB601" s="11">
        <v>0</v>
      </c>
      <c r="AC601" s="11">
        <v>0</v>
      </c>
      <c r="AD601" s="11">
        <v>0</v>
      </c>
    </row>
    <row r="602" customFormat="1" ht="22" customHeight="1" spans="1:30">
      <c r="A602" s="8" t="s">
        <v>31</v>
      </c>
      <c r="B602" s="8" t="e">
        <f>VLOOKUP(E602,[1]Sheet1!$C:$E,2,FALSE)</f>
        <v>#N/A</v>
      </c>
      <c r="C602" s="8" t="e">
        <f>VLOOKUP(E602,[1]Sheet1!$C:$E,3,FALSE)</f>
        <v>#N/A</v>
      </c>
      <c r="D602" s="12" t="s">
        <v>631</v>
      </c>
      <c r="E602" s="13">
        <v>545052129</v>
      </c>
      <c r="F602" s="12">
        <v>4.7</v>
      </c>
      <c r="G602" s="8">
        <v>0</v>
      </c>
      <c r="H602" s="14">
        <v>0</v>
      </c>
      <c r="I602" s="8">
        <v>0</v>
      </c>
      <c r="J602" s="8">
        <v>0</v>
      </c>
      <c r="K602" s="8">
        <v>12</v>
      </c>
      <c r="L602" s="11">
        <v>0</v>
      </c>
      <c r="M602" s="11">
        <v>0</v>
      </c>
      <c r="N602" s="11">
        <v>0</v>
      </c>
      <c r="O602" s="8">
        <v>3</v>
      </c>
      <c r="P602" s="8">
        <v>9</v>
      </c>
      <c r="Q602" s="8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0.1</v>
      </c>
      <c r="W602" s="8">
        <v>0</v>
      </c>
      <c r="X602" s="8">
        <v>0</v>
      </c>
      <c r="Y602" s="8">
        <v>0</v>
      </c>
      <c r="Z602" s="8">
        <v>0</v>
      </c>
      <c r="AA602" s="11">
        <v>0</v>
      </c>
      <c r="AB602" s="11">
        <v>0</v>
      </c>
      <c r="AC602" s="11">
        <v>0</v>
      </c>
      <c r="AD602" s="11">
        <v>0</v>
      </c>
    </row>
    <row r="603" customFormat="1" ht="22" customHeight="1" spans="1:30">
      <c r="A603" s="8" t="s">
        <v>31</v>
      </c>
      <c r="B603" s="8" t="e">
        <f>VLOOKUP(E603,[1]Sheet1!$C:$E,2,FALSE)</f>
        <v>#N/A</v>
      </c>
      <c r="C603" s="8" t="e">
        <f>VLOOKUP(E603,[1]Sheet1!$C:$E,3,FALSE)</f>
        <v>#N/A</v>
      </c>
      <c r="D603" s="12" t="s">
        <v>632</v>
      </c>
      <c r="E603" s="13">
        <v>1354188073</v>
      </c>
      <c r="F603" s="12">
        <v>4.7</v>
      </c>
      <c r="G603" s="8">
        <v>0</v>
      </c>
      <c r="H603" s="14">
        <v>0</v>
      </c>
      <c r="I603" s="8">
        <v>0</v>
      </c>
      <c r="J603" s="8">
        <v>0</v>
      </c>
      <c r="K603" s="8">
        <v>85</v>
      </c>
      <c r="L603" s="11">
        <v>0.012</v>
      </c>
      <c r="M603" s="11">
        <v>0</v>
      </c>
      <c r="N603" s="11">
        <v>0</v>
      </c>
      <c r="O603" s="8">
        <v>85</v>
      </c>
      <c r="P603" s="8">
        <v>0</v>
      </c>
      <c r="Q603" s="8">
        <v>0</v>
      </c>
      <c r="R603" s="11">
        <v>0.012</v>
      </c>
      <c r="S603" s="11">
        <v>0</v>
      </c>
      <c r="T603" s="11">
        <v>0</v>
      </c>
      <c r="U603" s="11">
        <v>0</v>
      </c>
      <c r="V603" s="11">
        <v>0.141</v>
      </c>
      <c r="W603" s="8">
        <v>0</v>
      </c>
      <c r="X603" s="8">
        <v>0</v>
      </c>
      <c r="Y603" s="8">
        <v>0</v>
      </c>
      <c r="Z603" s="8">
        <v>0</v>
      </c>
      <c r="AA603" s="11">
        <v>0</v>
      </c>
      <c r="AB603" s="11">
        <v>0</v>
      </c>
      <c r="AC603" s="11">
        <v>0</v>
      </c>
      <c r="AD603" s="11">
        <v>0</v>
      </c>
    </row>
    <row r="604" customFormat="1" ht="22" customHeight="1" spans="1:30">
      <c r="A604" s="8" t="s">
        <v>31</v>
      </c>
      <c r="B604" s="8" t="str">
        <f>VLOOKUP(E604,[1]Sheet1!$C:$E,2,FALSE)</f>
        <v>岳贝贝</v>
      </c>
      <c r="C604" s="8" t="str">
        <f>VLOOKUP(E604,[1]Sheet1!$C:$E,3,FALSE)</f>
        <v>B</v>
      </c>
      <c r="D604" s="12" t="s">
        <v>633</v>
      </c>
      <c r="E604" s="13">
        <v>542824443</v>
      </c>
      <c r="F604" s="12">
        <v>0</v>
      </c>
      <c r="G604" s="8">
        <v>0</v>
      </c>
      <c r="H604" s="14">
        <v>0</v>
      </c>
      <c r="I604" s="8">
        <v>0</v>
      </c>
      <c r="J604" s="8">
        <v>0</v>
      </c>
      <c r="K604" s="8">
        <v>0</v>
      </c>
      <c r="L604" s="11">
        <v>0</v>
      </c>
      <c r="M604" s="11">
        <v>0</v>
      </c>
      <c r="N604" s="11">
        <v>0</v>
      </c>
      <c r="O604" s="8">
        <v>0</v>
      </c>
      <c r="P604" s="8">
        <v>0</v>
      </c>
      <c r="Q604" s="8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8">
        <v>0</v>
      </c>
      <c r="X604" s="8">
        <v>0</v>
      </c>
      <c r="Y604" s="8">
        <v>0</v>
      </c>
      <c r="Z604" s="8">
        <v>0</v>
      </c>
      <c r="AA604" s="11">
        <v>0</v>
      </c>
      <c r="AB604" s="11">
        <v>0</v>
      </c>
      <c r="AC604" s="11">
        <v>0</v>
      </c>
      <c r="AD604" s="11">
        <v>0</v>
      </c>
    </row>
    <row r="605" customFormat="1" ht="22" customHeight="1" spans="1:30">
      <c r="A605" s="8" t="s">
        <v>31</v>
      </c>
      <c r="B605" s="8" t="str">
        <f>VLOOKUP(E605,[1]Sheet1!$C:$E,2,FALSE)</f>
        <v>王森</v>
      </c>
      <c r="C605" s="8">
        <f>VLOOKUP(E605,[1]Sheet1!$C:$E,3,FALSE)</f>
        <v>0</v>
      </c>
      <c r="D605" s="12" t="s">
        <v>634</v>
      </c>
      <c r="E605" s="13">
        <v>543062415</v>
      </c>
      <c r="F605" s="12">
        <v>4.1</v>
      </c>
      <c r="G605" s="8">
        <v>0</v>
      </c>
      <c r="H605" s="14">
        <v>0</v>
      </c>
      <c r="I605" s="8">
        <v>0</v>
      </c>
      <c r="J605" s="8">
        <v>0</v>
      </c>
      <c r="K605" s="8">
        <v>17</v>
      </c>
      <c r="L605" s="11">
        <v>0.059</v>
      </c>
      <c r="M605" s="11">
        <v>0</v>
      </c>
      <c r="N605" s="11">
        <v>0</v>
      </c>
      <c r="O605" s="8">
        <v>15</v>
      </c>
      <c r="P605" s="8">
        <v>2</v>
      </c>
      <c r="Q605" s="8">
        <v>0</v>
      </c>
      <c r="R605" s="11">
        <v>0</v>
      </c>
      <c r="S605" s="11">
        <v>0.5</v>
      </c>
      <c r="T605" s="11">
        <v>0</v>
      </c>
      <c r="U605" s="11">
        <v>0</v>
      </c>
      <c r="V605" s="11">
        <v>0</v>
      </c>
      <c r="W605" s="8">
        <v>0</v>
      </c>
      <c r="X605" s="8">
        <v>0</v>
      </c>
      <c r="Y605" s="8">
        <v>0</v>
      </c>
      <c r="Z605" s="8">
        <v>0</v>
      </c>
      <c r="AA605" s="11">
        <v>0</v>
      </c>
      <c r="AB605" s="11">
        <v>0</v>
      </c>
      <c r="AC605" s="11">
        <v>0</v>
      </c>
      <c r="AD605" s="11">
        <v>0</v>
      </c>
    </row>
    <row r="606" customFormat="1" ht="22" customHeight="1" spans="1:30">
      <c r="A606" s="8" t="s">
        <v>31</v>
      </c>
      <c r="B606" s="8" t="str">
        <f>VLOOKUP(E606,[1]Sheet1!$C:$E,2,FALSE)</f>
        <v>王森</v>
      </c>
      <c r="C606" s="8">
        <f>VLOOKUP(E606,[1]Sheet1!$C:$E,3,FALSE)</f>
        <v>0</v>
      </c>
      <c r="D606" s="12" t="s">
        <v>635</v>
      </c>
      <c r="E606" s="13">
        <v>531304948</v>
      </c>
      <c r="F606" s="12">
        <v>4.2</v>
      </c>
      <c r="G606" s="8">
        <v>0</v>
      </c>
      <c r="H606" s="14">
        <v>0</v>
      </c>
      <c r="I606" s="8">
        <v>0</v>
      </c>
      <c r="J606" s="8">
        <v>0</v>
      </c>
      <c r="K606" s="8">
        <v>455</v>
      </c>
      <c r="L606" s="11">
        <v>0.055</v>
      </c>
      <c r="M606" s="11">
        <v>0</v>
      </c>
      <c r="N606" s="11">
        <v>0</v>
      </c>
      <c r="O606" s="8">
        <v>454</v>
      </c>
      <c r="P606" s="8">
        <v>1</v>
      </c>
      <c r="Q606" s="8">
        <v>0</v>
      </c>
      <c r="R606" s="11">
        <v>0.055</v>
      </c>
      <c r="S606" s="11">
        <v>0</v>
      </c>
      <c r="T606" s="11">
        <v>0</v>
      </c>
      <c r="U606" s="11">
        <v>0</v>
      </c>
      <c r="V606" s="11">
        <v>0.029</v>
      </c>
      <c r="W606" s="8">
        <v>0</v>
      </c>
      <c r="X606" s="8">
        <v>0</v>
      </c>
      <c r="Y606" s="8">
        <v>0</v>
      </c>
      <c r="Z606" s="8">
        <v>0</v>
      </c>
      <c r="AA606" s="11">
        <v>0</v>
      </c>
      <c r="AB606" s="11">
        <v>0</v>
      </c>
      <c r="AC606" s="11">
        <v>0</v>
      </c>
      <c r="AD606" s="11">
        <v>0</v>
      </c>
    </row>
    <row r="607" customFormat="1" ht="22" customHeight="1" spans="1:30">
      <c r="A607" s="8" t="s">
        <v>31</v>
      </c>
      <c r="B607" s="8" t="e">
        <f>VLOOKUP(E607,[1]Sheet1!$C:$E,2,FALSE)</f>
        <v>#N/A</v>
      </c>
      <c r="C607" s="8" t="e">
        <f>VLOOKUP(E607,[1]Sheet1!$C:$E,3,FALSE)</f>
        <v>#N/A</v>
      </c>
      <c r="D607" s="12" t="s">
        <v>636</v>
      </c>
      <c r="E607" s="13">
        <v>545005265</v>
      </c>
      <c r="F607" s="12">
        <v>0</v>
      </c>
      <c r="G607" s="8">
        <v>0</v>
      </c>
      <c r="H607" s="14">
        <v>0</v>
      </c>
      <c r="I607" s="8">
        <v>0</v>
      </c>
      <c r="J607" s="8">
        <v>0</v>
      </c>
      <c r="K607" s="8">
        <v>0</v>
      </c>
      <c r="L607" s="11">
        <v>0</v>
      </c>
      <c r="M607" s="11">
        <v>0</v>
      </c>
      <c r="N607" s="11">
        <v>0</v>
      </c>
      <c r="O607" s="8">
        <v>0</v>
      </c>
      <c r="P607" s="8">
        <v>0</v>
      </c>
      <c r="Q607" s="8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8">
        <v>0</v>
      </c>
      <c r="X607" s="8">
        <v>0</v>
      </c>
      <c r="Y607" s="8">
        <v>0</v>
      </c>
      <c r="Z607" s="8">
        <v>0</v>
      </c>
      <c r="AA607" s="11">
        <v>0</v>
      </c>
      <c r="AB607" s="11">
        <v>0</v>
      </c>
      <c r="AC607" s="11">
        <v>0</v>
      </c>
      <c r="AD607" s="11">
        <v>0</v>
      </c>
    </row>
    <row r="608" customFormat="1" ht="22" customHeight="1" spans="1:30">
      <c r="A608" s="8" t="s">
        <v>31</v>
      </c>
      <c r="B608" s="8" t="e">
        <f>VLOOKUP(E608,[1]Sheet1!$C:$E,2,FALSE)</f>
        <v>#N/A</v>
      </c>
      <c r="C608" s="8" t="e">
        <f>VLOOKUP(E608,[1]Sheet1!$C:$E,3,FALSE)</f>
        <v>#N/A</v>
      </c>
      <c r="D608" s="12" t="s">
        <v>637</v>
      </c>
      <c r="E608" s="13">
        <v>1161685460</v>
      </c>
      <c r="F608" s="12">
        <v>0</v>
      </c>
      <c r="G608" s="8">
        <v>0</v>
      </c>
      <c r="H608" s="14">
        <v>0</v>
      </c>
      <c r="I608" s="8">
        <v>0</v>
      </c>
      <c r="J608" s="8">
        <v>0</v>
      </c>
      <c r="K608" s="8">
        <v>1</v>
      </c>
      <c r="L608" s="11">
        <v>0</v>
      </c>
      <c r="M608" s="11">
        <v>0</v>
      </c>
      <c r="N608" s="11">
        <v>0</v>
      </c>
      <c r="O608" s="8">
        <v>0</v>
      </c>
      <c r="P608" s="8">
        <v>1</v>
      </c>
      <c r="Q608" s="8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8">
        <v>0</v>
      </c>
      <c r="X608" s="8">
        <v>0</v>
      </c>
      <c r="Y608" s="8">
        <v>0</v>
      </c>
      <c r="Z608" s="8">
        <v>0</v>
      </c>
      <c r="AA608" s="11">
        <v>0</v>
      </c>
      <c r="AB608" s="11">
        <v>0</v>
      </c>
      <c r="AC608" s="11">
        <v>0</v>
      </c>
      <c r="AD608" s="11">
        <v>0</v>
      </c>
    </row>
    <row r="609" customFormat="1" ht="22" customHeight="1" spans="1:30">
      <c r="A609" s="8" t="s">
        <v>31</v>
      </c>
      <c r="B609" s="8" t="str">
        <f>VLOOKUP(E609,[1]Sheet1!$C:$E,2,FALSE)</f>
        <v>徐从众</v>
      </c>
      <c r="C609" s="9" t="str">
        <f>VLOOKUP(E609,[1]Sheet1!$C:$E,3,FALSE)</f>
        <v>S</v>
      </c>
      <c r="D609" s="12" t="s">
        <v>638</v>
      </c>
      <c r="E609" s="13">
        <v>510338875</v>
      </c>
      <c r="F609" s="12">
        <v>0</v>
      </c>
      <c r="G609" s="8">
        <v>0</v>
      </c>
      <c r="H609" s="14">
        <v>0</v>
      </c>
      <c r="I609" s="8">
        <v>0</v>
      </c>
      <c r="J609" s="8">
        <v>0</v>
      </c>
      <c r="K609" s="8">
        <v>1</v>
      </c>
      <c r="L609" s="11">
        <v>0</v>
      </c>
      <c r="M609" s="11">
        <v>0</v>
      </c>
      <c r="N609" s="11">
        <v>0</v>
      </c>
      <c r="O609" s="8">
        <v>0</v>
      </c>
      <c r="P609" s="8">
        <v>1</v>
      </c>
      <c r="Q609" s="8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8">
        <v>0</v>
      </c>
      <c r="X609" s="8">
        <v>0</v>
      </c>
      <c r="Y609" s="8">
        <v>0</v>
      </c>
      <c r="Z609" s="8">
        <v>0</v>
      </c>
      <c r="AA609" s="11">
        <v>0</v>
      </c>
      <c r="AB609" s="11">
        <v>0</v>
      </c>
      <c r="AC609" s="11">
        <v>0</v>
      </c>
      <c r="AD609" s="11">
        <v>0</v>
      </c>
    </row>
    <row r="610" customFormat="1" ht="22" customHeight="1" spans="1:30">
      <c r="A610" s="8" t="s">
        <v>31</v>
      </c>
      <c r="B610" s="8" t="e">
        <f>VLOOKUP(E610,[1]Sheet1!$C:$E,2,FALSE)</f>
        <v>#N/A</v>
      </c>
      <c r="C610" s="8" t="e">
        <f>VLOOKUP(E610,[1]Sheet1!$C:$E,3,FALSE)</f>
        <v>#N/A</v>
      </c>
      <c r="D610" s="12" t="s">
        <v>639</v>
      </c>
      <c r="E610" s="13">
        <v>1357837220</v>
      </c>
      <c r="F610" s="12">
        <v>0</v>
      </c>
      <c r="G610" s="8">
        <v>0</v>
      </c>
      <c r="H610" s="14">
        <v>0</v>
      </c>
      <c r="I610" s="8">
        <v>0</v>
      </c>
      <c r="J610" s="8">
        <v>0</v>
      </c>
      <c r="K610" s="8">
        <v>0</v>
      </c>
      <c r="L610" s="11">
        <v>0</v>
      </c>
      <c r="M610" s="11">
        <v>0</v>
      </c>
      <c r="N610" s="11">
        <v>0</v>
      </c>
      <c r="O610" s="8">
        <v>0</v>
      </c>
      <c r="P610" s="8">
        <v>0</v>
      </c>
      <c r="Q610" s="8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8">
        <v>0</v>
      </c>
      <c r="X610" s="8">
        <v>0</v>
      </c>
      <c r="Y610" s="8">
        <v>0</v>
      </c>
      <c r="Z610" s="8">
        <v>0</v>
      </c>
      <c r="AA610" s="11">
        <v>0</v>
      </c>
      <c r="AB610" s="11">
        <v>0</v>
      </c>
      <c r="AC610" s="11">
        <v>0</v>
      </c>
      <c r="AD610" s="11">
        <v>0</v>
      </c>
    </row>
    <row r="611" customFormat="1" ht="22" customHeight="1" spans="1:30">
      <c r="A611" s="8" t="s">
        <v>31</v>
      </c>
      <c r="B611" s="8" t="str">
        <f>VLOOKUP(E611,[1]Sheet1!$C:$E,2,FALSE)</f>
        <v>王森</v>
      </c>
      <c r="C611" s="8">
        <f>VLOOKUP(E611,[1]Sheet1!$C:$E,3,FALSE)</f>
        <v>0</v>
      </c>
      <c r="D611" s="8" t="s">
        <v>640</v>
      </c>
      <c r="E611" s="10">
        <v>523052916</v>
      </c>
      <c r="F611" s="8">
        <v>4.8</v>
      </c>
      <c r="G611" s="8">
        <v>0</v>
      </c>
      <c r="H611" s="14">
        <v>0</v>
      </c>
      <c r="I611" s="8">
        <v>0</v>
      </c>
      <c r="J611" s="8">
        <v>0</v>
      </c>
      <c r="K611" s="8">
        <v>90</v>
      </c>
      <c r="L611" s="11">
        <v>0.056</v>
      </c>
      <c r="M611" s="11">
        <v>0</v>
      </c>
      <c r="N611" s="11">
        <v>0</v>
      </c>
      <c r="O611" s="8">
        <v>84</v>
      </c>
      <c r="P611" s="8">
        <v>6</v>
      </c>
      <c r="Q611" s="8">
        <v>0</v>
      </c>
      <c r="R611" s="11">
        <v>0.048</v>
      </c>
      <c r="S611" s="11">
        <v>0.167</v>
      </c>
      <c r="T611" s="11">
        <v>0</v>
      </c>
      <c r="U611" s="11">
        <v>0</v>
      </c>
      <c r="V611" s="11">
        <v>0.036</v>
      </c>
      <c r="W611" s="8">
        <v>0</v>
      </c>
      <c r="X611" s="8">
        <v>0</v>
      </c>
      <c r="Y611" s="8">
        <v>0</v>
      </c>
      <c r="Z611" s="8">
        <v>0</v>
      </c>
      <c r="AA611" s="11">
        <v>0</v>
      </c>
      <c r="AB611" s="11">
        <v>0</v>
      </c>
      <c r="AC611" s="11">
        <v>0</v>
      </c>
      <c r="AD611" s="11">
        <v>0</v>
      </c>
    </row>
    <row r="612" customFormat="1" ht="22" customHeight="1" spans="1:30">
      <c r="A612" s="8" t="s">
        <v>31</v>
      </c>
      <c r="B612" s="8" t="e">
        <f>VLOOKUP(E612,[1]Sheet1!$C:$E,2,FALSE)</f>
        <v>#N/A</v>
      </c>
      <c r="C612" s="8" t="e">
        <f>VLOOKUP(E612,[1]Sheet1!$C:$E,3,FALSE)</f>
        <v>#N/A</v>
      </c>
      <c r="D612" s="12" t="s">
        <v>641</v>
      </c>
      <c r="E612" s="13">
        <v>523980257</v>
      </c>
      <c r="F612" s="12">
        <v>0</v>
      </c>
      <c r="G612" s="8">
        <v>0</v>
      </c>
      <c r="H612" s="14">
        <v>0</v>
      </c>
      <c r="I612" s="8">
        <v>0</v>
      </c>
      <c r="J612" s="8">
        <v>0</v>
      </c>
      <c r="K612" s="8">
        <v>4</v>
      </c>
      <c r="L612" s="11">
        <v>0.5</v>
      </c>
      <c r="M612" s="11">
        <v>0</v>
      </c>
      <c r="N612" s="11">
        <v>0</v>
      </c>
      <c r="O612" s="8">
        <v>1</v>
      </c>
      <c r="P612" s="8">
        <v>3</v>
      </c>
      <c r="Q612" s="8">
        <v>0</v>
      </c>
      <c r="R612" s="11">
        <v>1</v>
      </c>
      <c r="S612" s="11">
        <v>0.333</v>
      </c>
      <c r="T612" s="11">
        <v>0</v>
      </c>
      <c r="U612" s="11">
        <v>0</v>
      </c>
      <c r="V612" s="11">
        <v>0.056</v>
      </c>
      <c r="W612" s="8">
        <v>0</v>
      </c>
      <c r="X612" s="8">
        <v>0</v>
      </c>
      <c r="Y612" s="8">
        <v>0</v>
      </c>
      <c r="Z612" s="8">
        <v>0</v>
      </c>
      <c r="AA612" s="11">
        <v>0</v>
      </c>
      <c r="AB612" s="11">
        <v>0</v>
      </c>
      <c r="AC612" s="11">
        <v>0</v>
      </c>
      <c r="AD612" s="11">
        <v>0</v>
      </c>
    </row>
    <row r="613" customFormat="1" ht="22" customHeight="1" spans="1:30">
      <c r="A613" s="8" t="s">
        <v>31</v>
      </c>
      <c r="B613" s="8" t="str">
        <f>VLOOKUP(E613,[1]Sheet1!$C:$E,2,FALSE)</f>
        <v>王森</v>
      </c>
      <c r="C613" s="8">
        <f>VLOOKUP(E613,[1]Sheet1!$C:$E,3,FALSE)</f>
        <v>0</v>
      </c>
      <c r="D613" s="8" t="s">
        <v>642</v>
      </c>
      <c r="E613" s="10">
        <v>1241438020</v>
      </c>
      <c r="F613" s="8">
        <v>4.9</v>
      </c>
      <c r="G613" s="8">
        <v>0</v>
      </c>
      <c r="H613" s="14">
        <v>0</v>
      </c>
      <c r="I613" s="8">
        <v>0</v>
      </c>
      <c r="J613" s="8">
        <v>0</v>
      </c>
      <c r="K613" s="8">
        <v>413</v>
      </c>
      <c r="L613" s="11">
        <v>0.061</v>
      </c>
      <c r="M613" s="11">
        <v>0</v>
      </c>
      <c r="N613" s="11">
        <v>0</v>
      </c>
      <c r="O613" s="8">
        <v>409</v>
      </c>
      <c r="P613" s="8">
        <v>4</v>
      </c>
      <c r="Q613" s="8">
        <v>0</v>
      </c>
      <c r="R613" s="11">
        <v>0.056</v>
      </c>
      <c r="S613" s="11">
        <v>0.5</v>
      </c>
      <c r="T613" s="11">
        <v>0</v>
      </c>
      <c r="U613" s="11">
        <v>0</v>
      </c>
      <c r="V613" s="11">
        <v>0.083</v>
      </c>
      <c r="W613" s="8">
        <v>0</v>
      </c>
      <c r="X613" s="8">
        <v>0</v>
      </c>
      <c r="Y613" s="8">
        <v>0</v>
      </c>
      <c r="Z613" s="8">
        <v>0</v>
      </c>
      <c r="AA613" s="11">
        <v>0</v>
      </c>
      <c r="AB613" s="11">
        <v>0</v>
      </c>
      <c r="AC613" s="11">
        <v>0</v>
      </c>
      <c r="AD613" s="11">
        <v>0</v>
      </c>
    </row>
    <row r="614" customFormat="1" ht="22" customHeight="1" spans="1:30">
      <c r="A614" s="8" t="s">
        <v>31</v>
      </c>
      <c r="B614" s="8" t="str">
        <f>VLOOKUP(E614,[1]Sheet1!$C:$E,2,FALSE)</f>
        <v>王森</v>
      </c>
      <c r="C614" s="8">
        <f>VLOOKUP(E614,[1]Sheet1!$C:$E,3,FALSE)</f>
        <v>0</v>
      </c>
      <c r="D614" s="12" t="s">
        <v>643</v>
      </c>
      <c r="E614" s="13">
        <v>1340347787</v>
      </c>
      <c r="F614" s="12">
        <v>4.7</v>
      </c>
      <c r="G614" s="8">
        <v>0</v>
      </c>
      <c r="H614" s="14">
        <v>0</v>
      </c>
      <c r="I614" s="8">
        <v>0</v>
      </c>
      <c r="J614" s="8">
        <v>0</v>
      </c>
      <c r="K614" s="8">
        <v>164</v>
      </c>
      <c r="L614" s="11">
        <v>0.091</v>
      </c>
      <c r="M614" s="11">
        <v>0</v>
      </c>
      <c r="N614" s="11">
        <v>0</v>
      </c>
      <c r="O614" s="8">
        <v>160</v>
      </c>
      <c r="P614" s="8">
        <v>4</v>
      </c>
      <c r="Q614" s="8">
        <v>0</v>
      </c>
      <c r="R614" s="11">
        <v>0.088</v>
      </c>
      <c r="S614" s="11">
        <v>0.25</v>
      </c>
      <c r="T614" s="11">
        <v>0</v>
      </c>
      <c r="U614" s="11">
        <v>0</v>
      </c>
      <c r="V614" s="11">
        <v>0</v>
      </c>
      <c r="W614" s="8">
        <v>0</v>
      </c>
      <c r="X614" s="8">
        <v>0</v>
      </c>
      <c r="Y614" s="8">
        <v>0</v>
      </c>
      <c r="Z614" s="8">
        <v>0</v>
      </c>
      <c r="AA614" s="11">
        <v>0</v>
      </c>
      <c r="AB614" s="11">
        <v>0</v>
      </c>
      <c r="AC614" s="11">
        <v>0</v>
      </c>
      <c r="AD614" s="11">
        <v>0</v>
      </c>
    </row>
    <row r="615" customFormat="1" ht="22" customHeight="1" spans="1:30">
      <c r="A615" s="8" t="s">
        <v>31</v>
      </c>
      <c r="B615" s="8" t="e">
        <f>VLOOKUP(E615,[1]Sheet1!$C:$E,2,FALSE)</f>
        <v>#N/A</v>
      </c>
      <c r="C615" s="8" t="e">
        <f>VLOOKUP(E615,[1]Sheet1!$C:$E,3,FALSE)</f>
        <v>#N/A</v>
      </c>
      <c r="D615" s="12" t="s">
        <v>644</v>
      </c>
      <c r="E615" s="13">
        <v>1353387066</v>
      </c>
      <c r="F615" s="12">
        <v>4.3</v>
      </c>
      <c r="G615" s="8">
        <v>0</v>
      </c>
      <c r="H615" s="14">
        <v>0</v>
      </c>
      <c r="I615" s="8">
        <v>0</v>
      </c>
      <c r="J615" s="8">
        <v>0</v>
      </c>
      <c r="K615" s="8">
        <v>249</v>
      </c>
      <c r="L615" s="11">
        <v>0.052</v>
      </c>
      <c r="M615" s="11">
        <v>0</v>
      </c>
      <c r="N615" s="11">
        <v>0</v>
      </c>
      <c r="O615" s="8">
        <v>247</v>
      </c>
      <c r="P615" s="8">
        <v>2</v>
      </c>
      <c r="Q615" s="8">
        <v>0</v>
      </c>
      <c r="R615" s="11">
        <v>0.053</v>
      </c>
      <c r="S615" s="11">
        <v>0</v>
      </c>
      <c r="T615" s="11">
        <v>0</v>
      </c>
      <c r="U615" s="11">
        <v>0</v>
      </c>
      <c r="V615" s="11">
        <v>0.167</v>
      </c>
      <c r="W615" s="8">
        <v>0</v>
      </c>
      <c r="X615" s="8">
        <v>0</v>
      </c>
      <c r="Y615" s="8">
        <v>0</v>
      </c>
      <c r="Z615" s="8">
        <v>0</v>
      </c>
      <c r="AA615" s="11">
        <v>0</v>
      </c>
      <c r="AB615" s="11">
        <v>0</v>
      </c>
      <c r="AC615" s="11">
        <v>0</v>
      </c>
      <c r="AD615" s="11">
        <v>0</v>
      </c>
    </row>
    <row r="616" customFormat="1" ht="22" customHeight="1" spans="1:30">
      <c r="A616" s="8" t="s">
        <v>31</v>
      </c>
      <c r="B616" s="8" t="e">
        <f>VLOOKUP(E616,[1]Sheet1!$C:$E,2,FALSE)</f>
        <v>#N/A</v>
      </c>
      <c r="C616" s="8" t="e">
        <f>VLOOKUP(E616,[1]Sheet1!$C:$E,3,FALSE)</f>
        <v>#N/A</v>
      </c>
      <c r="D616" s="8" t="s">
        <v>645</v>
      </c>
      <c r="E616" s="10">
        <v>1353364930</v>
      </c>
      <c r="F616" s="8">
        <v>4.8</v>
      </c>
      <c r="G616" s="8">
        <v>0</v>
      </c>
      <c r="H616" s="14">
        <v>0</v>
      </c>
      <c r="I616" s="8">
        <v>0</v>
      </c>
      <c r="J616" s="8">
        <v>0</v>
      </c>
      <c r="K616" s="8">
        <v>202</v>
      </c>
      <c r="L616" s="11">
        <v>0.05</v>
      </c>
      <c r="M616" s="11">
        <v>0</v>
      </c>
      <c r="N616" s="11">
        <v>0</v>
      </c>
      <c r="O616" s="8">
        <v>197</v>
      </c>
      <c r="P616" s="8">
        <v>5</v>
      </c>
      <c r="Q616" s="8">
        <v>0</v>
      </c>
      <c r="R616" s="11">
        <v>0.041</v>
      </c>
      <c r="S616" s="11">
        <v>0.4</v>
      </c>
      <c r="T616" s="11">
        <v>0</v>
      </c>
      <c r="U616" s="11">
        <v>0</v>
      </c>
      <c r="V616" s="11">
        <v>0.172</v>
      </c>
      <c r="W616" s="8">
        <v>0</v>
      </c>
      <c r="X616" s="8">
        <v>0</v>
      </c>
      <c r="Y616" s="8">
        <v>0</v>
      </c>
      <c r="Z616" s="8">
        <v>0</v>
      </c>
      <c r="AA616" s="11">
        <v>0</v>
      </c>
      <c r="AB616" s="11">
        <v>0</v>
      </c>
      <c r="AC616" s="11">
        <v>0</v>
      </c>
      <c r="AD616" s="11">
        <v>0</v>
      </c>
    </row>
    <row r="617" customFormat="1" ht="22" customHeight="1" spans="1:30">
      <c r="A617" s="8" t="s">
        <v>31</v>
      </c>
      <c r="B617" s="8" t="e">
        <f>VLOOKUP(E617,[1]Sheet1!$C:$E,2,FALSE)</f>
        <v>#N/A</v>
      </c>
      <c r="C617" s="8" t="e">
        <f>VLOOKUP(E617,[1]Sheet1!$C:$E,3,FALSE)</f>
        <v>#N/A</v>
      </c>
      <c r="D617" s="12" t="s">
        <v>646</v>
      </c>
      <c r="E617" s="13">
        <v>1323109217</v>
      </c>
      <c r="F617" s="12">
        <v>0</v>
      </c>
      <c r="G617" s="8">
        <v>0</v>
      </c>
      <c r="H617" s="14">
        <v>0</v>
      </c>
      <c r="I617" s="8">
        <v>0</v>
      </c>
      <c r="J617" s="8">
        <v>0</v>
      </c>
      <c r="K617" s="8">
        <v>3</v>
      </c>
      <c r="L617" s="11">
        <v>0</v>
      </c>
      <c r="M617" s="11">
        <v>0</v>
      </c>
      <c r="N617" s="11">
        <v>0</v>
      </c>
      <c r="O617" s="8">
        <v>0</v>
      </c>
      <c r="P617" s="8">
        <v>3</v>
      </c>
      <c r="Q617" s="8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0.329</v>
      </c>
      <c r="W617" s="8">
        <v>0</v>
      </c>
      <c r="X617" s="8">
        <v>0</v>
      </c>
      <c r="Y617" s="8">
        <v>0</v>
      </c>
      <c r="Z617" s="8">
        <v>0</v>
      </c>
      <c r="AA617" s="11">
        <v>0</v>
      </c>
      <c r="AB617" s="11">
        <v>0</v>
      </c>
      <c r="AC617" s="11">
        <v>0</v>
      </c>
      <c r="AD617" s="11">
        <v>0</v>
      </c>
    </row>
    <row r="618" customFormat="1" ht="22" customHeight="1" spans="1:30">
      <c r="A618" s="8" t="s">
        <v>31</v>
      </c>
      <c r="B618" s="8" t="str">
        <f>VLOOKUP(E618,[1]Sheet1!$C:$E,2,FALSE)</f>
        <v>王森</v>
      </c>
      <c r="C618" s="8">
        <f>VLOOKUP(E618,[1]Sheet1!$C:$E,3,FALSE)</f>
        <v>0</v>
      </c>
      <c r="D618" s="12" t="s">
        <v>647</v>
      </c>
      <c r="E618" s="13">
        <v>1342807464</v>
      </c>
      <c r="F618" s="12">
        <v>4.7</v>
      </c>
      <c r="G618" s="8">
        <v>0</v>
      </c>
      <c r="H618" s="14">
        <v>0</v>
      </c>
      <c r="I618" s="8">
        <v>0</v>
      </c>
      <c r="J618" s="8">
        <v>0</v>
      </c>
      <c r="K618" s="8">
        <v>681</v>
      </c>
      <c r="L618" s="11">
        <v>0.007</v>
      </c>
      <c r="M618" s="11">
        <v>0</v>
      </c>
      <c r="N618" s="11">
        <v>0</v>
      </c>
      <c r="O618" s="8">
        <v>679</v>
      </c>
      <c r="P618" s="8">
        <v>2</v>
      </c>
      <c r="Q618" s="8">
        <v>0</v>
      </c>
      <c r="R618" s="11">
        <v>0.007</v>
      </c>
      <c r="S618" s="11">
        <v>0</v>
      </c>
      <c r="T618" s="11">
        <v>0</v>
      </c>
      <c r="U618" s="11">
        <v>0</v>
      </c>
      <c r="V618" s="11">
        <v>0.071</v>
      </c>
      <c r="W618" s="8">
        <v>0</v>
      </c>
      <c r="X618" s="8">
        <v>0</v>
      </c>
      <c r="Y618" s="8">
        <v>0</v>
      </c>
      <c r="Z618" s="8">
        <v>0</v>
      </c>
      <c r="AA618" s="11">
        <v>0</v>
      </c>
      <c r="AB618" s="11">
        <v>0</v>
      </c>
      <c r="AC618" s="11">
        <v>0</v>
      </c>
      <c r="AD618" s="11">
        <v>0</v>
      </c>
    </row>
    <row r="619" customFormat="1" ht="22" customHeight="1" spans="1:30">
      <c r="A619" s="8" t="s">
        <v>31</v>
      </c>
      <c r="B619" s="8" t="e">
        <f>VLOOKUP(E619,[1]Sheet1!$C:$E,2,FALSE)</f>
        <v>#N/A</v>
      </c>
      <c r="C619" s="8" t="e">
        <f>VLOOKUP(E619,[1]Sheet1!$C:$E,3,FALSE)</f>
        <v>#N/A</v>
      </c>
      <c r="D619" s="12" t="s">
        <v>648</v>
      </c>
      <c r="E619" s="13">
        <v>543173786</v>
      </c>
      <c r="F619" s="12">
        <v>0</v>
      </c>
      <c r="G619" s="8">
        <v>0</v>
      </c>
      <c r="H619" s="14">
        <v>0</v>
      </c>
      <c r="I619" s="8">
        <v>0</v>
      </c>
      <c r="J619" s="8">
        <v>0</v>
      </c>
      <c r="K619" s="8">
        <v>0</v>
      </c>
      <c r="L619" s="11">
        <v>0</v>
      </c>
      <c r="M619" s="11">
        <v>0</v>
      </c>
      <c r="N619" s="11">
        <v>0</v>
      </c>
      <c r="O619" s="8">
        <v>0</v>
      </c>
      <c r="P619" s="8">
        <v>0</v>
      </c>
      <c r="Q619" s="8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8">
        <v>0</v>
      </c>
      <c r="X619" s="8">
        <v>0</v>
      </c>
      <c r="Y619" s="8">
        <v>0</v>
      </c>
      <c r="Z619" s="8">
        <v>0</v>
      </c>
      <c r="AA619" s="11">
        <v>0</v>
      </c>
      <c r="AB619" s="11">
        <v>0</v>
      </c>
      <c r="AC619" s="11">
        <v>0</v>
      </c>
      <c r="AD619" s="11">
        <v>0</v>
      </c>
    </row>
    <row r="620" customFormat="1" ht="22" customHeight="1" spans="1:30">
      <c r="A620" s="8" t="s">
        <v>31</v>
      </c>
      <c r="B620" s="8" t="e">
        <f>VLOOKUP(E620,[1]Sheet1!$C:$E,2,FALSE)</f>
        <v>#N/A</v>
      </c>
      <c r="C620" s="8" t="e">
        <f>VLOOKUP(E620,[1]Sheet1!$C:$E,3,FALSE)</f>
        <v>#N/A</v>
      </c>
      <c r="D620" s="12" t="s">
        <v>649</v>
      </c>
      <c r="E620" s="13">
        <v>1349186784</v>
      </c>
      <c r="F620" s="12">
        <v>4.7</v>
      </c>
      <c r="G620" s="8">
        <v>0</v>
      </c>
      <c r="H620" s="14">
        <v>0</v>
      </c>
      <c r="I620" s="8">
        <v>0</v>
      </c>
      <c r="J620" s="8">
        <v>0</v>
      </c>
      <c r="K620" s="8">
        <v>60</v>
      </c>
      <c r="L620" s="11">
        <v>0.2</v>
      </c>
      <c r="M620" s="11">
        <v>0</v>
      </c>
      <c r="N620" s="11">
        <v>0</v>
      </c>
      <c r="O620" s="8">
        <v>43</v>
      </c>
      <c r="P620" s="8">
        <v>17</v>
      </c>
      <c r="Q620" s="8">
        <v>0</v>
      </c>
      <c r="R620" s="11">
        <v>0.14</v>
      </c>
      <c r="S620" s="11">
        <v>0.353</v>
      </c>
      <c r="T620" s="11">
        <v>0</v>
      </c>
      <c r="U620" s="11">
        <v>0</v>
      </c>
      <c r="V620" s="11">
        <v>0.088</v>
      </c>
      <c r="W620" s="8">
        <v>0</v>
      </c>
      <c r="X620" s="8">
        <v>0</v>
      </c>
      <c r="Y620" s="8">
        <v>0</v>
      </c>
      <c r="Z620" s="8">
        <v>0</v>
      </c>
      <c r="AA620" s="11">
        <v>0</v>
      </c>
      <c r="AB620" s="11">
        <v>0</v>
      </c>
      <c r="AC620" s="11">
        <v>0</v>
      </c>
      <c r="AD620" s="11">
        <v>0</v>
      </c>
    </row>
    <row r="621" customFormat="1" ht="22" customHeight="1" spans="1:30">
      <c r="A621" s="8" t="s">
        <v>31</v>
      </c>
      <c r="B621" s="8" t="e">
        <f>VLOOKUP(E621,[1]Sheet1!$C:$E,2,FALSE)</f>
        <v>#N/A</v>
      </c>
      <c r="C621" s="8" t="e">
        <f>VLOOKUP(E621,[1]Sheet1!$C:$E,3,FALSE)</f>
        <v>#N/A</v>
      </c>
      <c r="D621" s="12" t="s">
        <v>650</v>
      </c>
      <c r="E621" s="13">
        <v>544896938</v>
      </c>
      <c r="F621" s="12">
        <v>0</v>
      </c>
      <c r="G621" s="8">
        <v>0</v>
      </c>
      <c r="H621" s="14">
        <v>0</v>
      </c>
      <c r="I621" s="8">
        <v>0</v>
      </c>
      <c r="J621" s="8">
        <v>0</v>
      </c>
      <c r="K621" s="8">
        <v>0</v>
      </c>
      <c r="L621" s="11">
        <v>0</v>
      </c>
      <c r="M621" s="11">
        <v>0</v>
      </c>
      <c r="N621" s="11">
        <v>0</v>
      </c>
      <c r="O621" s="8">
        <v>0</v>
      </c>
      <c r="P621" s="8">
        <v>0</v>
      </c>
      <c r="Q621" s="8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8">
        <v>0</v>
      </c>
      <c r="X621" s="8">
        <v>0</v>
      </c>
      <c r="Y621" s="8">
        <v>0</v>
      </c>
      <c r="Z621" s="8">
        <v>0</v>
      </c>
      <c r="AA621" s="11">
        <v>0</v>
      </c>
      <c r="AB621" s="11">
        <v>0</v>
      </c>
      <c r="AC621" s="11">
        <v>0</v>
      </c>
      <c r="AD621" s="11">
        <v>0</v>
      </c>
    </row>
    <row r="622" customFormat="1" ht="22" customHeight="1" spans="1:30">
      <c r="A622" s="8" t="s">
        <v>31</v>
      </c>
      <c r="B622" s="8" t="e">
        <f>VLOOKUP(E622,[1]Sheet1!$C:$E,2,FALSE)</f>
        <v>#N/A</v>
      </c>
      <c r="C622" s="8" t="e">
        <f>VLOOKUP(E622,[1]Sheet1!$C:$E,3,FALSE)</f>
        <v>#N/A</v>
      </c>
      <c r="D622" s="12" t="s">
        <v>651</v>
      </c>
      <c r="E622" s="13">
        <v>1354959268</v>
      </c>
      <c r="F622" s="12">
        <v>4.3</v>
      </c>
      <c r="G622" s="8">
        <v>0</v>
      </c>
      <c r="H622" s="14">
        <v>0</v>
      </c>
      <c r="I622" s="8">
        <v>0</v>
      </c>
      <c r="J622" s="8">
        <v>0</v>
      </c>
      <c r="K622" s="8">
        <v>47</v>
      </c>
      <c r="L622" s="11">
        <v>0.404</v>
      </c>
      <c r="M622" s="11">
        <v>0</v>
      </c>
      <c r="N622" s="11">
        <v>0</v>
      </c>
      <c r="O622" s="8">
        <v>46</v>
      </c>
      <c r="P622" s="8">
        <v>1</v>
      </c>
      <c r="Q622" s="8">
        <v>0</v>
      </c>
      <c r="R622" s="11">
        <v>0.413</v>
      </c>
      <c r="S622" s="11">
        <v>0</v>
      </c>
      <c r="T622" s="11">
        <v>0</v>
      </c>
      <c r="U622" s="11">
        <v>0</v>
      </c>
      <c r="V622" s="11">
        <v>0</v>
      </c>
      <c r="W622" s="8">
        <v>0</v>
      </c>
      <c r="X622" s="8">
        <v>0</v>
      </c>
      <c r="Y622" s="8">
        <v>0</v>
      </c>
      <c r="Z622" s="8">
        <v>0</v>
      </c>
      <c r="AA622" s="11">
        <v>0</v>
      </c>
      <c r="AB622" s="11">
        <v>0</v>
      </c>
      <c r="AC622" s="11">
        <v>0</v>
      </c>
      <c r="AD622" s="11">
        <v>0</v>
      </c>
    </row>
    <row r="623" customFormat="1" ht="22" customHeight="1" spans="1:30">
      <c r="A623" s="8" t="s">
        <v>31</v>
      </c>
      <c r="B623" s="8" t="str">
        <f>VLOOKUP(E623,[1]Sheet1!$C:$E,2,FALSE)</f>
        <v>刘欢</v>
      </c>
      <c r="C623" s="8">
        <f>VLOOKUP(E623,[1]Sheet1!$C:$E,3,FALSE)</f>
        <v>0</v>
      </c>
      <c r="D623" s="12" t="s">
        <v>652</v>
      </c>
      <c r="E623" s="13">
        <v>1342796337</v>
      </c>
      <c r="F623" s="12">
        <v>4.4</v>
      </c>
      <c r="G623" s="8">
        <v>1</v>
      </c>
      <c r="H623" s="14">
        <v>0</v>
      </c>
      <c r="I623" s="8">
        <v>15.6</v>
      </c>
      <c r="J623" s="8">
        <v>0</v>
      </c>
      <c r="K623" s="8">
        <v>193</v>
      </c>
      <c r="L623" s="11">
        <v>0.062</v>
      </c>
      <c r="M623" s="11">
        <v>0.083</v>
      </c>
      <c r="N623" s="11">
        <v>0.0051</v>
      </c>
      <c r="O623" s="8">
        <v>192</v>
      </c>
      <c r="P623" s="8">
        <v>1</v>
      </c>
      <c r="Q623" s="8">
        <v>0</v>
      </c>
      <c r="R623" s="11">
        <v>0.057</v>
      </c>
      <c r="S623" s="11">
        <v>1</v>
      </c>
      <c r="T623" s="11">
        <v>0.091</v>
      </c>
      <c r="U623" s="11">
        <v>0</v>
      </c>
      <c r="V623" s="11">
        <v>0.057</v>
      </c>
      <c r="W623" s="8">
        <v>0</v>
      </c>
      <c r="X623" s="8">
        <v>0</v>
      </c>
      <c r="Y623" s="8">
        <v>0</v>
      </c>
      <c r="Z623" s="8">
        <v>0</v>
      </c>
      <c r="AA623" s="11">
        <v>0</v>
      </c>
      <c r="AB623" s="11">
        <v>0</v>
      </c>
      <c r="AC623" s="11">
        <v>0</v>
      </c>
      <c r="AD623" s="11">
        <v>0</v>
      </c>
    </row>
    <row r="624" customFormat="1" ht="22" customHeight="1" spans="1:30">
      <c r="A624" s="8" t="s">
        <v>31</v>
      </c>
      <c r="B624" s="8" t="str">
        <f>VLOOKUP(E624,[1]Sheet1!$C:$E,2,FALSE)</f>
        <v>王森</v>
      </c>
      <c r="C624" s="8">
        <f>VLOOKUP(E624,[1]Sheet1!$C:$E,3,FALSE)</f>
        <v>0</v>
      </c>
      <c r="D624" s="12" t="s">
        <v>653</v>
      </c>
      <c r="E624" s="13">
        <v>1346914576</v>
      </c>
      <c r="F624" s="12">
        <v>4.4</v>
      </c>
      <c r="G624" s="8">
        <v>0</v>
      </c>
      <c r="H624" s="14">
        <v>0</v>
      </c>
      <c r="I624" s="8">
        <v>0</v>
      </c>
      <c r="J624" s="8">
        <v>0</v>
      </c>
      <c r="K624" s="8">
        <v>30</v>
      </c>
      <c r="L624" s="11">
        <v>0.033</v>
      </c>
      <c r="M624" s="11">
        <v>0</v>
      </c>
      <c r="N624" s="11">
        <v>0</v>
      </c>
      <c r="O624" s="8">
        <v>29</v>
      </c>
      <c r="P624" s="8">
        <v>1</v>
      </c>
      <c r="Q624" s="8">
        <v>0</v>
      </c>
      <c r="R624" s="11">
        <v>0.034</v>
      </c>
      <c r="S624" s="11">
        <v>0</v>
      </c>
      <c r="T624" s="11">
        <v>0</v>
      </c>
      <c r="U624" s="11">
        <v>0</v>
      </c>
      <c r="V624" s="11">
        <v>0.5</v>
      </c>
      <c r="W624" s="8">
        <v>0</v>
      </c>
      <c r="X624" s="8">
        <v>0</v>
      </c>
      <c r="Y624" s="8">
        <v>0</v>
      </c>
      <c r="Z624" s="8">
        <v>0</v>
      </c>
      <c r="AA624" s="11">
        <v>0</v>
      </c>
      <c r="AB624" s="11">
        <v>0</v>
      </c>
      <c r="AC624" s="11">
        <v>0</v>
      </c>
      <c r="AD624" s="11">
        <v>0</v>
      </c>
    </row>
    <row r="625" customFormat="1" ht="22" customHeight="1" spans="1:30">
      <c r="A625" s="8" t="s">
        <v>31</v>
      </c>
      <c r="B625" s="8" t="e">
        <f>VLOOKUP(E625,[1]Sheet1!$C:$E,2,FALSE)</f>
        <v>#N/A</v>
      </c>
      <c r="C625" s="8" t="e">
        <f>VLOOKUP(E625,[1]Sheet1!$C:$E,3,FALSE)</f>
        <v>#N/A</v>
      </c>
      <c r="D625" s="12" t="s">
        <v>654</v>
      </c>
      <c r="E625" s="13">
        <v>1340322044</v>
      </c>
      <c r="F625" s="12">
        <v>4.4</v>
      </c>
      <c r="G625" s="8">
        <v>0</v>
      </c>
      <c r="H625" s="14">
        <v>0</v>
      </c>
      <c r="I625" s="8">
        <v>0</v>
      </c>
      <c r="J625" s="8">
        <v>0</v>
      </c>
      <c r="K625" s="8">
        <v>8</v>
      </c>
      <c r="L625" s="11">
        <v>0</v>
      </c>
      <c r="M625" s="11">
        <v>0</v>
      </c>
      <c r="N625" s="11">
        <v>0</v>
      </c>
      <c r="O625" s="8">
        <v>7</v>
      </c>
      <c r="P625" s="8">
        <v>1</v>
      </c>
      <c r="Q625" s="8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0.111</v>
      </c>
      <c r="W625" s="8">
        <v>0</v>
      </c>
      <c r="X625" s="8">
        <v>0</v>
      </c>
      <c r="Y625" s="8">
        <v>0</v>
      </c>
      <c r="Z625" s="8">
        <v>0</v>
      </c>
      <c r="AA625" s="11">
        <v>0</v>
      </c>
      <c r="AB625" s="11">
        <v>0</v>
      </c>
      <c r="AC625" s="11">
        <v>0</v>
      </c>
      <c r="AD625" s="11">
        <v>0</v>
      </c>
    </row>
    <row r="626" customFormat="1" ht="22" customHeight="1" spans="1:30">
      <c r="A626" s="8" t="s">
        <v>31</v>
      </c>
      <c r="B626" s="8" t="str">
        <f>VLOOKUP(E626,[1]Sheet1!$C:$E,2,FALSE)</f>
        <v>王森</v>
      </c>
      <c r="C626" s="9" t="str">
        <f>VLOOKUP(E626,[1]Sheet1!$C:$E,3,FALSE)</f>
        <v>S</v>
      </c>
      <c r="D626" s="12" t="s">
        <v>655</v>
      </c>
      <c r="E626" s="13">
        <v>541629750</v>
      </c>
      <c r="F626" s="12">
        <v>0</v>
      </c>
      <c r="G626" s="8">
        <v>0</v>
      </c>
      <c r="H626" s="14">
        <v>0</v>
      </c>
      <c r="I626" s="8">
        <v>0</v>
      </c>
      <c r="J626" s="8">
        <v>0</v>
      </c>
      <c r="K626" s="8">
        <v>0</v>
      </c>
      <c r="L626" s="11">
        <v>0</v>
      </c>
      <c r="M626" s="11">
        <v>0</v>
      </c>
      <c r="N626" s="11">
        <v>0</v>
      </c>
      <c r="O626" s="8">
        <v>0</v>
      </c>
      <c r="P626" s="8">
        <v>0</v>
      </c>
      <c r="Q626" s="8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8">
        <v>0</v>
      </c>
      <c r="X626" s="8">
        <v>0</v>
      </c>
      <c r="Y626" s="8">
        <v>0</v>
      </c>
      <c r="Z626" s="8">
        <v>0</v>
      </c>
      <c r="AA626" s="11">
        <v>0</v>
      </c>
      <c r="AB626" s="11">
        <v>0</v>
      </c>
      <c r="AC626" s="11">
        <v>0</v>
      </c>
      <c r="AD626" s="11">
        <v>0</v>
      </c>
    </row>
    <row r="627" customFormat="1" ht="22" customHeight="1" spans="1:30">
      <c r="A627" s="8" t="s">
        <v>31</v>
      </c>
      <c r="B627" s="8" t="e">
        <f>VLOOKUP(E627,[1]Sheet1!$C:$E,2,FALSE)</f>
        <v>#N/A</v>
      </c>
      <c r="C627" s="8" t="e">
        <f>VLOOKUP(E627,[1]Sheet1!$C:$E,3,FALSE)</f>
        <v>#N/A</v>
      </c>
      <c r="D627" s="12" t="s">
        <v>656</v>
      </c>
      <c r="E627" s="13">
        <v>301596627</v>
      </c>
      <c r="F627" s="12">
        <v>0</v>
      </c>
      <c r="G627" s="8">
        <v>0</v>
      </c>
      <c r="H627" s="14">
        <v>0</v>
      </c>
      <c r="I627" s="8">
        <v>0</v>
      </c>
      <c r="J627" s="8">
        <v>0</v>
      </c>
      <c r="K627" s="8">
        <v>0</v>
      </c>
      <c r="L627" s="11">
        <v>0</v>
      </c>
      <c r="M627" s="11">
        <v>0</v>
      </c>
      <c r="N627" s="11">
        <v>0</v>
      </c>
      <c r="O627" s="8">
        <v>0</v>
      </c>
      <c r="P627" s="8">
        <v>0</v>
      </c>
      <c r="Q627" s="8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8">
        <v>0</v>
      </c>
      <c r="X627" s="8">
        <v>0</v>
      </c>
      <c r="Y627" s="8">
        <v>0</v>
      </c>
      <c r="Z627" s="8">
        <v>0</v>
      </c>
      <c r="AA627" s="11">
        <v>0</v>
      </c>
      <c r="AB627" s="11">
        <v>0</v>
      </c>
      <c r="AC627" s="11">
        <v>0</v>
      </c>
      <c r="AD627" s="11">
        <v>0</v>
      </c>
    </row>
    <row r="628" customFormat="1" ht="22" customHeight="1" spans="1:30">
      <c r="A628" s="8" t="s">
        <v>31</v>
      </c>
      <c r="B628" s="8" t="e">
        <f>VLOOKUP(E628,[1]Sheet1!$C:$E,2,FALSE)</f>
        <v>#N/A</v>
      </c>
      <c r="C628" s="8" t="e">
        <f>VLOOKUP(E628,[1]Sheet1!$C:$E,3,FALSE)</f>
        <v>#N/A</v>
      </c>
      <c r="D628" s="12" t="s">
        <v>657</v>
      </c>
      <c r="E628" s="13">
        <v>545462878</v>
      </c>
      <c r="F628" s="12">
        <v>0</v>
      </c>
      <c r="G628" s="8">
        <v>0</v>
      </c>
      <c r="H628" s="14">
        <v>0</v>
      </c>
      <c r="I628" s="8">
        <v>0</v>
      </c>
      <c r="J628" s="8">
        <v>0</v>
      </c>
      <c r="K628" s="8">
        <v>0</v>
      </c>
      <c r="L628" s="11">
        <v>0</v>
      </c>
      <c r="M628" s="11">
        <v>0</v>
      </c>
      <c r="N628" s="11">
        <v>0</v>
      </c>
      <c r="O628" s="8">
        <v>0</v>
      </c>
      <c r="P628" s="8">
        <v>0</v>
      </c>
      <c r="Q628" s="8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8">
        <v>0</v>
      </c>
      <c r="X628" s="8">
        <v>0</v>
      </c>
      <c r="Y628" s="8">
        <v>0</v>
      </c>
      <c r="Z628" s="8">
        <v>0</v>
      </c>
      <c r="AA628" s="11">
        <v>0</v>
      </c>
      <c r="AB628" s="11">
        <v>0</v>
      </c>
      <c r="AC628" s="11">
        <v>0</v>
      </c>
      <c r="AD628" s="11">
        <v>0</v>
      </c>
    </row>
    <row r="629" customFormat="1" ht="22" customHeight="1" spans="1:30">
      <c r="A629" s="8" t="s">
        <v>31</v>
      </c>
      <c r="B629" s="8" t="str">
        <f>VLOOKUP(E629,[1]Sheet1!$C:$E,2,FALSE)</f>
        <v>刘欢</v>
      </c>
      <c r="C629" s="8" t="str">
        <f>VLOOKUP(E629,[1]Sheet1!$C:$E,3,FALSE)</f>
        <v>C</v>
      </c>
      <c r="D629" s="12" t="s">
        <v>658</v>
      </c>
      <c r="E629" s="13">
        <v>526540003</v>
      </c>
      <c r="F629" s="12">
        <v>4.7</v>
      </c>
      <c r="G629" s="8">
        <v>0</v>
      </c>
      <c r="H629" s="14">
        <v>0</v>
      </c>
      <c r="I629" s="8">
        <v>0</v>
      </c>
      <c r="J629" s="8">
        <v>0</v>
      </c>
      <c r="K629" s="8">
        <v>487</v>
      </c>
      <c r="L629" s="11">
        <v>0.043</v>
      </c>
      <c r="M629" s="11">
        <v>0</v>
      </c>
      <c r="N629" s="11">
        <v>0</v>
      </c>
      <c r="O629" s="8">
        <v>486</v>
      </c>
      <c r="P629" s="8">
        <v>1</v>
      </c>
      <c r="Q629" s="8">
        <v>0</v>
      </c>
      <c r="R629" s="11">
        <v>0.043</v>
      </c>
      <c r="S629" s="11">
        <v>0</v>
      </c>
      <c r="T629" s="11">
        <v>0</v>
      </c>
      <c r="U629" s="11">
        <v>0</v>
      </c>
      <c r="V629" s="11">
        <v>0</v>
      </c>
      <c r="W629" s="8">
        <v>0</v>
      </c>
      <c r="X629" s="8">
        <v>0</v>
      </c>
      <c r="Y629" s="8">
        <v>0</v>
      </c>
      <c r="Z629" s="8">
        <v>0</v>
      </c>
      <c r="AA629" s="11">
        <v>0</v>
      </c>
      <c r="AB629" s="11">
        <v>0</v>
      </c>
      <c r="AC629" s="11">
        <v>0</v>
      </c>
      <c r="AD629" s="11">
        <v>0</v>
      </c>
    </row>
    <row r="630" customFormat="1" ht="22" customHeight="1" spans="1:30">
      <c r="A630" s="8" t="s">
        <v>31</v>
      </c>
      <c r="B630" s="8" t="e">
        <f>VLOOKUP(E630,[1]Sheet1!$C:$E,2,FALSE)</f>
        <v>#N/A</v>
      </c>
      <c r="C630" s="8" t="e">
        <f>VLOOKUP(E630,[1]Sheet1!$C:$E,3,FALSE)</f>
        <v>#N/A</v>
      </c>
      <c r="D630" s="12" t="s">
        <v>659</v>
      </c>
      <c r="E630" s="13">
        <v>544788095</v>
      </c>
      <c r="F630" s="12">
        <v>4.7</v>
      </c>
      <c r="G630" s="8">
        <v>0</v>
      </c>
      <c r="H630" s="14">
        <v>0</v>
      </c>
      <c r="I630" s="8">
        <v>0</v>
      </c>
      <c r="J630" s="8">
        <v>0</v>
      </c>
      <c r="K630" s="8">
        <v>804</v>
      </c>
      <c r="L630" s="11">
        <v>0.042</v>
      </c>
      <c r="M630" s="11">
        <v>0</v>
      </c>
      <c r="N630" s="11">
        <v>0</v>
      </c>
      <c r="O630" s="8">
        <v>791</v>
      </c>
      <c r="P630" s="8">
        <v>13</v>
      </c>
      <c r="Q630" s="8">
        <v>0</v>
      </c>
      <c r="R630" s="11">
        <v>0.038</v>
      </c>
      <c r="S630" s="11">
        <v>0.308</v>
      </c>
      <c r="T630" s="11">
        <v>0</v>
      </c>
      <c r="U630" s="11">
        <v>0</v>
      </c>
      <c r="V630" s="11">
        <v>0.174</v>
      </c>
      <c r="W630" s="8">
        <v>0</v>
      </c>
      <c r="X630" s="8">
        <v>0</v>
      </c>
      <c r="Y630" s="8">
        <v>0</v>
      </c>
      <c r="Z630" s="8">
        <v>0</v>
      </c>
      <c r="AA630" s="11">
        <v>0</v>
      </c>
      <c r="AB630" s="11">
        <v>0</v>
      </c>
      <c r="AC630" s="11">
        <v>0</v>
      </c>
      <c r="AD630" s="11">
        <v>0</v>
      </c>
    </row>
    <row r="631" customFormat="1" ht="22" customHeight="1" spans="1:30">
      <c r="A631" s="8" t="s">
        <v>31</v>
      </c>
      <c r="B631" s="8" t="str">
        <f>VLOOKUP(E631,[1]Sheet1!$C:$E,2,FALSE)</f>
        <v>王森</v>
      </c>
      <c r="C631" s="8">
        <f>VLOOKUP(E631,[1]Sheet1!$C:$E,3,FALSE)</f>
        <v>0</v>
      </c>
      <c r="D631" s="12" t="s">
        <v>660</v>
      </c>
      <c r="E631" s="13">
        <v>2135038080</v>
      </c>
      <c r="F631" s="12">
        <v>4.3</v>
      </c>
      <c r="G631" s="8">
        <v>0</v>
      </c>
      <c r="H631" s="14">
        <v>0</v>
      </c>
      <c r="I631" s="8">
        <v>0</v>
      </c>
      <c r="J631" s="8">
        <v>0</v>
      </c>
      <c r="K631" s="8">
        <v>33</v>
      </c>
      <c r="L631" s="11">
        <v>0.03</v>
      </c>
      <c r="M631" s="11">
        <v>0</v>
      </c>
      <c r="N631" s="11">
        <v>0</v>
      </c>
      <c r="O631" s="8">
        <v>31</v>
      </c>
      <c r="P631" s="8">
        <v>2</v>
      </c>
      <c r="Q631" s="8">
        <v>0</v>
      </c>
      <c r="R631" s="11">
        <v>0.032</v>
      </c>
      <c r="S631" s="11">
        <v>0</v>
      </c>
      <c r="T631" s="11">
        <v>0</v>
      </c>
      <c r="U631" s="11">
        <v>0</v>
      </c>
      <c r="V631" s="11">
        <v>0.182</v>
      </c>
      <c r="W631" s="8">
        <v>0</v>
      </c>
      <c r="X631" s="8">
        <v>0</v>
      </c>
      <c r="Y631" s="8">
        <v>0</v>
      </c>
      <c r="Z631" s="8">
        <v>0</v>
      </c>
      <c r="AA631" s="11">
        <v>0</v>
      </c>
      <c r="AB631" s="11">
        <v>0</v>
      </c>
      <c r="AC631" s="11">
        <v>0</v>
      </c>
      <c r="AD631" s="11">
        <v>0</v>
      </c>
    </row>
    <row r="632" customFormat="1" ht="22" customHeight="1" spans="1:30">
      <c r="A632" s="8" t="s">
        <v>31</v>
      </c>
      <c r="B632" s="8" t="e">
        <f>VLOOKUP(E632,[1]Sheet1!$C:$E,2,FALSE)</f>
        <v>#N/A</v>
      </c>
      <c r="C632" s="8" t="e">
        <f>VLOOKUP(E632,[1]Sheet1!$C:$E,3,FALSE)</f>
        <v>#N/A</v>
      </c>
      <c r="D632" s="12" t="s">
        <v>661</v>
      </c>
      <c r="E632" s="13">
        <v>545799323</v>
      </c>
      <c r="F632" s="12">
        <v>0</v>
      </c>
      <c r="G632" s="8">
        <v>0</v>
      </c>
      <c r="H632" s="14">
        <v>0</v>
      </c>
      <c r="I632" s="8">
        <v>0</v>
      </c>
      <c r="J632" s="8">
        <v>0</v>
      </c>
      <c r="K632" s="8">
        <v>12</v>
      </c>
      <c r="L632" s="11">
        <v>0.083</v>
      </c>
      <c r="M632" s="11">
        <v>0</v>
      </c>
      <c r="N632" s="11">
        <v>0</v>
      </c>
      <c r="O632" s="8">
        <v>0</v>
      </c>
      <c r="P632" s="8">
        <v>0</v>
      </c>
      <c r="Q632" s="8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8">
        <v>0</v>
      </c>
      <c r="X632" s="8">
        <v>0</v>
      </c>
      <c r="Y632" s="8">
        <v>0</v>
      </c>
      <c r="Z632" s="8">
        <v>0</v>
      </c>
      <c r="AA632" s="11">
        <v>0</v>
      </c>
      <c r="AB632" s="11">
        <v>0</v>
      </c>
      <c r="AC632" s="11">
        <v>0</v>
      </c>
      <c r="AD632" s="11">
        <v>0</v>
      </c>
    </row>
    <row r="633" customFormat="1" ht="22" customHeight="1" spans="1:30">
      <c r="A633" s="8" t="s">
        <v>31</v>
      </c>
      <c r="B633" s="8" t="str">
        <f>VLOOKUP(E633,[1]Sheet1!$C:$E,2,FALSE)</f>
        <v>刘欢</v>
      </c>
      <c r="C633" s="8" t="str">
        <f>VLOOKUP(E633,[1]Sheet1!$C:$E,3,FALSE)</f>
        <v>C</v>
      </c>
      <c r="D633" s="12" t="s">
        <v>662</v>
      </c>
      <c r="E633" s="13">
        <v>522100246</v>
      </c>
      <c r="F633" s="12">
        <v>4.2</v>
      </c>
      <c r="G633" s="8">
        <v>0</v>
      </c>
      <c r="H633" s="14">
        <v>0</v>
      </c>
      <c r="I633" s="8">
        <v>0</v>
      </c>
      <c r="J633" s="8">
        <v>0</v>
      </c>
      <c r="K633" s="8">
        <v>276</v>
      </c>
      <c r="L633" s="11">
        <v>0.04</v>
      </c>
      <c r="M633" s="11">
        <v>0</v>
      </c>
      <c r="N633" s="11">
        <v>0</v>
      </c>
      <c r="O633" s="8">
        <v>275</v>
      </c>
      <c r="P633" s="8">
        <v>1</v>
      </c>
      <c r="Q633" s="8">
        <v>0</v>
      </c>
      <c r="R633" s="11">
        <v>0.04</v>
      </c>
      <c r="S633" s="11">
        <v>0</v>
      </c>
      <c r="T633" s="11">
        <v>0</v>
      </c>
      <c r="U633" s="11">
        <v>0</v>
      </c>
      <c r="V633" s="11">
        <v>0</v>
      </c>
      <c r="W633" s="8">
        <v>0</v>
      </c>
      <c r="X633" s="8">
        <v>0</v>
      </c>
      <c r="Y633" s="8">
        <v>0</v>
      </c>
      <c r="Z633" s="8">
        <v>0</v>
      </c>
      <c r="AA633" s="11">
        <v>0</v>
      </c>
      <c r="AB633" s="11">
        <v>0</v>
      </c>
      <c r="AC633" s="11">
        <v>0</v>
      </c>
      <c r="AD633" s="11">
        <v>0</v>
      </c>
    </row>
    <row r="634" ht="22" customHeight="1" spans="1:30">
      <c r="A634" s="8" t="s">
        <v>31</v>
      </c>
      <c r="B634" s="8" t="str">
        <f>VLOOKUP(E634,[1]Sheet1!$C:$E,2,FALSE)</f>
        <v>徐从众</v>
      </c>
      <c r="C634" s="9" t="str">
        <f>VLOOKUP(E634,[1]Sheet1!$C:$E,3,FALSE)</f>
        <v>S</v>
      </c>
      <c r="D634" s="12" t="s">
        <v>663</v>
      </c>
      <c r="E634" s="13">
        <v>538768911</v>
      </c>
      <c r="F634" s="12">
        <v>4.1</v>
      </c>
      <c r="G634" s="8">
        <v>0</v>
      </c>
      <c r="H634" s="14">
        <v>0</v>
      </c>
      <c r="I634" s="8">
        <v>0</v>
      </c>
      <c r="J634" s="8">
        <v>0</v>
      </c>
      <c r="K634" s="8">
        <v>202</v>
      </c>
      <c r="L634" s="11">
        <v>0.04</v>
      </c>
      <c r="M634" s="11">
        <v>0</v>
      </c>
      <c r="N634" s="11">
        <v>0</v>
      </c>
      <c r="O634" s="8">
        <v>194</v>
      </c>
      <c r="P634" s="8">
        <v>8</v>
      </c>
      <c r="Q634" s="8">
        <v>0</v>
      </c>
      <c r="R634" s="11">
        <v>0.041</v>
      </c>
      <c r="S634" s="11">
        <v>0</v>
      </c>
      <c r="T634" s="11">
        <v>0</v>
      </c>
      <c r="U634" s="11">
        <v>0</v>
      </c>
      <c r="V634" s="11">
        <v>0.167</v>
      </c>
      <c r="W634" s="8">
        <v>0</v>
      </c>
      <c r="X634" s="8">
        <v>0</v>
      </c>
      <c r="Y634" s="8">
        <v>0</v>
      </c>
      <c r="Z634" s="8">
        <v>0</v>
      </c>
      <c r="AA634" s="11">
        <v>0</v>
      </c>
      <c r="AB634" s="11">
        <v>0</v>
      </c>
      <c r="AC634" s="11">
        <v>0</v>
      </c>
      <c r="AD634" s="11">
        <v>0</v>
      </c>
    </row>
    <row r="635" ht="22" customHeight="1" spans="1:30">
      <c r="A635" s="8" t="s">
        <v>31</v>
      </c>
      <c r="B635" s="8" t="str">
        <f>VLOOKUP(E635,[1]Sheet1!$C:$E,2,FALSE)</f>
        <v>徐从众</v>
      </c>
      <c r="C635" s="9" t="str">
        <f>VLOOKUP(E635,[1]Sheet1!$C:$E,3,FALSE)</f>
        <v>A</v>
      </c>
      <c r="D635" s="12" t="s">
        <v>664</v>
      </c>
      <c r="E635" s="13">
        <v>2032765555</v>
      </c>
      <c r="F635" s="12">
        <v>0</v>
      </c>
      <c r="G635" s="8">
        <v>0</v>
      </c>
      <c r="H635" s="14">
        <v>0</v>
      </c>
      <c r="I635" s="8">
        <v>0</v>
      </c>
      <c r="J635" s="8">
        <v>0</v>
      </c>
      <c r="K635" s="8">
        <v>0</v>
      </c>
      <c r="L635" s="11">
        <v>0</v>
      </c>
      <c r="M635" s="11">
        <v>0</v>
      </c>
      <c r="N635" s="11">
        <v>0</v>
      </c>
      <c r="O635" s="8">
        <v>0</v>
      </c>
      <c r="P635" s="8">
        <v>0</v>
      </c>
      <c r="Q635" s="8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8">
        <v>0</v>
      </c>
      <c r="X635" s="8">
        <v>0</v>
      </c>
      <c r="Y635" s="8">
        <v>0</v>
      </c>
      <c r="Z635" s="8">
        <v>0</v>
      </c>
      <c r="AA635" s="11">
        <v>0</v>
      </c>
      <c r="AB635" s="11">
        <v>0</v>
      </c>
      <c r="AC635" s="11">
        <v>0</v>
      </c>
      <c r="AD635" s="11">
        <v>0</v>
      </c>
    </row>
    <row r="636" ht="22" customHeight="1" spans="1:30">
      <c r="A636" s="8" t="s">
        <v>31</v>
      </c>
      <c r="B636" s="8" t="str">
        <f>VLOOKUP(E636,[1]Sheet1!$C:$E,2,FALSE)</f>
        <v>王森</v>
      </c>
      <c r="C636" s="8">
        <f>VLOOKUP(E636,[1]Sheet1!$C:$E,3,FALSE)</f>
        <v>0</v>
      </c>
      <c r="D636" s="8" t="s">
        <v>665</v>
      </c>
      <c r="E636" s="10">
        <v>1338037737</v>
      </c>
      <c r="F636" s="8">
        <v>4.9</v>
      </c>
      <c r="G636" s="8">
        <v>0</v>
      </c>
      <c r="H636" s="14">
        <v>0</v>
      </c>
      <c r="I636" s="8">
        <v>0</v>
      </c>
      <c r="J636" s="8">
        <v>0</v>
      </c>
      <c r="K636" s="8">
        <v>148</v>
      </c>
      <c r="L636" s="11">
        <v>0.068</v>
      </c>
      <c r="M636" s="11">
        <v>0</v>
      </c>
      <c r="N636" s="11">
        <v>0</v>
      </c>
      <c r="O636" s="8">
        <v>141</v>
      </c>
      <c r="P636" s="8">
        <v>7</v>
      </c>
      <c r="Q636" s="8">
        <v>0</v>
      </c>
      <c r="R636" s="11">
        <v>0.064</v>
      </c>
      <c r="S636" s="11">
        <v>0.143</v>
      </c>
      <c r="T636" s="11">
        <v>0</v>
      </c>
      <c r="U636" s="11">
        <v>0</v>
      </c>
      <c r="V636" s="11">
        <v>0.143</v>
      </c>
      <c r="W636" s="8">
        <v>0</v>
      </c>
      <c r="X636" s="8">
        <v>0</v>
      </c>
      <c r="Y636" s="8">
        <v>0</v>
      </c>
      <c r="Z636" s="8">
        <v>0</v>
      </c>
      <c r="AA636" s="11">
        <v>0</v>
      </c>
      <c r="AB636" s="11">
        <v>0</v>
      </c>
      <c r="AC636" s="11">
        <v>0</v>
      </c>
      <c r="AD636" s="11">
        <v>0</v>
      </c>
    </row>
    <row r="637" ht="22" customHeight="1" spans="1:30">
      <c r="A637" s="8" t="s">
        <v>31</v>
      </c>
      <c r="B637" s="8" t="e">
        <f>VLOOKUP(E637,[1]Sheet1!$C:$E,2,FALSE)</f>
        <v>#N/A</v>
      </c>
      <c r="C637" s="8" t="e">
        <f>VLOOKUP(E637,[1]Sheet1!$C:$E,3,FALSE)</f>
        <v>#N/A</v>
      </c>
      <c r="D637" s="12" t="s">
        <v>666</v>
      </c>
      <c r="E637" s="13">
        <v>541886124</v>
      </c>
      <c r="F637" s="12">
        <v>4.4</v>
      </c>
      <c r="G637" s="8">
        <v>0</v>
      </c>
      <c r="H637" s="14">
        <v>0</v>
      </c>
      <c r="I637" s="8">
        <v>0</v>
      </c>
      <c r="J637" s="8">
        <v>0</v>
      </c>
      <c r="K637" s="8">
        <v>69</v>
      </c>
      <c r="L637" s="11">
        <v>0.014</v>
      </c>
      <c r="M637" s="11">
        <v>0</v>
      </c>
      <c r="N637" s="11">
        <v>0</v>
      </c>
      <c r="O637" s="8">
        <v>43</v>
      </c>
      <c r="P637" s="8">
        <v>26</v>
      </c>
      <c r="Q637" s="8">
        <v>0</v>
      </c>
      <c r="R637" s="11">
        <v>0</v>
      </c>
      <c r="S637" s="11">
        <v>0.038</v>
      </c>
      <c r="T637" s="11">
        <v>0</v>
      </c>
      <c r="U637" s="11">
        <v>0</v>
      </c>
      <c r="V637" s="11">
        <v>0.209</v>
      </c>
      <c r="W637" s="8">
        <v>0</v>
      </c>
      <c r="X637" s="8">
        <v>0</v>
      </c>
      <c r="Y637" s="8">
        <v>0</v>
      </c>
      <c r="Z637" s="8">
        <v>0</v>
      </c>
      <c r="AA637" s="11">
        <v>0</v>
      </c>
      <c r="AB637" s="11">
        <v>0</v>
      </c>
      <c r="AC637" s="11">
        <v>0</v>
      </c>
      <c r="AD637" s="11">
        <v>0</v>
      </c>
    </row>
    <row r="638" ht="22" customHeight="1" spans="1:30">
      <c r="A638" s="8" t="s">
        <v>31</v>
      </c>
      <c r="B638" s="8" t="e">
        <f>VLOOKUP(E638,[1]Sheet1!$C:$E,2,FALSE)</f>
        <v>#N/A</v>
      </c>
      <c r="C638" s="8" t="e">
        <f>VLOOKUP(E638,[1]Sheet1!$C:$E,3,FALSE)</f>
        <v>#N/A</v>
      </c>
      <c r="D638" s="8" t="s">
        <v>667</v>
      </c>
      <c r="E638" s="10">
        <v>1352474468</v>
      </c>
      <c r="F638" s="8">
        <v>4.9</v>
      </c>
      <c r="G638" s="8">
        <v>0</v>
      </c>
      <c r="H638" s="14">
        <v>0</v>
      </c>
      <c r="I638" s="8">
        <v>0</v>
      </c>
      <c r="J638" s="8">
        <v>0</v>
      </c>
      <c r="K638" s="8">
        <v>106</v>
      </c>
      <c r="L638" s="11">
        <v>0.038</v>
      </c>
      <c r="M638" s="11">
        <v>0</v>
      </c>
      <c r="N638" s="11">
        <v>0</v>
      </c>
      <c r="O638" s="8">
        <v>102</v>
      </c>
      <c r="P638" s="8">
        <v>4</v>
      </c>
      <c r="Q638" s="8">
        <v>0</v>
      </c>
      <c r="R638" s="11">
        <v>0.029</v>
      </c>
      <c r="S638" s="11">
        <v>0.25</v>
      </c>
      <c r="T638" s="11">
        <v>0</v>
      </c>
      <c r="U638" s="11">
        <v>0</v>
      </c>
      <c r="V638" s="11">
        <v>0.333</v>
      </c>
      <c r="W638" s="8">
        <v>0</v>
      </c>
      <c r="X638" s="8">
        <v>0</v>
      </c>
      <c r="Y638" s="8">
        <v>0</v>
      </c>
      <c r="Z638" s="8">
        <v>0</v>
      </c>
      <c r="AA638" s="11">
        <v>0</v>
      </c>
      <c r="AB638" s="11">
        <v>0</v>
      </c>
      <c r="AC638" s="11">
        <v>0</v>
      </c>
      <c r="AD638" s="11">
        <v>0</v>
      </c>
    </row>
    <row r="639" ht="22" customHeight="1" spans="1:30">
      <c r="A639" s="8" t="s">
        <v>31</v>
      </c>
      <c r="B639" s="8" t="e">
        <f>VLOOKUP(E639,[1]Sheet1!$C:$E,2,FALSE)</f>
        <v>#N/A</v>
      </c>
      <c r="C639" s="8" t="e">
        <f>VLOOKUP(E639,[1]Sheet1!$C:$E,3,FALSE)</f>
        <v>#N/A</v>
      </c>
      <c r="D639" s="12" t="s">
        <v>668</v>
      </c>
      <c r="E639" s="13">
        <v>545528415</v>
      </c>
      <c r="F639" s="12">
        <v>0</v>
      </c>
      <c r="G639" s="8">
        <v>0</v>
      </c>
      <c r="H639" s="14">
        <v>0</v>
      </c>
      <c r="I639" s="8">
        <v>0</v>
      </c>
      <c r="J639" s="8">
        <v>0</v>
      </c>
      <c r="K639" s="8">
        <v>12</v>
      </c>
      <c r="L639" s="11">
        <v>0</v>
      </c>
      <c r="M639" s="11">
        <v>0</v>
      </c>
      <c r="N639" s="11">
        <v>0</v>
      </c>
      <c r="O639" s="8">
        <v>12</v>
      </c>
      <c r="P639" s="8">
        <v>0</v>
      </c>
      <c r="Q639" s="8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8">
        <v>0</v>
      </c>
      <c r="X639" s="8">
        <v>0</v>
      </c>
      <c r="Y639" s="8">
        <v>0</v>
      </c>
      <c r="Z639" s="8">
        <v>0</v>
      </c>
      <c r="AA639" s="11">
        <v>0</v>
      </c>
      <c r="AB639" s="11">
        <v>0</v>
      </c>
      <c r="AC639" s="11">
        <v>0</v>
      </c>
      <c r="AD639" s="11">
        <v>0</v>
      </c>
    </row>
    <row r="640" ht="22" customHeight="1" spans="1:30">
      <c r="A640" s="8" t="s">
        <v>31</v>
      </c>
      <c r="B640" s="8" t="str">
        <f>VLOOKUP(E640,[1]Sheet1!$C:$E,2,FALSE)</f>
        <v>刘欢</v>
      </c>
      <c r="C640" s="8" t="str">
        <f>VLOOKUP(E640,[1]Sheet1!$C:$E,3,FALSE)</f>
        <v>C</v>
      </c>
      <c r="D640" s="12" t="s">
        <v>669</v>
      </c>
      <c r="E640" s="13">
        <v>1342035855</v>
      </c>
      <c r="F640" s="12">
        <v>4.7</v>
      </c>
      <c r="G640" s="8">
        <v>0</v>
      </c>
      <c r="H640" s="14">
        <v>0</v>
      </c>
      <c r="I640" s="8">
        <v>0</v>
      </c>
      <c r="J640" s="8">
        <v>0</v>
      </c>
      <c r="K640" s="8">
        <v>3</v>
      </c>
      <c r="L640" s="11">
        <v>0.333</v>
      </c>
      <c r="M640" s="11">
        <v>0</v>
      </c>
      <c r="N640" s="11">
        <v>0</v>
      </c>
      <c r="O640" s="8">
        <v>2</v>
      </c>
      <c r="P640" s="8">
        <v>1</v>
      </c>
      <c r="Q640" s="8">
        <v>0</v>
      </c>
      <c r="R640" s="11">
        <v>0</v>
      </c>
      <c r="S640" s="11">
        <v>1</v>
      </c>
      <c r="T640" s="11">
        <v>0</v>
      </c>
      <c r="U640" s="11">
        <v>0</v>
      </c>
      <c r="V640" s="11">
        <v>0.1</v>
      </c>
      <c r="W640" s="8">
        <v>0</v>
      </c>
      <c r="X640" s="8">
        <v>0</v>
      </c>
      <c r="Y640" s="8">
        <v>0</v>
      </c>
      <c r="Z640" s="8">
        <v>0</v>
      </c>
      <c r="AA640" s="11">
        <v>0</v>
      </c>
      <c r="AB640" s="11">
        <v>0</v>
      </c>
      <c r="AC640" s="11">
        <v>0</v>
      </c>
      <c r="AD640" s="11">
        <v>0</v>
      </c>
    </row>
    <row r="641" ht="22" customHeight="1" spans="1:30">
      <c r="A641" s="8" t="s">
        <v>31</v>
      </c>
      <c r="B641" s="8" t="e">
        <f>VLOOKUP(E641,[1]Sheet1!$C:$E,2,FALSE)</f>
        <v>#N/A</v>
      </c>
      <c r="C641" s="8" t="e">
        <f>VLOOKUP(E641,[1]Sheet1!$C:$E,3,FALSE)</f>
        <v>#N/A</v>
      </c>
      <c r="D641" s="12" t="s">
        <v>670</v>
      </c>
      <c r="E641" s="13">
        <v>1253759506</v>
      </c>
      <c r="F641" s="12">
        <v>0</v>
      </c>
      <c r="G641" s="8">
        <v>0</v>
      </c>
      <c r="H641" s="14">
        <v>0</v>
      </c>
      <c r="I641" s="8">
        <v>0</v>
      </c>
      <c r="J641" s="8">
        <v>0</v>
      </c>
      <c r="K641" s="8">
        <v>0</v>
      </c>
      <c r="L641" s="11">
        <v>0</v>
      </c>
      <c r="M641" s="11">
        <v>0</v>
      </c>
      <c r="N641" s="11">
        <v>0</v>
      </c>
      <c r="O641" s="8">
        <v>0</v>
      </c>
      <c r="P641" s="8">
        <v>0</v>
      </c>
      <c r="Q641" s="8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8">
        <v>0</v>
      </c>
      <c r="X641" s="8">
        <v>0</v>
      </c>
      <c r="Y641" s="8">
        <v>0</v>
      </c>
      <c r="Z641" s="8">
        <v>0</v>
      </c>
      <c r="AA641" s="11">
        <v>0</v>
      </c>
      <c r="AB641" s="11">
        <v>0</v>
      </c>
      <c r="AC641" s="11">
        <v>0</v>
      </c>
      <c r="AD641" s="11">
        <v>0</v>
      </c>
    </row>
    <row r="642" ht="22" customHeight="1" spans="1:30">
      <c r="A642" s="8" t="s">
        <v>31</v>
      </c>
      <c r="B642" s="8" t="e">
        <f>VLOOKUP(E642,[1]Sheet1!$C:$E,2,FALSE)</f>
        <v>#N/A</v>
      </c>
      <c r="C642" s="8" t="e">
        <f>VLOOKUP(E642,[1]Sheet1!$C:$E,3,FALSE)</f>
        <v>#N/A</v>
      </c>
      <c r="D642" s="12" t="s">
        <v>671</v>
      </c>
      <c r="E642" s="13">
        <v>1354153881</v>
      </c>
      <c r="F642" s="12">
        <v>0</v>
      </c>
      <c r="G642" s="8">
        <v>0</v>
      </c>
      <c r="H642" s="14">
        <v>0</v>
      </c>
      <c r="I642" s="8">
        <v>0</v>
      </c>
      <c r="J642" s="8">
        <v>0</v>
      </c>
      <c r="K642" s="8">
        <v>0</v>
      </c>
      <c r="L642" s="11">
        <v>0</v>
      </c>
      <c r="M642" s="11">
        <v>0</v>
      </c>
      <c r="N642" s="11">
        <v>0</v>
      </c>
      <c r="O642" s="8">
        <v>0</v>
      </c>
      <c r="P642" s="8">
        <v>0</v>
      </c>
      <c r="Q642" s="8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8">
        <v>0</v>
      </c>
      <c r="X642" s="8">
        <v>0</v>
      </c>
      <c r="Y642" s="8">
        <v>0</v>
      </c>
      <c r="Z642" s="8">
        <v>0</v>
      </c>
      <c r="AA642" s="11">
        <v>0</v>
      </c>
      <c r="AB642" s="11">
        <v>0</v>
      </c>
      <c r="AC642" s="11">
        <v>0</v>
      </c>
      <c r="AD642" s="11">
        <v>0</v>
      </c>
    </row>
    <row r="643" ht="22" customHeight="1" spans="1:30">
      <c r="A643" s="8" t="s">
        <v>31</v>
      </c>
      <c r="B643" s="8" t="e">
        <f>VLOOKUP(E643,[1]Sheet1!$C:$E,2,FALSE)</f>
        <v>#N/A</v>
      </c>
      <c r="C643" s="8" t="e">
        <f>VLOOKUP(E643,[1]Sheet1!$C:$E,3,FALSE)</f>
        <v>#N/A</v>
      </c>
      <c r="D643" s="12" t="s">
        <v>672</v>
      </c>
      <c r="E643" s="13">
        <v>534816616</v>
      </c>
      <c r="F643" s="12">
        <v>0</v>
      </c>
      <c r="G643" s="8">
        <v>0</v>
      </c>
      <c r="H643" s="14">
        <v>0</v>
      </c>
      <c r="I643" s="8">
        <v>0</v>
      </c>
      <c r="J643" s="8">
        <v>0</v>
      </c>
      <c r="K643" s="8">
        <v>13</v>
      </c>
      <c r="L643" s="11">
        <v>0.154</v>
      </c>
      <c r="M643" s="11">
        <v>0</v>
      </c>
      <c r="N643" s="11">
        <v>0</v>
      </c>
      <c r="O643" s="8">
        <v>13</v>
      </c>
      <c r="P643" s="8">
        <v>0</v>
      </c>
      <c r="Q643" s="8">
        <v>0</v>
      </c>
      <c r="R643" s="11">
        <v>0.077</v>
      </c>
      <c r="S643" s="11">
        <v>0</v>
      </c>
      <c r="T643" s="11">
        <v>0</v>
      </c>
      <c r="U643" s="11">
        <v>0</v>
      </c>
      <c r="V643" s="11">
        <v>0</v>
      </c>
      <c r="W643" s="8">
        <v>0</v>
      </c>
      <c r="X643" s="8">
        <v>0</v>
      </c>
      <c r="Y643" s="8">
        <v>0</v>
      </c>
      <c r="Z643" s="8">
        <v>0</v>
      </c>
      <c r="AA643" s="11">
        <v>0</v>
      </c>
      <c r="AB643" s="11">
        <v>0</v>
      </c>
      <c r="AC643" s="11">
        <v>0</v>
      </c>
      <c r="AD643" s="11">
        <v>0</v>
      </c>
    </row>
  </sheetData>
  <autoFilter xmlns:etc="http://www.wps.cn/officeDocument/2017/etCustomData" ref="A2:AD643" etc:filterBottomFollowUsedRange="0">
    <sortState ref="A3:AD643">
      <sortCondition ref="H2" descending="1"/>
    </sortState>
    <extLst/>
  </autoFilter>
  <conditionalFormatting sqref="G$1:G$104857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{cf65c571-8e04-414d-b553-815ac8f15e3a}</x14:id>
        </ext>
      </extLst>
    </cfRule>
  </conditionalFormatting>
  <conditionalFormatting sqref="H$1:H$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{6dc009b5-43c4-4145-8ab6-0b8c887a87af}</x14:id>
        </ext>
      </extLst>
    </cfRule>
  </conditionalFormatting>
  <conditionalFormatting sqref="K$1:K$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{6ccf4b85-f1b7-4a5d-8f79-b81058006ff3}</x14:id>
        </ext>
      </extLst>
    </cfRule>
  </conditionalFormatting>
  <conditionalFormatting sqref="L$1:L$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{57af0208-0731-4217-a08d-0e663cd3841d}</x14:id>
        </ext>
      </extLst>
    </cfRule>
  </conditionalFormatting>
  <conditionalFormatting sqref="M$1:M$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{3690a5cd-369f-45a3-a0f4-65db66102537}</x14:id>
        </ext>
      </extLst>
    </cfRule>
  </conditionalFormatting>
  <conditionalFormatting sqref="V$1:V$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{c6a03269-0423-4cee-819c-e603314a397d}</x14:id>
        </ext>
      </extLst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5c571-8e04-414d-b553-815ac8f15e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 xmlns:xm="http://schemas.microsoft.com/office/excel/2006/main">
          <x14:cfRule type="dataBar" id="{6dc009b5-43c4-4145-8ab6-0b8c887a87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 xmlns:xm="http://schemas.microsoft.com/office/excel/2006/main">
          <x14:cfRule type="dataBar" id="{6ccf4b85-f1b7-4a5d-8f79-b81058006f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57af0208-0731-4217-a08d-0e663cd3841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3690a5cd-369f-45a3-a0f4-65db661025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c6a03269-0423-4cee-819c-e603314a39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淘宝闪购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偷懒大王</cp:lastModifiedBy>
  <dcterms:created xsi:type="dcterms:W3CDTF">2026-08-25T08:12:00Z</dcterms:created>
  <dcterms:modified xsi:type="dcterms:W3CDTF">2026-08-25T09:15:59Z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2F270CE5F2CF4FE5A878D48D9055406B_12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